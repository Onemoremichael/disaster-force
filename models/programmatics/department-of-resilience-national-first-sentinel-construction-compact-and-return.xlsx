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Inherited Objects" sheetId="4" state="visible" r:id="rId6"/>
    <sheet name="Contradictions" sheetId="5" state="visible" r:id="rId7"/>
    <sheet name="Object Crosswalk" sheetId="6" state="visible" r:id="rId8"/>
    <sheet name="Warrants" sheetId="7" state="visible" r:id="rId9"/>
    <sheet name="State Machine" sheetId="8" state="visible" r:id="rId10"/>
    <sheet name="Release Graph" sheetId="9" state="visible" r:id="rId11"/>
    <sheet name="Authority Matrix" sheetId="10" state="visible" r:id="rId12"/>
    <sheet name="Nonconversions" sheetId="11" state="visible" r:id="rId13"/>
    <sheet name="Construction Packets" sheetId="12" state="visible" r:id="rId14"/>
    <sheet name="Event Evidence" sheetId="13" state="visible" r:id="rId15"/>
    <sheet name="Finance" sheetId="14" state="visible" r:id="rId16"/>
    <sheet name="Payment Ledger" sheetId="15" state="visible" r:id="rId17"/>
    <sheet name="Rollback" sheetId="16" state="visible" r:id="rId18"/>
    <sheet name="Root Dispositions" sheetId="17" state="visible" r:id="rId19"/>
    <sheet name="Technology Return" sheetId="18" state="visible" r:id="rId20"/>
    <sheet name="Stress Tests" sheetId="19" state="visible" r:id="rId21"/>
    <sheet name="Mutations" sheetId="20" state="visible" r:id="rId22"/>
    <sheet name="Audit" sheetId="21" state="visible" r:id="rId23"/>
    <sheet name="Sources &amp; Limits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<sst xmlns="http://schemas.openxmlformats.org/spreadsheetml/2006/main" count="8991" uniqueCount="1564">
  <si>
    <t xml:space="preserve">A2C-5 National First Sentinel Construction Compact</t>
  </si>
  <si>
    <t xml:space="preserve">Verdict: RETURN. One eighteen-warrant campaign integrates six sentinels, eighteen stations, 102 lots, eighteen site charters and an N-1 bid pool without a master authority. All implementation and evidence states remain empty.</t>
  </si>
  <si>
    <t xml:space="preserve">Decision</t>
  </si>
  <si>
    <t xml:space="preserve">Result</t>
  </si>
  <si>
    <t xml:space="preserve">Unit</t>
  </si>
  <si>
    <t xml:space="preserve">State</t>
  </si>
  <si>
    <t xml:space="preserve">Why it matters</t>
  </si>
  <si>
    <t xml:space="preserve">Current authority</t>
  </si>
  <si>
    <t xml:space="preserve">Held conversion</t>
  </si>
  <si>
    <t xml:space="preserve">Parent return</t>
  </si>
  <si>
    <t xml:space="preserve">integration architecture</t>
  </si>
  <si>
    <t xml:space="preserve">warranted construction campaign</t>
  </si>
  <si>
    <t xml:space="preserve">architecture</t>
  </si>
  <si>
    <t xml:space="preserve">RETURN</t>
  </si>
  <si>
    <t xml:space="preserve">integration by typed artifacts, not hierarchy</t>
  </si>
  <si>
    <t xml:space="preserve">constitutional compact</t>
  </si>
  <si>
    <t xml:space="preserve">compact to execution</t>
  </si>
  <si>
    <t xml:space="preserve">six candidate requirements</t>
  </si>
  <si>
    <t xml:space="preserve">serial warrants</t>
  </si>
  <si>
    <t xml:space="preserve">count</t>
  </si>
  <si>
    <t xml:space="preserve">FROZEN</t>
  </si>
  <si>
    <t xml:space="preserve">one producer and acceptor per transition</t>
  </si>
  <si>
    <t xml:space="preserve">state machine</t>
  </si>
  <si>
    <t xml:space="preserve">warrant to evidence</t>
  </si>
  <si>
    <t xml:space="preserve">form-giving loads</t>
  </si>
  <si>
    <t xml:space="preserve">selected roots</t>
  </si>
  <si>
    <t xml:space="preserve">HOLD</t>
  </si>
  <si>
    <t xml:space="preserve">one falsifiable sentinel per system</t>
  </si>
  <si>
    <t xml:space="preserve">inquiry only</t>
  </si>
  <si>
    <t xml:space="preserve">selection to promise</t>
  </si>
  <si>
    <t xml:space="preserve">candidate articles</t>
  </si>
  <si>
    <t xml:space="preserve">station nuclei</t>
  </si>
  <si>
    <t xml:space="preserve">three epistemic roles per root</t>
  </si>
  <si>
    <t xml:space="preserve">functional configuration</t>
  </si>
  <si>
    <t xml:space="preserve">station to site</t>
  </si>
  <si>
    <t xml:space="preserve">truth infrastructure</t>
  </si>
  <si>
    <t xml:space="preserve">construction lots</t>
  </si>
  <si>
    <t xml:space="preserve">CONSTITUTED</t>
  </si>
  <si>
    <t xml:space="preserve">complete but severable build objects</t>
  </si>
  <si>
    <t xml:space="preserve">lot grammar</t>
  </si>
  <si>
    <t xml:space="preserve">lot to award</t>
  </si>
  <si>
    <t xml:space="preserve">future source records</t>
  </si>
  <si>
    <t xml:space="preserve">site charters</t>
  </si>
  <si>
    <t xml:space="preserve">CLASS-CONSTITUTED</t>
  </si>
  <si>
    <t xml:space="preserve">one nucleus per causal site</t>
  </si>
  <si>
    <t xml:space="preserve">class grammar</t>
  </si>
  <si>
    <t xml:space="preserve">class to place</t>
  </si>
  <si>
    <t xml:space="preserve">bid positions</t>
  </si>
  <si>
    <t xml:space="preserve">OPEN</t>
  </si>
  <si>
    <t xml:space="preserve">whole pool must survive one group removal</t>
  </si>
  <si>
    <t xml:space="preserve">position grammar</t>
  </si>
  <si>
    <t xml:space="preserve">position to bidder</t>
  </si>
  <si>
    <t xml:space="preserve">construction packets</t>
  </si>
  <si>
    <t xml:space="preserve">as-built evidence remains separate</t>
  </si>
  <si>
    <t xml:space="preserve">packet grammar</t>
  </si>
  <si>
    <t xml:space="preserve">packet to event</t>
  </si>
  <si>
    <t xml:space="preserve">physical records</t>
  </si>
  <si>
    <t xml:space="preserve">event packages</t>
  </si>
  <si>
    <t xml:space="preserve">SOURCE EMPTY</t>
  </si>
  <si>
    <t xml:space="preserve">causal evidence remains separate</t>
  </si>
  <si>
    <t xml:space="preserve">event grammar</t>
  </si>
  <si>
    <t xml:space="preserve">event to favorable claim</t>
  </si>
  <si>
    <t xml:space="preserve">physical events</t>
  </si>
  <si>
    <t xml:space="preserve">combined ceiling</t>
  </si>
  <si>
    <t xml:space="preserve">USD B</t>
  </si>
  <si>
    <t xml:space="preserve">UNCHANGED</t>
  </si>
  <si>
    <t xml:space="preserve">public and private accounts add once</t>
  </si>
  <si>
    <t xml:space="preserve">ceiling</t>
  </si>
  <si>
    <t xml:space="preserve">ceiling to payment</t>
  </si>
  <si>
    <t xml:space="preserve">accepted stages</t>
  </si>
  <si>
    <t xml:space="preserve">through MAKE exposure</t>
  </si>
  <si>
    <t xml:space="preserve">CEILING</t>
  </si>
  <si>
    <t xml:space="preserve">bounds pre-event loss</t>
  </si>
  <si>
    <t xml:space="preserve">schedule</t>
  </si>
  <si>
    <t xml:space="preserve">ceiling to obligation</t>
  </si>
  <si>
    <t xml:space="preserve">all-six kill unreleased</t>
  </si>
  <si>
    <t xml:space="preserve">PROTECTED</t>
  </si>
  <si>
    <t xml:space="preserve">valid failure returns transfer money</t>
  </si>
  <si>
    <t xml:space="preserve">failure to production</t>
  </si>
  <si>
    <t xml:space="preserve">root disposition</t>
  </si>
  <si>
    <t xml:space="preserve">current awards</t>
  </si>
  <si>
    <t xml:space="preserve">HELD</t>
  </si>
  <si>
    <t xml:space="preserve">no bidder or site exists</t>
  </si>
  <si>
    <t xml:space="preserve">none</t>
  </si>
  <si>
    <t xml:space="preserve">slate to contract</t>
  </si>
  <si>
    <t xml:space="preserve">external source records</t>
  </si>
  <si>
    <t xml:space="preserve">observations</t>
  </si>
  <si>
    <t xml:space="preserve">no physical event has run</t>
  </si>
  <si>
    <t xml:space="preserve">plan to evidence</t>
  </si>
  <si>
    <t xml:space="preserve">physical campaign</t>
  </si>
  <si>
    <t xml:space="preserve">capability credit</t>
  </si>
  <si>
    <t xml:space="preserve">technical transfer is not readiness</t>
  </si>
  <si>
    <t xml:space="preserve">proof to force</t>
  </si>
  <si>
    <t xml:space="preserve">later warrants</t>
  </si>
  <si>
    <t xml:space="preserve">rendering authority</t>
  </si>
  <si>
    <t xml:space="preserve">form follows controlled loads</t>
  </si>
  <si>
    <t xml:space="preserve">envelope to exterior</t>
  </si>
  <si>
    <t xml:space="preserve">requirement packages</t>
  </si>
  <si>
    <t xml:space="preserve">Terminal test</t>
  </si>
  <si>
    <t xml:space="preserve">Observed</t>
  </si>
  <si>
    <t xml:space="preserve">eligible architecture</t>
  </si>
  <si>
    <t xml:space="preserve">warrants</t>
  </si>
  <si>
    <t xml:space="preserve">lot crosswalk</t>
  </si>
  <si>
    <t xml:space="preserve">payment stages</t>
  </si>
  <si>
    <t xml:space="preserve">authority ceiling</t>
  </si>
  <si>
    <t xml:space="preserve">audit failures</t>
  </si>
  <si>
    <t xml:space="preserve">awards</t>
  </si>
  <si>
    <t xml:space="preserve">capability</t>
  </si>
  <si>
    <t xml:space="preserve">rendering</t>
  </si>
  <si>
    <t xml:space="preserve">Authoritative A2C-5 controls</t>
  </si>
  <si>
    <t xml:space="preserve">Blue controls reconcile inherited objects and deliberate zero states. They are not evidence, award or permission to build.</t>
  </si>
  <si>
    <t xml:space="preserve">Control</t>
  </si>
  <si>
    <t xml:space="preserve">Value</t>
  </si>
  <si>
    <t xml:space="preserve">Authority</t>
  </si>
  <si>
    <t xml:space="preserve">Meaning</t>
  </si>
  <si>
    <t xml:space="preserve">public construction reserve</t>
  </si>
  <si>
    <t xml:space="preserve">A2C-3</t>
  </si>
  <si>
    <t xml:space="preserve">inherited or integrated boundary</t>
  </si>
  <si>
    <t xml:space="preserve">private candidate options</t>
  </si>
  <si>
    <t xml:space="preserve">A2C-1</t>
  </si>
  <si>
    <t xml:space="preserve">mission systems</t>
  </si>
  <si>
    <t xml:space="preserve">PFP</t>
  </si>
  <si>
    <t xml:space="preserve">endpoints</t>
  </si>
  <si>
    <t xml:space="preserve">A2C-2</t>
  </si>
  <si>
    <t xml:space="preserve">initial lanes</t>
  </si>
  <si>
    <t xml:space="preserve">receiver-state bays</t>
  </si>
  <si>
    <t xml:space="preserve">method realizations</t>
  </si>
  <si>
    <t xml:space="preserve">regeneration functions</t>
  </si>
  <si>
    <t xml:space="preserve">minimum control groups</t>
  </si>
  <si>
    <t xml:space="preserve">construction decisions</t>
  </si>
  <si>
    <t xml:space="preserve">A2C-4</t>
  </si>
  <si>
    <t xml:space="preserve">site dimensions</t>
  </si>
  <si>
    <t xml:space="preserve">failure-basin declarations</t>
  </si>
  <si>
    <t xml:space="preserve">site decisions</t>
  </si>
  <si>
    <t xml:space="preserve">bid-admission decisions</t>
  </si>
  <si>
    <t xml:space="preserve">N-1 removal tests</t>
  </si>
  <si>
    <t xml:space="preserve">valid events</t>
  </si>
  <si>
    <t xml:space="preserve">event-evidence packages</t>
  </si>
  <si>
    <t xml:space="preserve">maximum attempts</t>
  </si>
  <si>
    <t xml:space="preserve">A2C-5</t>
  </si>
  <si>
    <t xml:space="preserve">current sites</t>
  </si>
  <si>
    <t xml:space="preserve">source empty or held</t>
  </si>
  <si>
    <t xml:space="preserve">current firms</t>
  </si>
  <si>
    <t xml:space="preserve">effective awards</t>
  </si>
  <si>
    <t xml:space="preserve">current obligations</t>
  </si>
  <si>
    <t xml:space="preserve">current payments</t>
  </si>
  <si>
    <t xml:space="preserve">valid observations</t>
  </si>
  <si>
    <t xml:space="preserve">production authority</t>
  </si>
  <si>
    <t xml:space="preserve">Construction-integration hard-gate test</t>
  </si>
  <si>
    <t xml:space="preserve">Only typed artifact succession can integrate the campaign without creating a super-authority or turning administrative completion into physical truth.</t>
  </si>
  <si>
    <t xml:space="preserve">Architecture</t>
  </si>
  <si>
    <t xml:space="preserve">object conservation</t>
  </si>
  <si>
    <t xml:space="preserve">authority separation</t>
  </si>
  <si>
    <t xml:space="preserve">typed succession</t>
  </si>
  <si>
    <t xml:space="preserve">site independence</t>
  </si>
  <si>
    <t xml:space="preserve">industrial separation</t>
  </si>
  <si>
    <t xml:space="preserve">whole-slate award</t>
  </si>
  <si>
    <t xml:space="preserve">bounded money</t>
  </si>
  <si>
    <t xml:space="preserve">valid failure</t>
  </si>
  <si>
    <t xml:space="preserve">local rollback</t>
  </si>
  <si>
    <t xml:space="preserve">cold return</t>
  </si>
  <si>
    <t xml:space="preserve">no capability inference</t>
  </si>
  <si>
    <t xml:space="preserve">parent return</t>
  </si>
  <si>
    <t xml:space="preserve">Passes</t>
  </si>
  <si>
    <t xml:space="preserve">Eligible</t>
  </si>
  <si>
    <t xml:space="preserve">one master program baseline</t>
  </si>
  <si>
    <t xml:space="preserve">central integration office</t>
  </si>
  <si>
    <t xml:space="preserve">enterprise digital twin</t>
  </si>
  <si>
    <t xml:space="preserve">four adjacent constitutions</t>
  </si>
  <si>
    <t xml:space="preserve">sequential station release</t>
  </si>
  <si>
    <t xml:space="preserve">Conserved objects across the four-pass A2C branch</t>
  </si>
  <si>
    <t xml:space="preserve">Counts describe different ontologies. Similar numbers and shared campaigns do not authorize addition, substitution or state conversion.</t>
  </si>
  <si>
    <t xml:space="preserve">Layer</t>
  </si>
  <si>
    <t xml:space="preserve">Object</t>
  </si>
  <si>
    <t xml:space="preserve">Count</t>
  </si>
  <si>
    <t xml:space="preserve">Cannot infer</t>
  </si>
  <si>
    <t xml:space="preserve">candidate inquiry</t>
  </si>
  <si>
    <t xml:space="preserve">selected sentinels</t>
  </si>
  <si>
    <t xml:space="preserve">roots</t>
  </si>
  <si>
    <t xml:space="preserve">production preference</t>
  </si>
  <si>
    <t xml:space="preserve">balance and keystone endpoints</t>
  </si>
  <si>
    <t xml:space="preserve">physical result</t>
  </si>
  <si>
    <t xml:space="preserve">physical truth</t>
  </si>
  <si>
    <t xml:space="preserve">stations</t>
  </si>
  <si>
    <t xml:space="preserve">site identity</t>
  </si>
  <si>
    <t xml:space="preserve">initial active and regeneration lanes</t>
  </si>
  <si>
    <t xml:space="preserve">lanes</t>
  </si>
  <si>
    <t xml:space="preserve">constructed capacity</t>
  </si>
  <si>
    <t xml:space="preserve">bays</t>
  </si>
  <si>
    <t xml:space="preserve">accepted receiver</t>
  </si>
  <si>
    <t xml:space="preserve">paths</t>
  </si>
  <si>
    <t xml:space="preserve">144 procurements</t>
  </si>
  <si>
    <t xml:space="preserve">functions</t>
  </si>
  <si>
    <t xml:space="preserve">event credit</t>
  </si>
  <si>
    <t xml:space="preserve">construction</t>
  </si>
  <si>
    <t xml:space="preserve">severable lots</t>
  </si>
  <si>
    <t xml:space="preserve">lots</t>
  </si>
  <si>
    <t xml:space="preserve">award</t>
  </si>
  <si>
    <t xml:space="preserve">minimum beneficial-control groups</t>
  </si>
  <si>
    <t xml:space="preserve">groups</t>
  </si>
  <si>
    <t xml:space="preserve">firm identities</t>
  </si>
  <si>
    <t xml:space="preserve">packets</t>
  </si>
  <si>
    <t xml:space="preserve">event evidence</t>
  </si>
  <si>
    <t xml:space="preserve">decisions</t>
  </si>
  <si>
    <t xml:space="preserve">acceptance</t>
  </si>
  <si>
    <t xml:space="preserve">site</t>
  </si>
  <si>
    <t xml:space="preserve">charters</t>
  </si>
  <si>
    <t xml:space="preserve">locations</t>
  </si>
  <si>
    <t xml:space="preserve">records</t>
  </si>
  <si>
    <t xml:space="preserve">site admission</t>
  </si>
  <si>
    <t xml:space="preserve">failure basins</t>
  </si>
  <si>
    <t xml:space="preserve">distance independence</t>
  </si>
  <si>
    <t xml:space="preserve">competition</t>
  </si>
  <si>
    <t xml:space="preserve">minimum bid positions</t>
  </si>
  <si>
    <t xml:space="preserve">positions</t>
  </si>
  <si>
    <t xml:space="preserve">submitted bids</t>
  </si>
  <si>
    <t xml:space="preserve">admitted bidder</t>
  </si>
  <si>
    <t xml:space="preserve">control-group removals</t>
  </si>
  <si>
    <t xml:space="preserve">tests</t>
  </si>
  <si>
    <t xml:space="preserve">resilient slate</t>
  </si>
  <si>
    <t xml:space="preserve">physical experiment</t>
  </si>
  <si>
    <t xml:space="preserve">events</t>
  </si>
  <si>
    <t xml:space="preserve">favorable result</t>
  </si>
  <si>
    <t xml:space="preserve">packages</t>
  </si>
  <si>
    <t xml:space="preserve">construction packet</t>
  </si>
  <si>
    <t xml:space="preserve">attempts</t>
  </si>
  <si>
    <t xml:space="preserve">repeat until success</t>
  </si>
  <si>
    <t xml:space="preserve">integration</t>
  </si>
  <si>
    <t xml:space="preserve">implementation</t>
  </si>
  <si>
    <t xml:space="preserve">Twelve apparent contradictions closed by the compact</t>
  </si>
  <si>
    <t xml:space="preserve">A closed contradiction receives one authoritative interpretation; later work may overturn it only through the supersession record.</t>
  </si>
  <si>
    <t xml:space="preserve">ID</t>
  </si>
  <si>
    <t xml:space="preserve">Apparent conflict</t>
  </si>
  <si>
    <t xml:space="preserve">Closure</t>
  </si>
  <si>
    <t xml:space="preserve">Consequence</t>
  </si>
  <si>
    <t xml:space="preserve">C01</t>
  </si>
  <si>
    <t xml:space="preserve">six candidates versus eighteen stations</t>
  </si>
  <si>
    <t xml:space="preserve">each root requires challenge, control and reconstruction</t>
  </si>
  <si>
    <t xml:space="preserve">three epistemic roles; not three candidates</t>
  </si>
  <si>
    <t xml:space="preserve">CLOSED</t>
  </si>
  <si>
    <t xml:space="preserve">C02</t>
  </si>
  <si>
    <t xml:space="preserve">twelve endpoints versus eighteen stations</t>
  </si>
  <si>
    <t xml:space="preserve">each endpoint crosses roles and unlike lineages</t>
  </si>
  <si>
    <t xml:space="preserve">endpoint count is not station count</t>
  </si>
  <si>
    <t xml:space="preserve">C03</t>
  </si>
  <si>
    <t xml:space="preserve">seventy-two cards versus 144 realizations versus thirty-six method lots</t>
  </si>
  <si>
    <t xml:space="preserve">two physical lineages per card are bundled into one lineage lot per station</t>
  </si>
  <si>
    <t xml:space="preserve">paths are not contracts</t>
  </si>
  <si>
    <t xml:space="preserve">C04</t>
  </si>
  <si>
    <t xml:space="preserve">seventy-two regeneration functions versus eighteen lots</t>
  </si>
  <si>
    <t xml:space="preserve">four duties form one complete regeneration lot per station</t>
  </si>
  <si>
    <t xml:space="preserve">functions are not awards</t>
  </si>
  <si>
    <t xml:space="preserve">C05</t>
  </si>
  <si>
    <t xml:space="preserve">102 lots versus eighteen sites</t>
  </si>
  <si>
    <t xml:space="preserve">only station-bearing work shares eighteen charters; candidate and substrate scopes reference them</t>
  </si>
  <si>
    <t xml:space="preserve">lots are not locations</t>
  </si>
  <si>
    <t xml:space="preserve">C06</t>
  </si>
  <si>
    <t xml:space="preserve">204 bid positions versus forty-eight control groups</t>
  </si>
  <si>
    <t xml:space="preserve">positions are applications; beneficial control is a separate graph</t>
  </si>
  <si>
    <t xml:space="preserve">positions are not firms</t>
  </si>
  <si>
    <t xml:space="preserve">C07</t>
  </si>
  <si>
    <t xml:space="preserve">six three-site substrate contracts versus one nucleus/site</t>
  </si>
  <si>
    <t xml:space="preserve">contract packaging does not authorize co-location or common technical control</t>
  </si>
  <si>
    <t xml:space="preserve">economic bundle is not physical site</t>
  </si>
  <si>
    <t xml:space="preserve">C08</t>
  </si>
  <si>
    <t xml:space="preserve">510 construction packets versus 360 event packages</t>
  </si>
  <si>
    <t xml:space="preserve">construction proves as-built state; events prove causal performance</t>
  </si>
  <si>
    <t xml:space="preserve">evidence types never substitute</t>
  </si>
  <si>
    <t xml:space="preserve">C09</t>
  </si>
  <si>
    <t xml:space="preserve">714 construction, 216 site and 2,856 bid decisions</t>
  </si>
  <si>
    <t xml:space="preserve">each gate family has a distinct object and authority</t>
  </si>
  <si>
    <t xml:space="preserve">decisions are not pooled scores</t>
  </si>
  <si>
    <t xml:space="preserve">C10</t>
  </si>
  <si>
    <t xml:space="preserve">site admission before award</t>
  </si>
  <si>
    <t xml:space="preserve">access fitness creates no construction or commercial preference</t>
  </si>
  <si>
    <t xml:space="preserve">site fact is not award</t>
  </si>
  <si>
    <t xml:space="preserve">C11</t>
  </si>
  <si>
    <t xml:space="preserve">valid candidate failure with valuable public estate</t>
  </si>
  <si>
    <t xml:space="preserve">adverse evidence disposes root while truth train remains reusable</t>
  </si>
  <si>
    <t xml:space="preserve">failure is a program product</t>
  </si>
  <si>
    <t xml:space="preserve">C12</t>
  </si>
  <si>
    <t xml:space="preserve">USD 12.0B public plus USD 3.59B private</t>
  </si>
  <si>
    <t xml:space="preserve">two exclusive accounts sum once to the USD 15.6B ceiling</t>
  </si>
  <si>
    <t xml:space="preserve">nested values are not re-added</t>
  </si>
  <si>
    <t xml:space="preserve">One hundred two lot-to-campaign crosswalk records</t>
  </si>
  <si>
    <t xml:space="preserve">Every lot maps to one role in the campaign while shared site, packet, bid and payment references retain their own ledgers.</t>
  </si>
  <si>
    <t xml:space="preserve">Lot</t>
  </si>
  <si>
    <t xml:space="preserve">Class</t>
  </si>
  <si>
    <t xml:space="preserve">Funding</t>
  </si>
  <si>
    <t xml:space="preserve">System</t>
  </si>
  <si>
    <t xml:space="preserve">Root</t>
  </si>
  <si>
    <t xml:space="preserve">Role</t>
  </si>
  <si>
    <t xml:space="preserve">Station scope</t>
  </si>
  <si>
    <t xml:space="preserve">Site scope</t>
  </si>
  <si>
    <t xml:space="preserve">Ceiling USD B</t>
  </si>
  <si>
    <t xml:space="preserve">Construction packets</t>
  </si>
  <si>
    <t xml:space="preserve">Construction gates</t>
  </si>
  <si>
    <t xml:space="preserve">Bid positions</t>
  </si>
  <si>
    <t xml:space="preserve">Payment stages</t>
  </si>
  <si>
    <t xml:space="preserve">Site identity</t>
  </si>
  <si>
    <t xml:space="preserve">Firm identity</t>
  </si>
  <si>
    <t xml:space="preserve">Award</t>
  </si>
  <si>
    <t xml:space="preserve">Obligation USD B</t>
  </si>
  <si>
    <t xml:space="preserve">Payment USD B</t>
  </si>
  <si>
    <t xml:space="preserve">Capability</t>
  </si>
  <si>
    <t xml:space="preserve">SUB-01</t>
  </si>
  <si>
    <t xml:space="preserve">Civil substrate</t>
  </si>
  <si>
    <t xml:space="preserve">Public</t>
  </si>
  <si>
    <t xml:space="preserve">MULTI</t>
  </si>
  <si>
    <t xml:space="preserve">—</t>
  </si>
  <si>
    <t xml:space="preserve">ROTATED</t>
  </si>
  <si>
    <t xml:space="preserve">3-SITE PACKAGE</t>
  </si>
  <si>
    <t xml:space="preserve">3 CHARTERS</t>
  </si>
  <si>
    <t xml:space="preserve">SUB-02</t>
  </si>
  <si>
    <t xml:space="preserve">SUB-03</t>
  </si>
  <si>
    <t xml:space="preserve">SUB-04</t>
  </si>
  <si>
    <t xml:space="preserve">SUB-05</t>
  </si>
  <si>
    <t xml:space="preserve">SUB-06</t>
  </si>
  <si>
    <t xml:space="preserve">RIG-ET-CHA</t>
  </si>
  <si>
    <t xml:space="preserve">Root-native rig</t>
  </si>
  <si>
    <t xml:space="preserve">MS-ET</t>
  </si>
  <si>
    <t xml:space="preserve">ET-A</t>
  </si>
  <si>
    <t xml:space="preserve">CHALLENGE</t>
  </si>
  <si>
    <t xml:space="preserve">ST-ET-CHA</t>
  </si>
  <si>
    <t xml:space="preserve">CHR-ET-CHA</t>
  </si>
  <si>
    <t xml:space="preserve">MTH-ET-CHA-L1</t>
  </si>
  <si>
    <t xml:space="preserve">Method lineage</t>
  </si>
  <si>
    <t xml:space="preserve">MTH-ET-CHA-L2</t>
  </si>
  <si>
    <t xml:space="preserve">REG-ET-CHA</t>
  </si>
  <si>
    <t xml:space="preserve">Regeneration tool</t>
  </si>
  <si>
    <t xml:space="preserve">INT-ET-CHA</t>
  </si>
  <si>
    <t xml:space="preserve">Station integration</t>
  </si>
  <si>
    <t xml:space="preserve">RIG-ET-CON</t>
  </si>
  <si>
    <t xml:space="preserve">CONTROL</t>
  </si>
  <si>
    <t xml:space="preserve">ST-ET-CON</t>
  </si>
  <si>
    <t xml:space="preserve">CHR-ET-CON</t>
  </si>
  <si>
    <t xml:space="preserve">MTH-ET-CON-L1</t>
  </si>
  <si>
    <t xml:space="preserve">MTH-ET-CON-L2</t>
  </si>
  <si>
    <t xml:space="preserve">REG-ET-CON</t>
  </si>
  <si>
    <t xml:space="preserve">INT-ET-CON</t>
  </si>
  <si>
    <t xml:space="preserve">RIG-ET-REC</t>
  </si>
  <si>
    <t xml:space="preserve">RECONSTRUCTION</t>
  </si>
  <si>
    <t xml:space="preserve">ST-ET-REC</t>
  </si>
  <si>
    <t xml:space="preserve">CHR-ET-REC</t>
  </si>
  <si>
    <t xml:space="preserve">MTH-ET-REC-L1</t>
  </si>
  <si>
    <t xml:space="preserve">MTH-ET-REC-L2</t>
  </si>
  <si>
    <t xml:space="preserve">REG-ET-REC</t>
  </si>
  <si>
    <t xml:space="preserve">INT-ET-REC</t>
  </si>
  <si>
    <t xml:space="preserve">RIG-CT-CHA</t>
  </si>
  <si>
    <t xml:space="preserve">MS-CT</t>
  </si>
  <si>
    <t xml:space="preserve">CT-C</t>
  </si>
  <si>
    <t xml:space="preserve">ST-CT-CHA</t>
  </si>
  <si>
    <t xml:space="preserve">CHR-CT-CHA</t>
  </si>
  <si>
    <t xml:space="preserve">MTH-CT-CHA-L1</t>
  </si>
  <si>
    <t xml:space="preserve">MTH-CT-CHA-L2</t>
  </si>
  <si>
    <t xml:space="preserve">REG-CT-CHA</t>
  </si>
  <si>
    <t xml:space="preserve">INT-CT-CHA</t>
  </si>
  <si>
    <t xml:space="preserve">RIG-CT-CON</t>
  </si>
  <si>
    <t xml:space="preserve">ST-CT-CON</t>
  </si>
  <si>
    <t xml:space="preserve">CHR-CT-CON</t>
  </si>
  <si>
    <t xml:space="preserve">MTH-CT-CON-L1</t>
  </si>
  <si>
    <t xml:space="preserve">MTH-CT-CON-L2</t>
  </si>
  <si>
    <t xml:space="preserve">REG-CT-CON</t>
  </si>
  <si>
    <t xml:space="preserve">INT-CT-CON</t>
  </si>
  <si>
    <t xml:space="preserve">RIG-CT-REC</t>
  </si>
  <si>
    <t xml:space="preserve">ST-CT-REC</t>
  </si>
  <si>
    <t xml:space="preserve">CHR-CT-REC</t>
  </si>
  <si>
    <t xml:space="preserve">MTH-CT-REC-L1</t>
  </si>
  <si>
    <t xml:space="preserve">MTH-CT-REC-L2</t>
  </si>
  <si>
    <t xml:space="preserve">REG-CT-REC</t>
  </si>
  <si>
    <t xml:space="preserve">INT-CT-REC</t>
  </si>
  <si>
    <t xml:space="preserve">RIG-HC-CHA</t>
  </si>
  <si>
    <t xml:space="preserve">MS-HC</t>
  </si>
  <si>
    <t xml:space="preserve">HC-A</t>
  </si>
  <si>
    <t xml:space="preserve">ST-HC-CHA</t>
  </si>
  <si>
    <t xml:space="preserve">CHR-HC-CHA</t>
  </si>
  <si>
    <t xml:space="preserve">MTH-HC-CHA-L1</t>
  </si>
  <si>
    <t xml:space="preserve">MTH-HC-CHA-L2</t>
  </si>
  <si>
    <t xml:space="preserve">REG-HC-CHA</t>
  </si>
  <si>
    <t xml:space="preserve">INT-HC-CHA</t>
  </si>
  <si>
    <t xml:space="preserve">RIG-HC-CON</t>
  </si>
  <si>
    <t xml:space="preserve">ST-HC-CON</t>
  </si>
  <si>
    <t xml:space="preserve">CHR-HC-CON</t>
  </si>
  <si>
    <t xml:space="preserve">MTH-HC-CON-L1</t>
  </si>
  <si>
    <t xml:space="preserve">MTH-HC-CON-L2</t>
  </si>
  <si>
    <t xml:space="preserve">REG-HC-CON</t>
  </si>
  <si>
    <t xml:space="preserve">INT-HC-CON</t>
  </si>
  <si>
    <t xml:space="preserve">RIG-HC-REC</t>
  </si>
  <si>
    <t xml:space="preserve">ST-HC-REC</t>
  </si>
  <si>
    <t xml:space="preserve">CHR-HC-REC</t>
  </si>
  <si>
    <t xml:space="preserve">MTH-HC-REC-L1</t>
  </si>
  <si>
    <t xml:space="preserve">MTH-HC-REC-L2</t>
  </si>
  <si>
    <t xml:space="preserve">REG-HC-REC</t>
  </si>
  <si>
    <t xml:space="preserve">INT-HC-REC</t>
  </si>
  <si>
    <t xml:space="preserve">RIG-LF-CHA</t>
  </si>
  <si>
    <t xml:space="preserve">MS-LF</t>
  </si>
  <si>
    <t xml:space="preserve">LF-B</t>
  </si>
  <si>
    <t xml:space="preserve">ST-LF-CHA</t>
  </si>
  <si>
    <t xml:space="preserve">CHR-LF-CHA</t>
  </si>
  <si>
    <t xml:space="preserve">MTH-LF-CHA-L1</t>
  </si>
  <si>
    <t xml:space="preserve">MTH-LF-CHA-L2</t>
  </si>
  <si>
    <t xml:space="preserve">REG-LF-CHA</t>
  </si>
  <si>
    <t xml:space="preserve">INT-LF-CHA</t>
  </si>
  <si>
    <t xml:space="preserve">RIG-LF-CON</t>
  </si>
  <si>
    <t xml:space="preserve">ST-LF-CON</t>
  </si>
  <si>
    <t xml:space="preserve">CHR-LF-CON</t>
  </si>
  <si>
    <t xml:space="preserve">MTH-LF-CON-L1</t>
  </si>
  <si>
    <t xml:space="preserve">MTH-LF-CON-L2</t>
  </si>
  <si>
    <t xml:space="preserve">REG-LF-CON</t>
  </si>
  <si>
    <t xml:space="preserve">INT-LF-CON</t>
  </si>
  <si>
    <t xml:space="preserve">RIG-LF-REC</t>
  </si>
  <si>
    <t xml:space="preserve">ST-LF-REC</t>
  </si>
  <si>
    <t xml:space="preserve">CHR-LF-REC</t>
  </si>
  <si>
    <t xml:space="preserve">MTH-LF-REC-L1</t>
  </si>
  <si>
    <t xml:space="preserve">MTH-LF-REC-L2</t>
  </si>
  <si>
    <t xml:space="preserve">REG-LF-REC</t>
  </si>
  <si>
    <t xml:space="preserve">INT-LF-REC</t>
  </si>
  <si>
    <t xml:space="preserve">RIG-HU-CHA</t>
  </si>
  <si>
    <t xml:space="preserve">MS-HU</t>
  </si>
  <si>
    <t xml:space="preserve">HU-A</t>
  </si>
  <si>
    <t xml:space="preserve">ST-HU-CHA</t>
  </si>
  <si>
    <t xml:space="preserve">CHR-HU-CHA</t>
  </si>
  <si>
    <t xml:space="preserve">MTH-HU-CHA-L1</t>
  </si>
  <si>
    <t xml:space="preserve">MTH-HU-CHA-L2</t>
  </si>
  <si>
    <t xml:space="preserve">REG-HU-CHA</t>
  </si>
  <si>
    <t xml:space="preserve">INT-HU-CHA</t>
  </si>
  <si>
    <t xml:space="preserve">RIG-HU-CON</t>
  </si>
  <si>
    <t xml:space="preserve">ST-HU-CON</t>
  </si>
  <si>
    <t xml:space="preserve">CHR-HU-CON</t>
  </si>
  <si>
    <t xml:space="preserve">MTH-HU-CON-L1</t>
  </si>
  <si>
    <t xml:space="preserve">MTH-HU-CON-L2</t>
  </si>
  <si>
    <t xml:space="preserve">REG-HU-CON</t>
  </si>
  <si>
    <t xml:space="preserve">INT-HU-CON</t>
  </si>
  <si>
    <t xml:space="preserve">RIG-HU-REC</t>
  </si>
  <si>
    <t xml:space="preserve">ST-HU-REC</t>
  </si>
  <si>
    <t xml:space="preserve">CHR-HU-REC</t>
  </si>
  <si>
    <t xml:space="preserve">MTH-HU-REC-L1</t>
  </si>
  <si>
    <t xml:space="preserve">MTH-HU-REC-L2</t>
  </si>
  <si>
    <t xml:space="preserve">REG-HU-REC</t>
  </si>
  <si>
    <t xml:space="preserve">INT-HU-REC</t>
  </si>
  <si>
    <t xml:space="preserve">RIG-RT-CHA</t>
  </si>
  <si>
    <t xml:space="preserve">MS-RT</t>
  </si>
  <si>
    <t xml:space="preserve">RT-B</t>
  </si>
  <si>
    <t xml:space="preserve">ST-RT-CHA</t>
  </si>
  <si>
    <t xml:space="preserve">CHR-RT-CHA</t>
  </si>
  <si>
    <t xml:space="preserve">MTH-RT-CHA-L1</t>
  </si>
  <si>
    <t xml:space="preserve">MTH-RT-CHA-L2</t>
  </si>
  <si>
    <t xml:space="preserve">REG-RT-CHA</t>
  </si>
  <si>
    <t xml:space="preserve">INT-RT-CHA</t>
  </si>
  <si>
    <t xml:space="preserve">RIG-RT-CON</t>
  </si>
  <si>
    <t xml:space="preserve">ST-RT-CON</t>
  </si>
  <si>
    <t xml:space="preserve">CHR-RT-CON</t>
  </si>
  <si>
    <t xml:space="preserve">MTH-RT-CON-L1</t>
  </si>
  <si>
    <t xml:space="preserve">MTH-RT-CON-L2</t>
  </si>
  <si>
    <t xml:space="preserve">REG-RT-CON</t>
  </si>
  <si>
    <t xml:space="preserve">INT-RT-CON</t>
  </si>
  <si>
    <t xml:space="preserve">RIG-RT-REC</t>
  </si>
  <si>
    <t xml:space="preserve">ST-RT-REC</t>
  </si>
  <si>
    <t xml:space="preserve">CHR-RT-REC</t>
  </si>
  <si>
    <t xml:space="preserve">MTH-RT-REC-L1</t>
  </si>
  <si>
    <t xml:space="preserve">MTH-RT-REC-L2</t>
  </si>
  <si>
    <t xml:space="preserve">REG-RT-REC</t>
  </si>
  <si>
    <t xml:space="preserve">INT-RT-REC</t>
  </si>
  <si>
    <t xml:space="preserve">CAN-ET-A</t>
  </si>
  <si>
    <t xml:space="preserve">Candidate mechanism</t>
  </si>
  <si>
    <t xml:space="preserve">Private option</t>
  </si>
  <si>
    <t xml:space="preserve">SYSTEM</t>
  </si>
  <si>
    <t xml:space="preserve">ET TRUTH TRAIN</t>
  </si>
  <si>
    <t xml:space="preserve">CAN-CT-C</t>
  </si>
  <si>
    <t xml:space="preserve">CT TRUTH TRAIN</t>
  </si>
  <si>
    <t xml:space="preserve">CAN-HC-A</t>
  </si>
  <si>
    <t xml:space="preserve">HC TRUTH TRAIN</t>
  </si>
  <si>
    <t xml:space="preserve">CAN-LF-B</t>
  </si>
  <si>
    <t xml:space="preserve">LF TRUTH TRAIN</t>
  </si>
  <si>
    <t xml:space="preserve">CAN-HU-A</t>
  </si>
  <si>
    <t xml:space="preserve">HU TRUTH TRAIN</t>
  </si>
  <si>
    <t xml:space="preserve">CAN-RT-B</t>
  </si>
  <si>
    <t xml:space="preserve">RT TRUTH TRAIN</t>
  </si>
  <si>
    <t xml:space="preserve">Eighteen serial construction warrants</t>
  </si>
  <si>
    <t xml:space="preserve">Integration is artifact succession. A receiving authority obtains one bounded record, never the producer's power.</t>
  </si>
  <si>
    <t xml:space="preserve">Warrant</t>
  </si>
  <si>
    <t xml:space="preserve">Artifact</t>
  </si>
  <si>
    <t xml:space="preserve">Producer</t>
  </si>
  <si>
    <t xml:space="preserve">Acceptor / consumer</t>
  </si>
  <si>
    <t xml:space="preserve">Next state</t>
  </si>
  <si>
    <t xml:space="preserve">Current value</t>
  </si>
  <si>
    <t xml:space="preserve">Expiry or rollback</t>
  </si>
  <si>
    <t xml:space="preserve">W01</t>
  </si>
  <si>
    <t xml:space="preserve">NEED</t>
  </si>
  <si>
    <t xml:space="preserve">public-service deficit and noncompensatory vector</t>
  </si>
  <si>
    <t xml:space="preserve">Civic requirement authority</t>
  </si>
  <si>
    <t xml:space="preserve">Root portfolio court</t>
  </si>
  <si>
    <t xml:space="preserve">SENTINEL</t>
  </si>
  <si>
    <t xml:space="preserve">same-scope return; no forward inference</t>
  </si>
  <si>
    <t xml:space="preserve">W02</t>
  </si>
  <si>
    <t xml:space="preserve">one deliberately fragile root per system</t>
  </si>
  <si>
    <t xml:space="preserve">Public method authority</t>
  </si>
  <si>
    <t xml:space="preserve">METHOD</t>
  </si>
  <si>
    <t xml:space="preserve">ROOT HOLD</t>
  </si>
  <si>
    <t xml:space="preserve">W03</t>
  </si>
  <si>
    <t xml:space="preserve">receiver states, endpoints and denial grammar</t>
  </si>
  <si>
    <t xml:space="preserve">Proving Service</t>
  </si>
  <si>
    <t xml:space="preserve">RIG</t>
  </si>
  <si>
    <t xml:space="preserve">METHOD FROZEN</t>
  </si>
  <si>
    <t xml:space="preserve">W04</t>
  </si>
  <si>
    <t xml:space="preserve">root-native truth train and station configuration</t>
  </si>
  <si>
    <t xml:space="preserve">Industrial constitution</t>
  </si>
  <si>
    <t xml:space="preserve">LOT</t>
  </si>
  <si>
    <t xml:space="preserve">RIG FROZEN</t>
  </si>
  <si>
    <t xml:space="preserve">W05</t>
  </si>
  <si>
    <t xml:space="preserve">102 severable construction objects and ceilings</t>
  </si>
  <si>
    <t xml:space="preserve">Site stewardship authority</t>
  </si>
  <si>
    <t xml:space="preserve">SITE CLASS</t>
  </si>
  <si>
    <t xml:space="preserve">LOT CONSTITUTED</t>
  </si>
  <si>
    <t xml:space="preserve">W06</t>
  </si>
  <si>
    <t xml:space="preserve">eighteen source-independent causal envelopes</t>
  </si>
  <si>
    <t xml:space="preserve">Physical Site Court</t>
  </si>
  <si>
    <t xml:space="preserve">SITE ADMISSION</t>
  </si>
  <si>
    <t xml:space="preserve">CLASS CONSTITUTED</t>
  </si>
  <si>
    <t xml:space="preserve">W07</t>
  </si>
  <si>
    <t xml:space="preserve">named rights, conditions and causal independence</t>
  </si>
  <si>
    <t xml:space="preserve">Technical bid panel</t>
  </si>
  <si>
    <t xml:space="preserve">TECHNICAL ADMISSION</t>
  </si>
  <si>
    <t xml:space="preserve">source absent</t>
  </si>
  <si>
    <t xml:space="preserve">W08</t>
  </si>
  <si>
    <t xml:space="preserve">pseudonymous complete-lot method</t>
  </si>
  <si>
    <t xml:space="preserve">Control registrar</t>
  </si>
  <si>
    <t xml:space="preserve">CONTROL ADMISSION</t>
  </si>
  <si>
    <t xml:space="preserve">W09</t>
  </si>
  <si>
    <t xml:space="preserve">ownership, debt, subtier, tool, key and personnel graph</t>
  </si>
  <si>
    <t xml:space="preserve">Optimization custodian</t>
  </si>
  <si>
    <t xml:space="preserve">SLATE PROOF</t>
  </si>
  <si>
    <t xml:space="preserve">W10</t>
  </si>
  <si>
    <t xml:space="preserve">complete primary slate plus forty-eight N-1 solves</t>
  </si>
  <si>
    <t xml:space="preserve">Comptroller</t>
  </si>
  <si>
    <t xml:space="preserve">PRICE ADMISSION</t>
  </si>
  <si>
    <t xml:space="preserve">W11</t>
  </si>
  <si>
    <t xml:space="preserve">lot-local sealed price within ceiling</t>
  </si>
  <si>
    <t xml:space="preserve">Award authority</t>
  </si>
  <si>
    <t xml:space="preserve">AWARD</t>
  </si>
  <si>
    <t xml:space="preserve">W12</t>
  </si>
  <si>
    <t xml:space="preserve">102 simultaneous effective construction awards</t>
  </si>
  <si>
    <t xml:space="preserve">Commissioning authorities</t>
  </si>
  <si>
    <t xml:space="preserve">FRAME</t>
  </si>
  <si>
    <t xml:space="preserve">W13</t>
  </si>
  <si>
    <t xml:space="preserve">accepted configuration, control, rights and work plan</t>
  </si>
  <si>
    <t xml:space="preserve">MAKE</t>
  </si>
  <si>
    <t xml:space="preserve">W14</t>
  </si>
  <si>
    <t xml:space="preserve">accepted as-built object and native commissioning</t>
  </si>
  <si>
    <t xml:space="preserve">Evidence Court</t>
  </si>
  <si>
    <t xml:space="preserve">EVENT VALIDITY</t>
  </si>
  <si>
    <t xml:space="preserve">W15</t>
  </si>
  <si>
    <t xml:space="preserve">sealed valid or invalid physical event</t>
  </si>
  <si>
    <t xml:space="preserve">Root disposition court</t>
  </si>
  <si>
    <t xml:space="preserve">ROOT DISPOSITION</t>
  </si>
  <si>
    <t xml:space="preserve">W16</t>
  </si>
  <si>
    <t xml:space="preserve">KILL, RESIZE or ADVANCE TO COMPLETE-ROOT PROOF</t>
  </si>
  <si>
    <t xml:space="preserve">Cold reconstruction authority</t>
  </si>
  <si>
    <t xml:space="preserve">COLD RETURN</t>
  </si>
  <si>
    <t xml:space="preserve">W17</t>
  </si>
  <si>
    <t xml:space="preserve">outside-team rebuild, calibration and replay</t>
  </si>
  <si>
    <t xml:space="preserve">TRANSFER RETURN</t>
  </si>
  <si>
    <t xml:space="preserve">W18</t>
  </si>
  <si>
    <t xml:space="preserve">accepted technical record returned to parent portfolio</t>
  </si>
  <si>
    <t xml:space="preserve">FORM-GIVING REQUIREMENT</t>
  </si>
  <si>
    <t xml:space="preserve">Eighteen-state construction campaign</t>
  </si>
  <si>
    <t xml:space="preserve">Only NEED through SITE CLASS are presently constituted or frozen. Every identity-, award- and evidence-bearing state remains blocked or source empty.</t>
  </si>
  <si>
    <t xml:space="preserve">Order</t>
  </si>
  <si>
    <t xml:space="preserve">Current artifact</t>
  </si>
  <si>
    <t xml:space="preserve">Transition state</t>
  </si>
  <si>
    <t xml:space="preserve">Required predecessor</t>
  </si>
  <si>
    <t xml:space="preserve">Successor</t>
  </si>
  <si>
    <t xml:space="preserve">Physical observation?</t>
  </si>
  <si>
    <t xml:space="preserve">Capability credit</t>
  </si>
  <si>
    <t xml:space="preserve">Nonconversion</t>
  </si>
  <si>
    <t xml:space="preserve">parent need warrant</t>
  </si>
  <si>
    <t xml:space="preserve">NO</t>
  </si>
  <si>
    <t xml:space="preserve">NO FORWARD INFERENCE</t>
  </si>
  <si>
    <t xml:space="preserve">BLOCKED</t>
  </si>
  <si>
    <t xml:space="preserve">Seventeen typed handoffs between warrants</t>
  </si>
  <si>
    <t xml:space="preserve">Every edge is one-way and typed. Return moves to a named predecessor; it does not transfer authority upstream or downstream.</t>
  </si>
  <si>
    <t xml:space="preserve">Edge</t>
  </si>
  <si>
    <t xml:space="preserve">From</t>
  </si>
  <si>
    <t xml:space="preserve">To</t>
  </si>
  <si>
    <t xml:space="preserve">Transferred artifact</t>
  </si>
  <si>
    <t xml:space="preserve">Receiver may do</t>
  </si>
  <si>
    <t xml:space="preserve">Receiver may not do</t>
  </si>
  <si>
    <t xml:space="preserve">Rollback target</t>
  </si>
  <si>
    <t xml:space="preserve">E01</t>
  </si>
  <si>
    <t xml:space="preserve">test or consume only for SENTINEL</t>
  </si>
  <si>
    <t xml:space="preserve">rewrite NEED or manufacture METHOD</t>
  </si>
  <si>
    <t xml:space="preserve">E02</t>
  </si>
  <si>
    <t xml:space="preserve">test or consume only for METHOD</t>
  </si>
  <si>
    <t xml:space="preserve">rewrite SENTINEL or manufacture RIG</t>
  </si>
  <si>
    <t xml:space="preserve">E03</t>
  </si>
  <si>
    <t xml:space="preserve">test or consume only for RIG</t>
  </si>
  <si>
    <t xml:space="preserve">rewrite METHOD or manufacture LOT</t>
  </si>
  <si>
    <t xml:space="preserve">E04</t>
  </si>
  <si>
    <t xml:space="preserve">test or consume only for LOT</t>
  </si>
  <si>
    <t xml:space="preserve">rewrite RIG or manufacture SITE CLASS</t>
  </si>
  <si>
    <t xml:space="preserve">E05</t>
  </si>
  <si>
    <t xml:space="preserve">test or consume only for SITE CLASS</t>
  </si>
  <si>
    <t xml:space="preserve">rewrite LOT or manufacture SITE ADMISSION</t>
  </si>
  <si>
    <t xml:space="preserve">E06</t>
  </si>
  <si>
    <t xml:space="preserve">test or consume only for SITE ADMISSION</t>
  </si>
  <si>
    <t xml:space="preserve">rewrite SITE CLASS or manufacture TECHNICAL ADMISSION</t>
  </si>
  <si>
    <t xml:space="preserve">E07</t>
  </si>
  <si>
    <t xml:space="preserve">test or consume only for TECHNICAL ADMISSION</t>
  </si>
  <si>
    <t xml:space="preserve">rewrite SITE ADMISSION or manufacture CONTROL ADMISSION</t>
  </si>
  <si>
    <t xml:space="preserve">E08</t>
  </si>
  <si>
    <t xml:space="preserve">test or consume only for CONTROL ADMISSION</t>
  </si>
  <si>
    <t xml:space="preserve">rewrite TECHNICAL ADMISSION or manufacture SLATE PROOF</t>
  </si>
  <si>
    <t xml:space="preserve">E09</t>
  </si>
  <si>
    <t xml:space="preserve">test or consume only for SLATE PROOF</t>
  </si>
  <si>
    <t xml:space="preserve">rewrite CONTROL ADMISSION or manufacture PRICE ADMISSION</t>
  </si>
  <si>
    <t xml:space="preserve">E10</t>
  </si>
  <si>
    <t xml:space="preserve">test or consume only for PRICE ADMISSION</t>
  </si>
  <si>
    <t xml:space="preserve">rewrite SLATE PROOF or manufacture AWARD</t>
  </si>
  <si>
    <t xml:space="preserve">E11</t>
  </si>
  <si>
    <t xml:space="preserve">test or consume only for AWARD</t>
  </si>
  <si>
    <t xml:space="preserve">rewrite PRICE ADMISSION or manufacture FRAME</t>
  </si>
  <si>
    <t xml:space="preserve">E12</t>
  </si>
  <si>
    <t xml:space="preserve">test or consume only for FRAME</t>
  </si>
  <si>
    <t xml:space="preserve">rewrite AWARD or manufacture MAKE</t>
  </si>
  <si>
    <t xml:space="preserve">E13</t>
  </si>
  <si>
    <t xml:space="preserve">test or consume only for MAKE</t>
  </si>
  <si>
    <t xml:space="preserve">rewrite FRAME or manufacture EVENT VALIDITY</t>
  </si>
  <si>
    <t xml:space="preserve">E14</t>
  </si>
  <si>
    <t xml:space="preserve">test or consume only for EVENT VALIDITY</t>
  </si>
  <si>
    <t xml:space="preserve">rewrite MAKE or manufacture ROOT DISPOSITION</t>
  </si>
  <si>
    <t xml:space="preserve">E15</t>
  </si>
  <si>
    <t xml:space="preserve">test or consume only for ROOT DISPOSITION</t>
  </si>
  <si>
    <t xml:space="preserve">rewrite EVENT VALIDITY or manufacture COLD RETURN</t>
  </si>
  <si>
    <t xml:space="preserve">E16</t>
  </si>
  <si>
    <t xml:space="preserve">test or consume only for COLD RETURN</t>
  </si>
  <si>
    <t xml:space="preserve">rewrite ROOT DISPOSITION or manufacture TRANSFER RETURN</t>
  </si>
  <si>
    <t xml:space="preserve">E17</t>
  </si>
  <si>
    <t xml:space="preserve">test or consume only for TRANSFER RETURN</t>
  </si>
  <si>
    <t xml:space="preserve">rewrite COLD RETURN or manufacture FORM-GIVING REQUIREMENT</t>
  </si>
  <si>
    <t xml:space="preserve">Sixteen authorities across eighteen warrants</t>
  </si>
  <si>
    <t xml:space="preserve">CREATE and ACCEPT remain distinct. All other cells are NONE; no authority acquires a universal view or override through integration.</t>
  </si>
  <si>
    <t xml:space="preserve">Create count</t>
  </si>
  <si>
    <t xml:space="preserve">CREATE</t>
  </si>
  <si>
    <t xml:space="preserve">NONE</t>
  </si>
  <si>
    <t xml:space="preserve">ACCEPT</t>
  </si>
  <si>
    <t xml:space="preserve">Eighteen prohibited state conversions</t>
  </si>
  <si>
    <t xml:space="preserve">A nonconversion is an enforceable denial rule, not explanatory prose. Its violation rolls back the claiming state.</t>
  </si>
  <si>
    <t xml:space="preserve">False conversion</t>
  </si>
  <si>
    <t xml:space="preserve">Why invalid</t>
  </si>
  <si>
    <t xml:space="preserve">Required intervening warrant</t>
  </si>
  <si>
    <t xml:space="preserve">Violation response</t>
  </si>
  <si>
    <t xml:space="preserve">N01</t>
  </si>
  <si>
    <t xml:space="preserve">selection → promise</t>
  </si>
  <si>
    <t xml:space="preserve">sentinel is chosen for falsifiability, not production merit</t>
  </si>
  <si>
    <t xml:space="preserve">hold claim</t>
  </si>
  <si>
    <t xml:space="preserve">N02</t>
  </si>
  <si>
    <t xml:space="preserve">method → observation</t>
  </si>
  <si>
    <t xml:space="preserve">a protocol contains no physical fact</t>
  </si>
  <si>
    <t xml:space="preserve">reject claim</t>
  </si>
  <si>
    <t xml:space="preserve">N03</t>
  </si>
  <si>
    <t xml:space="preserve">configuration → article</t>
  </si>
  <si>
    <t xml:space="preserve">paper geometry has no as-built identity</t>
  </si>
  <si>
    <t xml:space="preserve">N04</t>
  </si>
  <si>
    <t xml:space="preserve">lot → award</t>
  </si>
  <si>
    <t xml:space="preserve">a procurement object has no winner</t>
  </si>
  <si>
    <t xml:space="preserve">N05</t>
  </si>
  <si>
    <t xml:space="preserve">site class → place</t>
  </si>
  <si>
    <t xml:space="preserve">a causal envelope names no land</t>
  </si>
  <si>
    <t xml:space="preserve">N06</t>
  </si>
  <si>
    <t xml:space="preserve">distance → independence</t>
  </si>
  <si>
    <t xml:space="preserve">mileage cannot expose shared causal ancestry</t>
  </si>
  <si>
    <t xml:space="preserve">repeat basin proof</t>
  </si>
  <si>
    <t xml:space="preserve">N07</t>
  </si>
  <si>
    <t xml:space="preserve">bid position → bidder</t>
  </si>
  <si>
    <t xml:space="preserve">a required slot is not a submission</t>
  </si>
  <si>
    <t xml:space="preserve">N08</t>
  </si>
  <si>
    <t xml:space="preserve">two bids → N-1 resilience</t>
  </si>
  <si>
    <t xml:space="preserve">slot depth does not prove whole-pool recomposition</t>
  </si>
  <si>
    <t xml:space="preserve">repeat solve</t>
  </si>
  <si>
    <t xml:space="preserve">N09</t>
  </si>
  <si>
    <t xml:space="preserve">low price → admission</t>
  </si>
  <si>
    <t xml:space="preserve">money cannot cure technical or control failure</t>
  </si>
  <si>
    <t xml:space="preserve">reject bid</t>
  </si>
  <si>
    <t xml:space="preserve">N10</t>
  </si>
  <si>
    <t xml:space="preserve">provisional → contract</t>
  </si>
  <si>
    <t xml:space="preserve">pre-effect selection creates no entitlement</t>
  </si>
  <si>
    <t xml:space="preserve">revoke without liability</t>
  </si>
  <si>
    <t xml:space="preserve">N11</t>
  </si>
  <si>
    <t xml:space="preserve">obligation → acceptance</t>
  </si>
  <si>
    <t xml:space="preserve">fund reservation contains no accepted artifact</t>
  </si>
  <si>
    <t xml:space="preserve">FRAME or MAKE</t>
  </si>
  <si>
    <t xml:space="preserve">hold payment</t>
  </si>
  <si>
    <t xml:space="preserve">N12</t>
  </si>
  <si>
    <t xml:space="preserve">construction → event validity</t>
  </si>
  <si>
    <t xml:space="preserve">as-built state does not establish causal performance</t>
  </si>
  <si>
    <t xml:space="preserve">hold event</t>
  </si>
  <si>
    <t xml:space="preserve">N13</t>
  </si>
  <si>
    <t xml:space="preserve">valid event → favorable evidence</t>
  </si>
  <si>
    <t xml:space="preserve">valid adverse evidence remains binding</t>
  </si>
  <si>
    <t xml:space="preserve">disposition without rerun</t>
  </si>
  <si>
    <t xml:space="preserve">N14</t>
  </si>
  <si>
    <t xml:space="preserve">payment → technical credit</t>
  </si>
  <si>
    <t xml:space="preserve">money follows artifacts, not technical success</t>
  </si>
  <si>
    <t xml:space="preserve">deny credit</t>
  </si>
  <si>
    <t xml:space="preserve">N15</t>
  </si>
  <si>
    <t xml:space="preserve">regeneration → second event</t>
  </si>
  <si>
    <t xml:space="preserve">rebuild lane earns no event count</t>
  </si>
  <si>
    <t xml:space="preserve">deny count</t>
  </si>
  <si>
    <t xml:space="preserve">N16</t>
  </si>
  <si>
    <t xml:space="preserve">root survival → production</t>
  </si>
  <si>
    <t xml:space="preserve">sentinel survival precedes complete-root proof</t>
  </si>
  <si>
    <t xml:space="preserve">hold production</t>
  </si>
  <si>
    <t xml:space="preserve">N17</t>
  </si>
  <si>
    <t xml:space="preserve">transfer → readiness</t>
  </si>
  <si>
    <t xml:space="preserve">technical record is not formation service</t>
  </si>
  <si>
    <t xml:space="preserve">parent force-generation warrants</t>
  </si>
  <si>
    <t xml:space="preserve">deny readiness</t>
  </si>
  <si>
    <t xml:space="preserve">N18</t>
  </si>
  <si>
    <t xml:space="preserve">functional envelope → exterior</t>
  </si>
  <si>
    <t xml:space="preserve">form remains unselected until article requirements close</t>
  </si>
  <si>
    <t xml:space="preserve">hold rendering</t>
  </si>
  <si>
    <t xml:space="preserve">Five hundred ten construction packet references</t>
  </si>
  <si>
    <t xml:space="preserve">Construction packets prove configuration and as-built state. They cannot satisfy event-evidence packages.</t>
  </si>
  <si>
    <t xml:space="preserve">Packet</t>
  </si>
  <si>
    <t xml:space="preserve">Packet type</t>
  </si>
  <si>
    <t xml:space="preserve">Source identity</t>
  </si>
  <si>
    <t xml:space="preserve">Accepted</t>
  </si>
  <si>
    <t xml:space="preserve">Event substitute?</t>
  </si>
  <si>
    <t xml:space="preserve">CONFIGURATION</t>
  </si>
  <si>
    <t xml:space="preserve">METROLOGY</t>
  </si>
  <si>
    <t xml:space="preserve">SAFETY</t>
  </si>
  <si>
    <t xml:space="preserve">Three hundred sixty event-evidence package references</t>
  </si>
  <si>
    <t xml:space="preserve">Five evidence packages accompany each of seventy-two valid-event positions. All observations, validity and outcomes remain source empty.</t>
  </si>
  <si>
    <t xml:space="preserve">Package</t>
  </si>
  <si>
    <t xml:space="preserve">Event</t>
  </si>
  <si>
    <t xml:space="preserve">Endpoint</t>
  </si>
  <si>
    <t xml:space="preserve">Lineage</t>
  </si>
  <si>
    <t xml:space="preserve">Evidence plane</t>
  </si>
  <si>
    <t xml:space="preserve">Observation identity</t>
  </si>
  <si>
    <t xml:space="preserve">Validity</t>
  </si>
  <si>
    <t xml:space="preserve">Outcome</t>
  </si>
  <si>
    <t xml:space="preserve">EVD-EV-ET-BAL-CHA-L1-EVENT</t>
  </si>
  <si>
    <t xml:space="preserve">EV-ET-BAL-CHA-L1</t>
  </si>
  <si>
    <t xml:space="preserve">BALANCE</t>
  </si>
  <si>
    <t xml:space="preserve">L1</t>
  </si>
  <si>
    <t xml:space="preserve">EVENT INTEGRITY</t>
  </si>
  <si>
    <t xml:space="preserve">EVD-EV-ET-BAL-CHA-L1-MECHANISM</t>
  </si>
  <si>
    <t xml:space="preserve">MECHANISM</t>
  </si>
  <si>
    <t xml:space="preserve">EVD-EV-ET-BAL-CHA-L1-PUBLIC</t>
  </si>
  <si>
    <t xml:space="preserve">PUBLIC EFFECT</t>
  </si>
  <si>
    <t xml:space="preserve">EVD-EV-ET-BAL-CHA-L1-RIGHTS</t>
  </si>
  <si>
    <t xml:space="preserve">RIGHTS / RESIDUAL</t>
  </si>
  <si>
    <t xml:space="preserve">EVD-EV-ET-BAL-CHA-L1-CUSTODY</t>
  </si>
  <si>
    <t xml:space="preserve">CUSTODY / REPLAY</t>
  </si>
  <si>
    <t xml:space="preserve">EVD-EV-ET-BAL-CHA-L2-EVENT</t>
  </si>
  <si>
    <t xml:space="preserve">EV-ET-BAL-CHA-L2</t>
  </si>
  <si>
    <t xml:space="preserve">L2</t>
  </si>
  <si>
    <t xml:space="preserve">EVD-EV-ET-BAL-CHA-L2-MECHANISM</t>
  </si>
  <si>
    <t xml:space="preserve">EVD-EV-ET-BAL-CHA-L2-PUBLIC</t>
  </si>
  <si>
    <t xml:space="preserve">EVD-EV-ET-BAL-CHA-L2-RIGHTS</t>
  </si>
  <si>
    <t xml:space="preserve">EVD-EV-ET-BAL-CHA-L2-CUSTODY</t>
  </si>
  <si>
    <t xml:space="preserve">EVD-EV-ET-BAL-CON-L1-EVENT</t>
  </si>
  <si>
    <t xml:space="preserve">EV-ET-BAL-CON-L1</t>
  </si>
  <si>
    <t xml:space="preserve">EVD-EV-ET-BAL-CON-L1-MECHANISM</t>
  </si>
  <si>
    <t xml:space="preserve">EVD-EV-ET-BAL-CON-L1-PUBLIC</t>
  </si>
  <si>
    <t xml:space="preserve">EVD-EV-ET-BAL-CON-L1-RIGHTS</t>
  </si>
  <si>
    <t xml:space="preserve">EVD-EV-ET-BAL-CON-L1-CUSTODY</t>
  </si>
  <si>
    <t xml:space="preserve">EVD-EV-ET-BAL-CON-L2-EVENT</t>
  </si>
  <si>
    <t xml:space="preserve">EV-ET-BAL-CON-L2</t>
  </si>
  <si>
    <t xml:space="preserve">EVD-EV-ET-BAL-CON-L2-MECHANISM</t>
  </si>
  <si>
    <t xml:space="preserve">EVD-EV-ET-BAL-CON-L2-PUBLIC</t>
  </si>
  <si>
    <t xml:space="preserve">EVD-EV-ET-BAL-CON-L2-RIGHTS</t>
  </si>
  <si>
    <t xml:space="preserve">EVD-EV-ET-BAL-CON-L2-CUSTODY</t>
  </si>
  <si>
    <t xml:space="preserve">EVD-EV-ET-BAL-REC-L1-EVENT</t>
  </si>
  <si>
    <t xml:space="preserve">EV-ET-BAL-REC-L1</t>
  </si>
  <si>
    <t xml:space="preserve">EVD-EV-ET-BAL-REC-L1-MECHANISM</t>
  </si>
  <si>
    <t xml:space="preserve">EVD-EV-ET-BAL-REC-L1-PUBLIC</t>
  </si>
  <si>
    <t xml:space="preserve">EVD-EV-ET-BAL-REC-L1-RIGHTS</t>
  </si>
  <si>
    <t xml:space="preserve">EVD-EV-ET-BAL-REC-L1-CUSTODY</t>
  </si>
  <si>
    <t xml:space="preserve">EVD-EV-ET-BAL-REC-L2-EVENT</t>
  </si>
  <si>
    <t xml:space="preserve">EV-ET-BAL-REC-L2</t>
  </si>
  <si>
    <t xml:space="preserve">EVD-EV-ET-BAL-REC-L2-MECHANISM</t>
  </si>
  <si>
    <t xml:space="preserve">EVD-EV-ET-BAL-REC-L2-PUBLIC</t>
  </si>
  <si>
    <t xml:space="preserve">EVD-EV-ET-BAL-REC-L2-RIGHTS</t>
  </si>
  <si>
    <t xml:space="preserve">EVD-EV-ET-BAL-REC-L2-CUSTODY</t>
  </si>
  <si>
    <t xml:space="preserve">EVD-EV-ET-KEY-CHA-L1-EVENT</t>
  </si>
  <si>
    <t xml:space="preserve">EV-ET-KEY-CHA-L1</t>
  </si>
  <si>
    <t xml:space="preserve">KEYSTONE</t>
  </si>
  <si>
    <t xml:space="preserve">EVD-EV-ET-KEY-CHA-L1-MECHANISM</t>
  </si>
  <si>
    <t xml:space="preserve">EVD-EV-ET-KEY-CHA-L1-PUBLIC</t>
  </si>
  <si>
    <t xml:space="preserve">EVD-EV-ET-KEY-CHA-L1-RIGHTS</t>
  </si>
  <si>
    <t xml:space="preserve">EVD-EV-ET-KEY-CHA-L1-CUSTODY</t>
  </si>
  <si>
    <t xml:space="preserve">EVD-EV-ET-KEY-CHA-L2-EVENT</t>
  </si>
  <si>
    <t xml:space="preserve">EV-ET-KEY-CHA-L2</t>
  </si>
  <si>
    <t xml:space="preserve">EVD-EV-ET-KEY-CHA-L2-MECHANISM</t>
  </si>
  <si>
    <t xml:space="preserve">EVD-EV-ET-KEY-CHA-L2-PUBLIC</t>
  </si>
  <si>
    <t xml:space="preserve">EVD-EV-ET-KEY-CHA-L2-RIGHTS</t>
  </si>
  <si>
    <t xml:space="preserve">EVD-EV-ET-KEY-CHA-L2-CUSTODY</t>
  </si>
  <si>
    <t xml:space="preserve">EVD-EV-ET-KEY-CON-L1-EVENT</t>
  </si>
  <si>
    <t xml:space="preserve">EV-ET-KEY-CON-L1</t>
  </si>
  <si>
    <t xml:space="preserve">EVD-EV-ET-KEY-CON-L1-MECHANISM</t>
  </si>
  <si>
    <t xml:space="preserve">EVD-EV-ET-KEY-CON-L1-PUBLIC</t>
  </si>
  <si>
    <t xml:space="preserve">EVD-EV-ET-KEY-CON-L1-RIGHTS</t>
  </si>
  <si>
    <t xml:space="preserve">EVD-EV-ET-KEY-CON-L1-CUSTODY</t>
  </si>
  <si>
    <t xml:space="preserve">EVD-EV-ET-KEY-CON-L2-EVENT</t>
  </si>
  <si>
    <t xml:space="preserve">EV-ET-KEY-CON-L2</t>
  </si>
  <si>
    <t xml:space="preserve">EVD-EV-ET-KEY-CON-L2-MECHANISM</t>
  </si>
  <si>
    <t xml:space="preserve">EVD-EV-ET-KEY-CON-L2-PUBLIC</t>
  </si>
  <si>
    <t xml:space="preserve">EVD-EV-ET-KEY-CON-L2-RIGHTS</t>
  </si>
  <si>
    <t xml:space="preserve">EVD-EV-ET-KEY-CON-L2-CUSTODY</t>
  </si>
  <si>
    <t xml:space="preserve">EVD-EV-ET-KEY-REC-L1-EVENT</t>
  </si>
  <si>
    <t xml:space="preserve">EV-ET-KEY-REC-L1</t>
  </si>
  <si>
    <t xml:space="preserve">EVD-EV-ET-KEY-REC-L1-MECHANISM</t>
  </si>
  <si>
    <t xml:space="preserve">EVD-EV-ET-KEY-REC-L1-PUBLIC</t>
  </si>
  <si>
    <t xml:space="preserve">EVD-EV-ET-KEY-REC-L1-RIGHTS</t>
  </si>
  <si>
    <t xml:space="preserve">EVD-EV-ET-KEY-REC-L1-CUSTODY</t>
  </si>
  <si>
    <t xml:space="preserve">EVD-EV-ET-KEY-REC-L2-EVENT</t>
  </si>
  <si>
    <t xml:space="preserve">EV-ET-KEY-REC-L2</t>
  </si>
  <si>
    <t xml:space="preserve">EVD-EV-ET-KEY-REC-L2-MECHANISM</t>
  </si>
  <si>
    <t xml:space="preserve">EVD-EV-ET-KEY-REC-L2-PUBLIC</t>
  </si>
  <si>
    <t xml:space="preserve">EVD-EV-ET-KEY-REC-L2-RIGHTS</t>
  </si>
  <si>
    <t xml:space="preserve">EVD-EV-ET-KEY-REC-L2-CUSTODY</t>
  </si>
  <si>
    <t xml:space="preserve">EVD-EV-CT-BAL-CHA-L1-EVENT</t>
  </si>
  <si>
    <t xml:space="preserve">EV-CT-BAL-CHA-L1</t>
  </si>
  <si>
    <t xml:space="preserve">EVD-EV-CT-BAL-CHA-L1-MECHANISM</t>
  </si>
  <si>
    <t xml:space="preserve">EVD-EV-CT-BAL-CHA-L1-PUBLIC</t>
  </si>
  <si>
    <t xml:space="preserve">EVD-EV-CT-BAL-CHA-L1-RIGHTS</t>
  </si>
  <si>
    <t xml:space="preserve">EVD-EV-CT-BAL-CHA-L1-CUSTODY</t>
  </si>
  <si>
    <t xml:space="preserve">EVD-EV-CT-BAL-CHA-L2-EVENT</t>
  </si>
  <si>
    <t xml:space="preserve">EV-CT-BAL-CHA-L2</t>
  </si>
  <si>
    <t xml:space="preserve">EVD-EV-CT-BAL-CHA-L2-MECHANISM</t>
  </si>
  <si>
    <t xml:space="preserve">EVD-EV-CT-BAL-CHA-L2-PUBLIC</t>
  </si>
  <si>
    <t xml:space="preserve">EVD-EV-CT-BAL-CHA-L2-RIGHTS</t>
  </si>
  <si>
    <t xml:space="preserve">EVD-EV-CT-BAL-CHA-L2-CUSTODY</t>
  </si>
  <si>
    <t xml:space="preserve">EVD-EV-CT-BAL-CON-L1-EVENT</t>
  </si>
  <si>
    <t xml:space="preserve">EV-CT-BAL-CON-L1</t>
  </si>
  <si>
    <t xml:space="preserve">EVD-EV-CT-BAL-CON-L1-MECHANISM</t>
  </si>
  <si>
    <t xml:space="preserve">EVD-EV-CT-BAL-CON-L1-PUBLIC</t>
  </si>
  <si>
    <t xml:space="preserve">EVD-EV-CT-BAL-CON-L1-RIGHTS</t>
  </si>
  <si>
    <t xml:space="preserve">EVD-EV-CT-BAL-CON-L1-CUSTODY</t>
  </si>
  <si>
    <t xml:space="preserve">EVD-EV-CT-BAL-CON-L2-EVENT</t>
  </si>
  <si>
    <t xml:space="preserve">EV-CT-BAL-CON-L2</t>
  </si>
  <si>
    <t xml:space="preserve">EVD-EV-CT-BAL-CON-L2-MECHANISM</t>
  </si>
  <si>
    <t xml:space="preserve">EVD-EV-CT-BAL-CON-L2-PUBLIC</t>
  </si>
  <si>
    <t xml:space="preserve">EVD-EV-CT-BAL-CON-L2-RIGHTS</t>
  </si>
  <si>
    <t xml:space="preserve">EVD-EV-CT-BAL-CON-L2-CUSTODY</t>
  </si>
  <si>
    <t xml:space="preserve">EVD-EV-CT-BAL-REC-L1-EVENT</t>
  </si>
  <si>
    <t xml:space="preserve">EV-CT-BAL-REC-L1</t>
  </si>
  <si>
    <t xml:space="preserve">EVD-EV-CT-BAL-REC-L1-MECHANISM</t>
  </si>
  <si>
    <t xml:space="preserve">EVD-EV-CT-BAL-REC-L1-PUBLIC</t>
  </si>
  <si>
    <t xml:space="preserve">EVD-EV-CT-BAL-REC-L1-RIGHTS</t>
  </si>
  <si>
    <t xml:space="preserve">EVD-EV-CT-BAL-REC-L1-CUSTODY</t>
  </si>
  <si>
    <t xml:space="preserve">EVD-EV-CT-BAL-REC-L2-EVENT</t>
  </si>
  <si>
    <t xml:space="preserve">EV-CT-BAL-REC-L2</t>
  </si>
  <si>
    <t xml:space="preserve">EVD-EV-CT-BAL-REC-L2-MECHANISM</t>
  </si>
  <si>
    <t xml:space="preserve">EVD-EV-CT-BAL-REC-L2-PUBLIC</t>
  </si>
  <si>
    <t xml:space="preserve">EVD-EV-CT-BAL-REC-L2-RIGHTS</t>
  </si>
  <si>
    <t xml:space="preserve">EVD-EV-CT-BAL-REC-L2-CUSTODY</t>
  </si>
  <si>
    <t xml:space="preserve">EVD-EV-CT-KEY-CHA-L1-EVENT</t>
  </si>
  <si>
    <t xml:space="preserve">EV-CT-KEY-CHA-L1</t>
  </si>
  <si>
    <t xml:space="preserve">EVD-EV-CT-KEY-CHA-L1-MECHANISM</t>
  </si>
  <si>
    <t xml:space="preserve">EVD-EV-CT-KEY-CHA-L1-PUBLIC</t>
  </si>
  <si>
    <t xml:space="preserve">EVD-EV-CT-KEY-CHA-L1-RIGHTS</t>
  </si>
  <si>
    <t xml:space="preserve">EVD-EV-CT-KEY-CHA-L1-CUSTODY</t>
  </si>
  <si>
    <t xml:space="preserve">EVD-EV-CT-KEY-CHA-L2-EVENT</t>
  </si>
  <si>
    <t xml:space="preserve">EV-CT-KEY-CHA-L2</t>
  </si>
  <si>
    <t xml:space="preserve">EVD-EV-CT-KEY-CHA-L2-MECHANISM</t>
  </si>
  <si>
    <t xml:space="preserve">EVD-EV-CT-KEY-CHA-L2-PUBLIC</t>
  </si>
  <si>
    <t xml:space="preserve">EVD-EV-CT-KEY-CHA-L2-RIGHTS</t>
  </si>
  <si>
    <t xml:space="preserve">EVD-EV-CT-KEY-CHA-L2-CUSTODY</t>
  </si>
  <si>
    <t xml:space="preserve">EVD-EV-CT-KEY-CON-L1-EVENT</t>
  </si>
  <si>
    <t xml:space="preserve">EV-CT-KEY-CON-L1</t>
  </si>
  <si>
    <t xml:space="preserve">EVD-EV-CT-KEY-CON-L1-MECHANISM</t>
  </si>
  <si>
    <t xml:space="preserve">EVD-EV-CT-KEY-CON-L1-PUBLIC</t>
  </si>
  <si>
    <t xml:space="preserve">EVD-EV-CT-KEY-CON-L1-RIGHTS</t>
  </si>
  <si>
    <t xml:space="preserve">EVD-EV-CT-KEY-CON-L1-CUSTODY</t>
  </si>
  <si>
    <t xml:space="preserve">EVD-EV-CT-KEY-CON-L2-EVENT</t>
  </si>
  <si>
    <t xml:space="preserve">EV-CT-KEY-CON-L2</t>
  </si>
  <si>
    <t xml:space="preserve">EVD-EV-CT-KEY-CON-L2-MECHANISM</t>
  </si>
  <si>
    <t xml:space="preserve">EVD-EV-CT-KEY-CON-L2-PUBLIC</t>
  </si>
  <si>
    <t xml:space="preserve">EVD-EV-CT-KEY-CON-L2-RIGHTS</t>
  </si>
  <si>
    <t xml:space="preserve">EVD-EV-CT-KEY-CON-L2-CUSTODY</t>
  </si>
  <si>
    <t xml:space="preserve">EVD-EV-CT-KEY-REC-L1-EVENT</t>
  </si>
  <si>
    <t xml:space="preserve">EV-CT-KEY-REC-L1</t>
  </si>
  <si>
    <t xml:space="preserve">EVD-EV-CT-KEY-REC-L1-MECHANISM</t>
  </si>
  <si>
    <t xml:space="preserve">EVD-EV-CT-KEY-REC-L1-PUBLIC</t>
  </si>
  <si>
    <t xml:space="preserve">EVD-EV-CT-KEY-REC-L1-RIGHTS</t>
  </si>
  <si>
    <t xml:space="preserve">EVD-EV-CT-KEY-REC-L1-CUSTODY</t>
  </si>
  <si>
    <t xml:space="preserve">EVD-EV-CT-KEY-REC-L2-EVENT</t>
  </si>
  <si>
    <t xml:space="preserve">EV-CT-KEY-REC-L2</t>
  </si>
  <si>
    <t xml:space="preserve">EVD-EV-CT-KEY-REC-L2-MECHANISM</t>
  </si>
  <si>
    <t xml:space="preserve">EVD-EV-CT-KEY-REC-L2-PUBLIC</t>
  </si>
  <si>
    <t xml:space="preserve">EVD-EV-CT-KEY-REC-L2-RIGHTS</t>
  </si>
  <si>
    <t xml:space="preserve">EVD-EV-CT-KEY-REC-L2-CUSTODY</t>
  </si>
  <si>
    <t xml:space="preserve">EVD-EV-HC-BAL-CHA-L1-EVENT</t>
  </si>
  <si>
    <t xml:space="preserve">EV-HC-BAL-CHA-L1</t>
  </si>
  <si>
    <t xml:space="preserve">EVD-EV-HC-BAL-CHA-L1-MECHANISM</t>
  </si>
  <si>
    <t xml:space="preserve">EVD-EV-HC-BAL-CHA-L1-PUBLIC</t>
  </si>
  <si>
    <t xml:space="preserve">EVD-EV-HC-BAL-CHA-L1-RIGHTS</t>
  </si>
  <si>
    <t xml:space="preserve">EVD-EV-HC-BAL-CHA-L1-CUSTODY</t>
  </si>
  <si>
    <t xml:space="preserve">EVD-EV-HC-BAL-CHA-L2-EVENT</t>
  </si>
  <si>
    <t xml:space="preserve">EV-HC-BAL-CHA-L2</t>
  </si>
  <si>
    <t xml:space="preserve">EVD-EV-HC-BAL-CHA-L2-MECHANISM</t>
  </si>
  <si>
    <t xml:space="preserve">EVD-EV-HC-BAL-CHA-L2-PUBLIC</t>
  </si>
  <si>
    <t xml:space="preserve">EVD-EV-HC-BAL-CHA-L2-RIGHTS</t>
  </si>
  <si>
    <t xml:space="preserve">EVD-EV-HC-BAL-CHA-L2-CUSTODY</t>
  </si>
  <si>
    <t xml:space="preserve">EVD-EV-HC-BAL-CON-L1-EVENT</t>
  </si>
  <si>
    <t xml:space="preserve">EV-HC-BAL-CON-L1</t>
  </si>
  <si>
    <t xml:space="preserve">EVD-EV-HC-BAL-CON-L1-MECHANISM</t>
  </si>
  <si>
    <t xml:space="preserve">EVD-EV-HC-BAL-CON-L1-PUBLIC</t>
  </si>
  <si>
    <t xml:space="preserve">EVD-EV-HC-BAL-CON-L1-RIGHTS</t>
  </si>
  <si>
    <t xml:space="preserve">EVD-EV-HC-BAL-CON-L1-CUSTODY</t>
  </si>
  <si>
    <t xml:space="preserve">EVD-EV-HC-BAL-CON-L2-EVENT</t>
  </si>
  <si>
    <t xml:space="preserve">EV-HC-BAL-CON-L2</t>
  </si>
  <si>
    <t xml:space="preserve">EVD-EV-HC-BAL-CON-L2-MECHANISM</t>
  </si>
  <si>
    <t xml:space="preserve">EVD-EV-HC-BAL-CON-L2-PUBLIC</t>
  </si>
  <si>
    <t xml:space="preserve">EVD-EV-HC-BAL-CON-L2-RIGHTS</t>
  </si>
  <si>
    <t xml:space="preserve">EVD-EV-HC-BAL-CON-L2-CUSTODY</t>
  </si>
  <si>
    <t xml:space="preserve">EVD-EV-HC-BAL-REC-L1-EVENT</t>
  </si>
  <si>
    <t xml:space="preserve">EV-HC-BAL-REC-L1</t>
  </si>
  <si>
    <t xml:space="preserve">EVD-EV-HC-BAL-REC-L1-MECHANISM</t>
  </si>
  <si>
    <t xml:space="preserve">EVD-EV-HC-BAL-REC-L1-PUBLIC</t>
  </si>
  <si>
    <t xml:space="preserve">EVD-EV-HC-BAL-REC-L1-RIGHTS</t>
  </si>
  <si>
    <t xml:space="preserve">EVD-EV-HC-BAL-REC-L1-CUSTODY</t>
  </si>
  <si>
    <t xml:space="preserve">EVD-EV-HC-BAL-REC-L2-EVENT</t>
  </si>
  <si>
    <t xml:space="preserve">EV-HC-BAL-REC-L2</t>
  </si>
  <si>
    <t xml:space="preserve">EVD-EV-HC-BAL-REC-L2-MECHANISM</t>
  </si>
  <si>
    <t xml:space="preserve">EVD-EV-HC-BAL-REC-L2-PUBLIC</t>
  </si>
  <si>
    <t xml:space="preserve">EVD-EV-HC-BAL-REC-L2-RIGHTS</t>
  </si>
  <si>
    <t xml:space="preserve">EVD-EV-HC-BAL-REC-L2-CUSTODY</t>
  </si>
  <si>
    <t xml:space="preserve">EVD-EV-HC-KEY-CHA-L1-EVENT</t>
  </si>
  <si>
    <t xml:space="preserve">EV-HC-KEY-CHA-L1</t>
  </si>
  <si>
    <t xml:space="preserve">EVD-EV-HC-KEY-CHA-L1-MECHANISM</t>
  </si>
  <si>
    <t xml:space="preserve">EVD-EV-HC-KEY-CHA-L1-PUBLIC</t>
  </si>
  <si>
    <t xml:space="preserve">EVD-EV-HC-KEY-CHA-L1-RIGHTS</t>
  </si>
  <si>
    <t xml:space="preserve">EVD-EV-HC-KEY-CHA-L1-CUSTODY</t>
  </si>
  <si>
    <t xml:space="preserve">EVD-EV-HC-KEY-CHA-L2-EVENT</t>
  </si>
  <si>
    <t xml:space="preserve">EV-HC-KEY-CHA-L2</t>
  </si>
  <si>
    <t xml:space="preserve">EVD-EV-HC-KEY-CHA-L2-MECHANISM</t>
  </si>
  <si>
    <t xml:space="preserve">EVD-EV-HC-KEY-CHA-L2-PUBLIC</t>
  </si>
  <si>
    <t xml:space="preserve">EVD-EV-HC-KEY-CHA-L2-RIGHTS</t>
  </si>
  <si>
    <t xml:space="preserve">EVD-EV-HC-KEY-CHA-L2-CUSTODY</t>
  </si>
  <si>
    <t xml:space="preserve">EVD-EV-HC-KEY-CON-L1-EVENT</t>
  </si>
  <si>
    <t xml:space="preserve">EV-HC-KEY-CON-L1</t>
  </si>
  <si>
    <t xml:space="preserve">EVD-EV-HC-KEY-CON-L1-MECHANISM</t>
  </si>
  <si>
    <t xml:space="preserve">EVD-EV-HC-KEY-CON-L1-PUBLIC</t>
  </si>
  <si>
    <t xml:space="preserve">EVD-EV-HC-KEY-CON-L1-RIGHTS</t>
  </si>
  <si>
    <t xml:space="preserve">EVD-EV-HC-KEY-CON-L1-CUSTODY</t>
  </si>
  <si>
    <t xml:space="preserve">EVD-EV-HC-KEY-CON-L2-EVENT</t>
  </si>
  <si>
    <t xml:space="preserve">EV-HC-KEY-CON-L2</t>
  </si>
  <si>
    <t xml:space="preserve">EVD-EV-HC-KEY-CON-L2-MECHANISM</t>
  </si>
  <si>
    <t xml:space="preserve">EVD-EV-HC-KEY-CON-L2-PUBLIC</t>
  </si>
  <si>
    <t xml:space="preserve">EVD-EV-HC-KEY-CON-L2-RIGHTS</t>
  </si>
  <si>
    <t xml:space="preserve">EVD-EV-HC-KEY-CON-L2-CUSTODY</t>
  </si>
  <si>
    <t xml:space="preserve">EVD-EV-HC-KEY-REC-L1-EVENT</t>
  </si>
  <si>
    <t xml:space="preserve">EV-HC-KEY-REC-L1</t>
  </si>
  <si>
    <t xml:space="preserve">EVD-EV-HC-KEY-REC-L1-MECHANISM</t>
  </si>
  <si>
    <t xml:space="preserve">EVD-EV-HC-KEY-REC-L1-PUBLIC</t>
  </si>
  <si>
    <t xml:space="preserve">EVD-EV-HC-KEY-REC-L1-RIGHTS</t>
  </si>
  <si>
    <t xml:space="preserve">EVD-EV-HC-KEY-REC-L1-CUSTODY</t>
  </si>
  <si>
    <t xml:space="preserve">EVD-EV-HC-KEY-REC-L2-EVENT</t>
  </si>
  <si>
    <t xml:space="preserve">EV-HC-KEY-REC-L2</t>
  </si>
  <si>
    <t xml:space="preserve">EVD-EV-HC-KEY-REC-L2-MECHANISM</t>
  </si>
  <si>
    <t xml:space="preserve">EVD-EV-HC-KEY-REC-L2-PUBLIC</t>
  </si>
  <si>
    <t xml:space="preserve">EVD-EV-HC-KEY-REC-L2-RIGHTS</t>
  </si>
  <si>
    <t xml:space="preserve">EVD-EV-HC-KEY-REC-L2-CUSTODY</t>
  </si>
  <si>
    <t xml:space="preserve">EVD-EV-LF-BAL-CHA-L1-EVENT</t>
  </si>
  <si>
    <t xml:space="preserve">EV-LF-BAL-CHA-L1</t>
  </si>
  <si>
    <t xml:space="preserve">EVD-EV-LF-BAL-CHA-L1-MECHANISM</t>
  </si>
  <si>
    <t xml:space="preserve">EVD-EV-LF-BAL-CHA-L1-PUBLIC</t>
  </si>
  <si>
    <t xml:space="preserve">EVD-EV-LF-BAL-CHA-L1-RIGHTS</t>
  </si>
  <si>
    <t xml:space="preserve">EVD-EV-LF-BAL-CHA-L1-CUSTODY</t>
  </si>
  <si>
    <t xml:space="preserve">EVD-EV-LF-BAL-CHA-L2-EVENT</t>
  </si>
  <si>
    <t xml:space="preserve">EV-LF-BAL-CHA-L2</t>
  </si>
  <si>
    <t xml:space="preserve">EVD-EV-LF-BAL-CHA-L2-MECHANISM</t>
  </si>
  <si>
    <t xml:space="preserve">EVD-EV-LF-BAL-CHA-L2-PUBLIC</t>
  </si>
  <si>
    <t xml:space="preserve">EVD-EV-LF-BAL-CHA-L2-RIGHTS</t>
  </si>
  <si>
    <t xml:space="preserve">EVD-EV-LF-BAL-CHA-L2-CUSTODY</t>
  </si>
  <si>
    <t xml:space="preserve">EVD-EV-LF-BAL-CON-L1-EVENT</t>
  </si>
  <si>
    <t xml:space="preserve">EV-LF-BAL-CON-L1</t>
  </si>
  <si>
    <t xml:space="preserve">EVD-EV-LF-BAL-CON-L1-MECHANISM</t>
  </si>
  <si>
    <t xml:space="preserve">EVD-EV-LF-BAL-CON-L1-PUBLIC</t>
  </si>
  <si>
    <t xml:space="preserve">EVD-EV-LF-BAL-CON-L1-RIGHTS</t>
  </si>
  <si>
    <t xml:space="preserve">EVD-EV-LF-BAL-CON-L1-CUSTODY</t>
  </si>
  <si>
    <t xml:space="preserve">EVD-EV-LF-BAL-CON-L2-EVENT</t>
  </si>
  <si>
    <t xml:space="preserve">EV-LF-BAL-CON-L2</t>
  </si>
  <si>
    <t xml:space="preserve">EVD-EV-LF-BAL-CON-L2-MECHANISM</t>
  </si>
  <si>
    <t xml:space="preserve">EVD-EV-LF-BAL-CON-L2-PUBLIC</t>
  </si>
  <si>
    <t xml:space="preserve">EVD-EV-LF-BAL-CON-L2-RIGHTS</t>
  </si>
  <si>
    <t xml:space="preserve">EVD-EV-LF-BAL-CON-L2-CUSTODY</t>
  </si>
  <si>
    <t xml:space="preserve">EVD-EV-LF-BAL-REC-L1-EVENT</t>
  </si>
  <si>
    <t xml:space="preserve">EV-LF-BAL-REC-L1</t>
  </si>
  <si>
    <t xml:space="preserve">EVD-EV-LF-BAL-REC-L1-MECHANISM</t>
  </si>
  <si>
    <t xml:space="preserve">EVD-EV-LF-BAL-REC-L1-PUBLIC</t>
  </si>
  <si>
    <t xml:space="preserve">EVD-EV-LF-BAL-REC-L1-RIGHTS</t>
  </si>
  <si>
    <t xml:space="preserve">EVD-EV-LF-BAL-REC-L1-CUSTODY</t>
  </si>
  <si>
    <t xml:space="preserve">EVD-EV-LF-BAL-REC-L2-EVENT</t>
  </si>
  <si>
    <t xml:space="preserve">EV-LF-BAL-REC-L2</t>
  </si>
  <si>
    <t xml:space="preserve">EVD-EV-LF-BAL-REC-L2-MECHANISM</t>
  </si>
  <si>
    <t xml:space="preserve">EVD-EV-LF-BAL-REC-L2-PUBLIC</t>
  </si>
  <si>
    <t xml:space="preserve">EVD-EV-LF-BAL-REC-L2-RIGHTS</t>
  </si>
  <si>
    <t xml:space="preserve">EVD-EV-LF-BAL-REC-L2-CUSTODY</t>
  </si>
  <si>
    <t xml:space="preserve">EVD-EV-LF-KEY-CHA-L1-EVENT</t>
  </si>
  <si>
    <t xml:space="preserve">EV-LF-KEY-CHA-L1</t>
  </si>
  <si>
    <t xml:space="preserve">EVD-EV-LF-KEY-CHA-L1-MECHANISM</t>
  </si>
  <si>
    <t xml:space="preserve">EVD-EV-LF-KEY-CHA-L1-PUBLIC</t>
  </si>
  <si>
    <t xml:space="preserve">EVD-EV-LF-KEY-CHA-L1-RIGHTS</t>
  </si>
  <si>
    <t xml:space="preserve">EVD-EV-LF-KEY-CHA-L1-CUSTODY</t>
  </si>
  <si>
    <t xml:space="preserve">EVD-EV-LF-KEY-CHA-L2-EVENT</t>
  </si>
  <si>
    <t xml:space="preserve">EV-LF-KEY-CHA-L2</t>
  </si>
  <si>
    <t xml:space="preserve">EVD-EV-LF-KEY-CHA-L2-MECHANISM</t>
  </si>
  <si>
    <t xml:space="preserve">EVD-EV-LF-KEY-CHA-L2-PUBLIC</t>
  </si>
  <si>
    <t xml:space="preserve">EVD-EV-LF-KEY-CHA-L2-RIGHTS</t>
  </si>
  <si>
    <t xml:space="preserve">EVD-EV-LF-KEY-CHA-L2-CUSTODY</t>
  </si>
  <si>
    <t xml:space="preserve">EVD-EV-LF-KEY-CON-L1-EVENT</t>
  </si>
  <si>
    <t xml:space="preserve">EV-LF-KEY-CON-L1</t>
  </si>
  <si>
    <t xml:space="preserve">EVD-EV-LF-KEY-CON-L1-MECHANISM</t>
  </si>
  <si>
    <t xml:space="preserve">EVD-EV-LF-KEY-CON-L1-PUBLIC</t>
  </si>
  <si>
    <t xml:space="preserve">EVD-EV-LF-KEY-CON-L1-RIGHTS</t>
  </si>
  <si>
    <t xml:space="preserve">EVD-EV-LF-KEY-CON-L1-CUSTODY</t>
  </si>
  <si>
    <t xml:space="preserve">EVD-EV-LF-KEY-CON-L2-EVENT</t>
  </si>
  <si>
    <t xml:space="preserve">EV-LF-KEY-CON-L2</t>
  </si>
  <si>
    <t xml:space="preserve">EVD-EV-LF-KEY-CON-L2-MECHANISM</t>
  </si>
  <si>
    <t xml:space="preserve">EVD-EV-LF-KEY-CON-L2-PUBLIC</t>
  </si>
  <si>
    <t xml:space="preserve">EVD-EV-LF-KEY-CON-L2-RIGHTS</t>
  </si>
  <si>
    <t xml:space="preserve">EVD-EV-LF-KEY-CON-L2-CUSTODY</t>
  </si>
  <si>
    <t xml:space="preserve">EVD-EV-LF-KEY-REC-L1-EVENT</t>
  </si>
  <si>
    <t xml:space="preserve">EV-LF-KEY-REC-L1</t>
  </si>
  <si>
    <t xml:space="preserve">EVD-EV-LF-KEY-REC-L1-MECHANISM</t>
  </si>
  <si>
    <t xml:space="preserve">EVD-EV-LF-KEY-REC-L1-PUBLIC</t>
  </si>
  <si>
    <t xml:space="preserve">EVD-EV-LF-KEY-REC-L1-RIGHTS</t>
  </si>
  <si>
    <t xml:space="preserve">EVD-EV-LF-KEY-REC-L1-CUSTODY</t>
  </si>
  <si>
    <t xml:space="preserve">EVD-EV-LF-KEY-REC-L2-EVENT</t>
  </si>
  <si>
    <t xml:space="preserve">EV-LF-KEY-REC-L2</t>
  </si>
  <si>
    <t xml:space="preserve">EVD-EV-LF-KEY-REC-L2-MECHANISM</t>
  </si>
  <si>
    <t xml:space="preserve">EVD-EV-LF-KEY-REC-L2-PUBLIC</t>
  </si>
  <si>
    <t xml:space="preserve">EVD-EV-LF-KEY-REC-L2-RIGHTS</t>
  </si>
  <si>
    <t xml:space="preserve">EVD-EV-LF-KEY-REC-L2-CUSTODY</t>
  </si>
  <si>
    <t xml:space="preserve">EVD-EV-HU-BAL-CHA-L1-EVENT</t>
  </si>
  <si>
    <t xml:space="preserve">EV-HU-BAL-CHA-L1</t>
  </si>
  <si>
    <t xml:space="preserve">EVD-EV-HU-BAL-CHA-L1-MECHANISM</t>
  </si>
  <si>
    <t xml:space="preserve">EVD-EV-HU-BAL-CHA-L1-PUBLIC</t>
  </si>
  <si>
    <t xml:space="preserve">EVD-EV-HU-BAL-CHA-L1-RIGHTS</t>
  </si>
  <si>
    <t xml:space="preserve">EVD-EV-HU-BAL-CHA-L1-CUSTODY</t>
  </si>
  <si>
    <t xml:space="preserve">EVD-EV-HU-BAL-CHA-L2-EVENT</t>
  </si>
  <si>
    <t xml:space="preserve">EV-HU-BAL-CHA-L2</t>
  </si>
  <si>
    <t xml:space="preserve">EVD-EV-HU-BAL-CHA-L2-MECHANISM</t>
  </si>
  <si>
    <t xml:space="preserve">EVD-EV-HU-BAL-CHA-L2-PUBLIC</t>
  </si>
  <si>
    <t xml:space="preserve">EVD-EV-HU-BAL-CHA-L2-RIGHTS</t>
  </si>
  <si>
    <t xml:space="preserve">EVD-EV-HU-BAL-CHA-L2-CUSTODY</t>
  </si>
  <si>
    <t xml:space="preserve">EVD-EV-HU-BAL-CON-L1-EVENT</t>
  </si>
  <si>
    <t xml:space="preserve">EV-HU-BAL-CON-L1</t>
  </si>
  <si>
    <t xml:space="preserve">EVD-EV-HU-BAL-CON-L1-MECHANISM</t>
  </si>
  <si>
    <t xml:space="preserve">EVD-EV-HU-BAL-CON-L1-PUBLIC</t>
  </si>
  <si>
    <t xml:space="preserve">EVD-EV-HU-BAL-CON-L1-RIGHTS</t>
  </si>
  <si>
    <t xml:space="preserve">EVD-EV-HU-BAL-CON-L1-CUSTODY</t>
  </si>
  <si>
    <t xml:space="preserve">EVD-EV-HU-BAL-CON-L2-EVENT</t>
  </si>
  <si>
    <t xml:space="preserve">EV-HU-BAL-CON-L2</t>
  </si>
  <si>
    <t xml:space="preserve">EVD-EV-HU-BAL-CON-L2-MECHANISM</t>
  </si>
  <si>
    <t xml:space="preserve">EVD-EV-HU-BAL-CON-L2-PUBLIC</t>
  </si>
  <si>
    <t xml:space="preserve">EVD-EV-HU-BAL-CON-L2-RIGHTS</t>
  </si>
  <si>
    <t xml:space="preserve">EVD-EV-HU-BAL-CON-L2-CUSTODY</t>
  </si>
  <si>
    <t xml:space="preserve">EVD-EV-HU-BAL-REC-L1-EVENT</t>
  </si>
  <si>
    <t xml:space="preserve">EV-HU-BAL-REC-L1</t>
  </si>
  <si>
    <t xml:space="preserve">EVD-EV-HU-BAL-REC-L1-MECHANISM</t>
  </si>
  <si>
    <t xml:space="preserve">EVD-EV-HU-BAL-REC-L1-PUBLIC</t>
  </si>
  <si>
    <t xml:space="preserve">EVD-EV-HU-BAL-REC-L1-RIGHTS</t>
  </si>
  <si>
    <t xml:space="preserve">EVD-EV-HU-BAL-REC-L1-CUSTODY</t>
  </si>
  <si>
    <t xml:space="preserve">EVD-EV-HU-BAL-REC-L2-EVENT</t>
  </si>
  <si>
    <t xml:space="preserve">EV-HU-BAL-REC-L2</t>
  </si>
  <si>
    <t xml:space="preserve">EVD-EV-HU-BAL-REC-L2-MECHANISM</t>
  </si>
  <si>
    <t xml:space="preserve">EVD-EV-HU-BAL-REC-L2-PUBLIC</t>
  </si>
  <si>
    <t xml:space="preserve">EVD-EV-HU-BAL-REC-L2-RIGHTS</t>
  </si>
  <si>
    <t xml:space="preserve">EVD-EV-HU-BAL-REC-L2-CUSTODY</t>
  </si>
  <si>
    <t xml:space="preserve">EVD-EV-HU-KEY-CHA-L1-EVENT</t>
  </si>
  <si>
    <t xml:space="preserve">EV-HU-KEY-CHA-L1</t>
  </si>
  <si>
    <t xml:space="preserve">EVD-EV-HU-KEY-CHA-L1-MECHANISM</t>
  </si>
  <si>
    <t xml:space="preserve">EVD-EV-HU-KEY-CHA-L1-PUBLIC</t>
  </si>
  <si>
    <t xml:space="preserve">EVD-EV-HU-KEY-CHA-L1-RIGHTS</t>
  </si>
  <si>
    <t xml:space="preserve">EVD-EV-HU-KEY-CHA-L1-CUSTODY</t>
  </si>
  <si>
    <t xml:space="preserve">EVD-EV-HU-KEY-CHA-L2-EVENT</t>
  </si>
  <si>
    <t xml:space="preserve">EV-HU-KEY-CHA-L2</t>
  </si>
  <si>
    <t xml:space="preserve">EVD-EV-HU-KEY-CHA-L2-MECHANISM</t>
  </si>
  <si>
    <t xml:space="preserve">EVD-EV-HU-KEY-CHA-L2-PUBLIC</t>
  </si>
  <si>
    <t xml:space="preserve">EVD-EV-HU-KEY-CHA-L2-RIGHTS</t>
  </si>
  <si>
    <t xml:space="preserve">EVD-EV-HU-KEY-CHA-L2-CUSTODY</t>
  </si>
  <si>
    <t xml:space="preserve">EVD-EV-HU-KEY-CON-L1-EVENT</t>
  </si>
  <si>
    <t xml:space="preserve">EV-HU-KEY-CON-L1</t>
  </si>
  <si>
    <t xml:space="preserve">EVD-EV-HU-KEY-CON-L1-MECHANISM</t>
  </si>
  <si>
    <t xml:space="preserve">EVD-EV-HU-KEY-CON-L1-PUBLIC</t>
  </si>
  <si>
    <t xml:space="preserve">EVD-EV-HU-KEY-CON-L1-RIGHTS</t>
  </si>
  <si>
    <t xml:space="preserve">EVD-EV-HU-KEY-CON-L1-CUSTODY</t>
  </si>
  <si>
    <t xml:space="preserve">EVD-EV-HU-KEY-CON-L2-EVENT</t>
  </si>
  <si>
    <t xml:space="preserve">EV-HU-KEY-CON-L2</t>
  </si>
  <si>
    <t xml:space="preserve">EVD-EV-HU-KEY-CON-L2-MECHANISM</t>
  </si>
  <si>
    <t xml:space="preserve">EVD-EV-HU-KEY-CON-L2-PUBLIC</t>
  </si>
  <si>
    <t xml:space="preserve">EVD-EV-HU-KEY-CON-L2-RIGHTS</t>
  </si>
  <si>
    <t xml:space="preserve">EVD-EV-HU-KEY-CON-L2-CUSTODY</t>
  </si>
  <si>
    <t xml:space="preserve">EVD-EV-HU-KEY-REC-L1-EVENT</t>
  </si>
  <si>
    <t xml:space="preserve">EV-HU-KEY-REC-L1</t>
  </si>
  <si>
    <t xml:space="preserve">EVD-EV-HU-KEY-REC-L1-MECHANISM</t>
  </si>
  <si>
    <t xml:space="preserve">EVD-EV-HU-KEY-REC-L1-PUBLIC</t>
  </si>
  <si>
    <t xml:space="preserve">EVD-EV-HU-KEY-REC-L1-RIGHTS</t>
  </si>
  <si>
    <t xml:space="preserve">EVD-EV-HU-KEY-REC-L1-CUSTODY</t>
  </si>
  <si>
    <t xml:space="preserve">EVD-EV-HU-KEY-REC-L2-EVENT</t>
  </si>
  <si>
    <t xml:space="preserve">EV-HU-KEY-REC-L2</t>
  </si>
  <si>
    <t xml:space="preserve">EVD-EV-HU-KEY-REC-L2-MECHANISM</t>
  </si>
  <si>
    <t xml:space="preserve">EVD-EV-HU-KEY-REC-L2-PUBLIC</t>
  </si>
  <si>
    <t xml:space="preserve">EVD-EV-HU-KEY-REC-L2-RIGHTS</t>
  </si>
  <si>
    <t xml:space="preserve">EVD-EV-HU-KEY-REC-L2-CUSTODY</t>
  </si>
  <si>
    <t xml:space="preserve">EVD-EV-RT-BAL-CHA-L1-EVENT</t>
  </si>
  <si>
    <t xml:space="preserve">EV-RT-BAL-CHA-L1</t>
  </si>
  <si>
    <t xml:space="preserve">EVD-EV-RT-BAL-CHA-L1-MECHANISM</t>
  </si>
  <si>
    <t xml:space="preserve">EVD-EV-RT-BAL-CHA-L1-PUBLIC</t>
  </si>
  <si>
    <t xml:space="preserve">EVD-EV-RT-BAL-CHA-L1-RIGHTS</t>
  </si>
  <si>
    <t xml:space="preserve">EVD-EV-RT-BAL-CHA-L1-CUSTODY</t>
  </si>
  <si>
    <t xml:space="preserve">EVD-EV-RT-BAL-CHA-L2-EVENT</t>
  </si>
  <si>
    <t xml:space="preserve">EV-RT-BAL-CHA-L2</t>
  </si>
  <si>
    <t xml:space="preserve">EVD-EV-RT-BAL-CHA-L2-MECHANISM</t>
  </si>
  <si>
    <t xml:space="preserve">EVD-EV-RT-BAL-CHA-L2-PUBLIC</t>
  </si>
  <si>
    <t xml:space="preserve">EVD-EV-RT-BAL-CHA-L2-RIGHTS</t>
  </si>
  <si>
    <t xml:space="preserve">EVD-EV-RT-BAL-CHA-L2-CUSTODY</t>
  </si>
  <si>
    <t xml:space="preserve">EVD-EV-RT-BAL-CON-L1-EVENT</t>
  </si>
  <si>
    <t xml:space="preserve">EV-RT-BAL-CON-L1</t>
  </si>
  <si>
    <t xml:space="preserve">EVD-EV-RT-BAL-CON-L1-MECHANISM</t>
  </si>
  <si>
    <t xml:space="preserve">EVD-EV-RT-BAL-CON-L1-PUBLIC</t>
  </si>
  <si>
    <t xml:space="preserve">EVD-EV-RT-BAL-CON-L1-RIGHTS</t>
  </si>
  <si>
    <t xml:space="preserve">EVD-EV-RT-BAL-CON-L1-CUSTODY</t>
  </si>
  <si>
    <t xml:space="preserve">EVD-EV-RT-BAL-CON-L2-EVENT</t>
  </si>
  <si>
    <t xml:space="preserve">EV-RT-BAL-CON-L2</t>
  </si>
  <si>
    <t xml:space="preserve">EVD-EV-RT-BAL-CON-L2-MECHANISM</t>
  </si>
  <si>
    <t xml:space="preserve">EVD-EV-RT-BAL-CON-L2-PUBLIC</t>
  </si>
  <si>
    <t xml:space="preserve">EVD-EV-RT-BAL-CON-L2-RIGHTS</t>
  </si>
  <si>
    <t xml:space="preserve">EVD-EV-RT-BAL-CON-L2-CUSTODY</t>
  </si>
  <si>
    <t xml:space="preserve">EVD-EV-RT-BAL-REC-L1-EVENT</t>
  </si>
  <si>
    <t xml:space="preserve">EV-RT-BAL-REC-L1</t>
  </si>
  <si>
    <t xml:space="preserve">EVD-EV-RT-BAL-REC-L1-MECHANISM</t>
  </si>
  <si>
    <t xml:space="preserve">EVD-EV-RT-BAL-REC-L1-PUBLIC</t>
  </si>
  <si>
    <t xml:space="preserve">EVD-EV-RT-BAL-REC-L1-RIGHTS</t>
  </si>
  <si>
    <t xml:space="preserve">EVD-EV-RT-BAL-REC-L1-CUSTODY</t>
  </si>
  <si>
    <t xml:space="preserve">EVD-EV-RT-BAL-REC-L2-EVENT</t>
  </si>
  <si>
    <t xml:space="preserve">EV-RT-BAL-REC-L2</t>
  </si>
  <si>
    <t xml:space="preserve">EVD-EV-RT-BAL-REC-L2-MECHANISM</t>
  </si>
  <si>
    <t xml:space="preserve">EVD-EV-RT-BAL-REC-L2-PUBLIC</t>
  </si>
  <si>
    <t xml:space="preserve">EVD-EV-RT-BAL-REC-L2-RIGHTS</t>
  </si>
  <si>
    <t xml:space="preserve">EVD-EV-RT-BAL-REC-L2-CUSTODY</t>
  </si>
  <si>
    <t xml:space="preserve">EVD-EV-RT-KEY-CHA-L1-EVENT</t>
  </si>
  <si>
    <t xml:space="preserve">EV-RT-KEY-CHA-L1</t>
  </si>
  <si>
    <t xml:space="preserve">EVD-EV-RT-KEY-CHA-L1-MECHANISM</t>
  </si>
  <si>
    <t xml:space="preserve">EVD-EV-RT-KEY-CHA-L1-PUBLIC</t>
  </si>
  <si>
    <t xml:space="preserve">EVD-EV-RT-KEY-CHA-L1-RIGHTS</t>
  </si>
  <si>
    <t xml:space="preserve">EVD-EV-RT-KEY-CHA-L1-CUSTODY</t>
  </si>
  <si>
    <t xml:space="preserve">EVD-EV-RT-KEY-CHA-L2-EVENT</t>
  </si>
  <si>
    <t xml:space="preserve">EV-RT-KEY-CHA-L2</t>
  </si>
  <si>
    <t xml:space="preserve">EVD-EV-RT-KEY-CHA-L2-MECHANISM</t>
  </si>
  <si>
    <t xml:space="preserve">EVD-EV-RT-KEY-CHA-L2-PUBLIC</t>
  </si>
  <si>
    <t xml:space="preserve">EVD-EV-RT-KEY-CHA-L2-RIGHTS</t>
  </si>
  <si>
    <t xml:space="preserve">EVD-EV-RT-KEY-CHA-L2-CUSTODY</t>
  </si>
  <si>
    <t xml:space="preserve">EVD-EV-RT-KEY-CON-L1-EVENT</t>
  </si>
  <si>
    <t xml:space="preserve">EV-RT-KEY-CON-L1</t>
  </si>
  <si>
    <t xml:space="preserve">EVD-EV-RT-KEY-CON-L1-MECHANISM</t>
  </si>
  <si>
    <t xml:space="preserve">EVD-EV-RT-KEY-CON-L1-PUBLIC</t>
  </si>
  <si>
    <t xml:space="preserve">EVD-EV-RT-KEY-CON-L1-RIGHTS</t>
  </si>
  <si>
    <t xml:space="preserve">EVD-EV-RT-KEY-CON-L1-CUSTODY</t>
  </si>
  <si>
    <t xml:space="preserve">EVD-EV-RT-KEY-CON-L2-EVENT</t>
  </si>
  <si>
    <t xml:space="preserve">EV-RT-KEY-CON-L2</t>
  </si>
  <si>
    <t xml:space="preserve">EVD-EV-RT-KEY-CON-L2-MECHANISM</t>
  </si>
  <si>
    <t xml:space="preserve">EVD-EV-RT-KEY-CON-L2-PUBLIC</t>
  </si>
  <si>
    <t xml:space="preserve">EVD-EV-RT-KEY-CON-L2-RIGHTS</t>
  </si>
  <si>
    <t xml:space="preserve">EVD-EV-RT-KEY-CON-L2-CUSTODY</t>
  </si>
  <si>
    <t xml:space="preserve">EVD-EV-RT-KEY-REC-L1-EVENT</t>
  </si>
  <si>
    <t xml:space="preserve">EV-RT-KEY-REC-L1</t>
  </si>
  <si>
    <t xml:space="preserve">EVD-EV-RT-KEY-REC-L1-MECHANISM</t>
  </si>
  <si>
    <t xml:space="preserve">EVD-EV-RT-KEY-REC-L1-PUBLIC</t>
  </si>
  <si>
    <t xml:space="preserve">EVD-EV-RT-KEY-REC-L1-RIGHTS</t>
  </si>
  <si>
    <t xml:space="preserve">EVD-EV-RT-KEY-REC-L1-CUSTODY</t>
  </si>
  <si>
    <t xml:space="preserve">EVD-EV-RT-KEY-REC-L2-EVENT</t>
  </si>
  <si>
    <t xml:space="preserve">EV-RT-KEY-REC-L2</t>
  </si>
  <si>
    <t xml:space="preserve">EVD-EV-RT-KEY-REC-L2-MECHANISM</t>
  </si>
  <si>
    <t xml:space="preserve">EVD-EV-RT-KEY-REC-L2-PUBLIC</t>
  </si>
  <si>
    <t xml:space="preserve">EVD-EV-RT-KEY-REC-L2-RIGHTS</t>
  </si>
  <si>
    <t xml:space="preserve">EVD-EV-RT-KEY-REC-L2-CUSTODY</t>
  </si>
  <si>
    <t xml:space="preserve">Conserved USD 15.6B authority and stage exposure</t>
  </si>
  <si>
    <t xml:space="preserve">Public and private accounts are exclusive and add once. No nested reserve, site or test value is added again.</t>
  </si>
  <si>
    <t xml:space="preserve">Code</t>
  </si>
  <si>
    <t xml:space="preserve">Lots</t>
  </si>
  <si>
    <t xml:space="preserve">Authority USD B</t>
  </si>
  <si>
    <t xml:space="preserve">FRAME %</t>
  </si>
  <si>
    <t xml:space="preserve">MAKE %</t>
  </si>
  <si>
    <t xml:space="preserve">BREAK %</t>
  </si>
  <si>
    <t xml:space="preserve">TRANSFER %</t>
  </si>
  <si>
    <t xml:space="preserve">Through MAKE USD B</t>
  </si>
  <si>
    <t xml:space="preserve">Through BREAK USD B</t>
  </si>
  <si>
    <t xml:space="preserve">Unreleased after BREAK</t>
  </si>
  <si>
    <t xml:space="preserve">SUB</t>
  </si>
  <si>
    <t xml:space="preserve">MTH</t>
  </si>
  <si>
    <t xml:space="preserve">REG</t>
  </si>
  <si>
    <t xml:space="preserve">INT</t>
  </si>
  <si>
    <t xml:space="preserve">CAN</t>
  </si>
  <si>
    <t xml:space="preserve">TOTAL</t>
  </si>
  <si>
    <t xml:space="preserve">six classes</t>
  </si>
  <si>
    <t xml:space="preserve">mixed</t>
  </si>
  <si>
    <t xml:space="preserve">Four hundred eight lot-stage payment records</t>
  </si>
  <si>
    <t xml:space="preserve">A stage ceiling is payable only against its own accepted artifact. Zero obligations and payments are deliberate current states.</t>
  </si>
  <si>
    <t xml:space="preserve">Record</t>
  </si>
  <si>
    <t xml:space="preserve">Stage</t>
  </si>
  <si>
    <t xml:space="preserve">Stage %</t>
  </si>
  <si>
    <t xml:space="preserve">Lot ceiling USD B</t>
  </si>
  <si>
    <t xml:space="preserve">Stage ceiling USD B</t>
  </si>
  <si>
    <t xml:space="preserve">BREAK</t>
  </si>
  <si>
    <t xml:space="preserve">TRANSFER</t>
  </si>
  <si>
    <t xml:space="preserve">Twelve governed failure and return paths</t>
  </si>
  <si>
    <t xml:space="preserve">Rollback stays local unless shared causal ancestry or slate independence is implicated. No authority may waive a missing predecessor.</t>
  </si>
  <si>
    <t xml:space="preserve">Trigger</t>
  </si>
  <si>
    <t xml:space="preserve">Current state</t>
  </si>
  <si>
    <t xml:space="preserve">Return target</t>
  </si>
  <si>
    <t xml:space="preserve">Scope</t>
  </si>
  <si>
    <t xml:space="preserve">Money consequence</t>
  </si>
  <si>
    <t xml:space="preserve">Technical consequence</t>
  </si>
  <si>
    <t xml:space="preserve">R01</t>
  </si>
  <si>
    <t xml:space="preserve">site identity or rights fail</t>
  </si>
  <si>
    <t xml:space="preserve">all eighteen charters</t>
  </si>
  <si>
    <t xml:space="preserve">no award</t>
  </si>
  <si>
    <t xml:space="preserve">no change to root or method</t>
  </si>
  <si>
    <t xml:space="preserve">R02</t>
  </si>
  <si>
    <t xml:space="preserve">site causal basin collides</t>
  </si>
  <si>
    <t xml:space="preserve">affected truth train plus national charter slate</t>
  </si>
  <si>
    <t xml:space="preserve">no independence claim</t>
  </si>
  <si>
    <t xml:space="preserve">R03</t>
  </si>
  <si>
    <t xml:space="preserve">technical bid fails</t>
  </si>
  <si>
    <t xml:space="preserve">bid pool</t>
  </si>
  <si>
    <t xml:space="preserve">one position</t>
  </si>
  <si>
    <t xml:space="preserve">method record retained</t>
  </si>
  <si>
    <t xml:space="preserve">R04</t>
  </si>
  <si>
    <t xml:space="preserve">control graph collides</t>
  </si>
  <si>
    <t xml:space="preserve">complete national pool</t>
  </si>
  <si>
    <t xml:space="preserve">no technical downgrade</t>
  </si>
  <si>
    <t xml:space="preserve">R05</t>
  </si>
  <si>
    <t xml:space="preserve">N-1 solve fails</t>
  </si>
  <si>
    <t xml:space="preserve">bid admission</t>
  </si>
  <si>
    <t xml:space="preserve">expand pool</t>
  </si>
  <si>
    <t xml:space="preserve">R06</t>
  </si>
  <si>
    <t xml:space="preserve">provisional winner withdraws</t>
  </si>
  <si>
    <t xml:space="preserve">complete slate</t>
  </si>
  <si>
    <t xml:space="preserve">no termination liability</t>
  </si>
  <si>
    <t xml:space="preserve">re-solve</t>
  </si>
  <si>
    <t xml:space="preserve">R07</t>
  </si>
  <si>
    <t xml:space="preserve">post-award control changes</t>
  </si>
  <si>
    <t xml:space="preserve">affected work plus national collision check</t>
  </si>
  <si>
    <t xml:space="preserve">suspend payment</t>
  </si>
  <si>
    <t xml:space="preserve">no silent novation</t>
  </si>
  <si>
    <t xml:space="preserve">R08</t>
  </si>
  <si>
    <t xml:space="preserve">construction defect is local</t>
  </si>
  <si>
    <t xml:space="preserve">affected lot</t>
  </si>
  <si>
    <t xml:space="preserve">hold affected stage</t>
  </si>
  <si>
    <t xml:space="preserve">repair or re-compete</t>
  </si>
  <si>
    <t xml:space="preserve">R09</t>
  </si>
  <si>
    <t xml:space="preserve">construction defect reveals common ancestry</t>
  </si>
  <si>
    <t xml:space="preserve">all affected lots</t>
  </si>
  <si>
    <t xml:space="preserve">hold affected stages</t>
  </si>
  <si>
    <t xml:space="preserve">reopen control graph</t>
  </si>
  <si>
    <t xml:space="preserve">R10</t>
  </si>
  <si>
    <t xml:space="preserve">event is invalid</t>
  </si>
  <si>
    <t xml:space="preserve">exact event</t>
  </si>
  <si>
    <t xml:space="preserve">bounded repeat only</t>
  </si>
  <si>
    <t xml:space="preserve">no evidence disposition</t>
  </si>
  <si>
    <t xml:space="preserve">R11</t>
  </si>
  <si>
    <t xml:space="preserve">event is valid and adverse</t>
  </si>
  <si>
    <t xml:space="preserve">no repeat</t>
  </si>
  <si>
    <t xml:space="preserve">root lineage</t>
  </si>
  <si>
    <t xml:space="preserve">pay earned candidate BREAK</t>
  </si>
  <si>
    <t xml:space="preserve">KILL or RESIZE</t>
  </si>
  <si>
    <t xml:space="preserve">R12</t>
  </si>
  <si>
    <t xml:space="preserve">cold reconstruction fails</t>
  </si>
  <si>
    <t xml:space="preserve">affected station</t>
  </si>
  <si>
    <t xml:space="preserve">hold TRANSFER</t>
  </si>
  <si>
    <t xml:space="preserve">regenerate and rebuild</t>
  </si>
  <si>
    <t xml:space="preserve">Six sentinel root-disposition records</t>
  </si>
  <si>
    <t xml:space="preserve">A valid adverse event is an output, not contractor failure. A killed sentinel returns its system to three held sibling roots.</t>
  </si>
  <si>
    <t xml:space="preserve">Endpoints</t>
  </si>
  <si>
    <t xml:space="preserve">Valid events</t>
  </si>
  <si>
    <t xml:space="preserve">Evidence packages</t>
  </si>
  <si>
    <t xml:space="preserve">Maximum attempts</t>
  </si>
  <si>
    <t xml:space="preserve">Private option USD B</t>
  </si>
  <si>
    <t xml:space="preserve">Evidence identity</t>
  </si>
  <si>
    <t xml:space="preserve">Current disposition</t>
  </si>
  <si>
    <t xml:space="preserve">Permitted dispositions</t>
  </si>
  <si>
    <t xml:space="preserve">If killed</t>
  </si>
  <si>
    <t xml:space="preserve">Production credit</t>
  </si>
  <si>
    <t xml:space="preserve">KILL · RESIZE · ADVANCE</t>
  </si>
  <si>
    <t xml:space="preserve">held sibling roots</t>
  </si>
  <si>
    <t xml:space="preserve">Six form-giving candidate requirement packages now due</t>
  </si>
  <si>
    <t xml:space="preserve">The A2C branch returns to technology. Exterior form may follow only after these loads, interfaces and denial cases close as controlled requirements.</t>
  </si>
  <si>
    <t xml:space="preserve">Next article object</t>
  </si>
  <si>
    <t xml:space="preserve">Form-giving loads and interfaces</t>
  </si>
  <si>
    <t xml:space="preserve">Must preserve</t>
  </si>
  <si>
    <t xml:space="preserve">Rendering state</t>
  </si>
  <si>
    <t xml:space="preserve">Parent action</t>
  </si>
  <si>
    <t xml:space="preserve">pelagic exchange candidate article</t>
  </si>
  <si>
    <t xml:space="preserve">moving-interface loads, no-pier custody, connector loss and wet-to-dry handoff</t>
  </si>
  <si>
    <t xml:space="preserve">public-service vector, unlike roots, denial, cold reconstruction and complete residual return</t>
  </si>
  <si>
    <t xml:space="preserve">derive controlled requirement package</t>
  </si>
  <si>
    <t xml:space="preserve">occupied-building utility-spine article</t>
  </si>
  <si>
    <t xml:space="preserve">damaged-structure attachment, vertical access, utility isolation and egress</t>
  </si>
  <si>
    <t xml:space="preserve">atmospheric-flux intervention article</t>
  </si>
  <si>
    <t xml:space="preserve">one-kilometre heat, plume, turbulence, deposition and duty-cycle loads</t>
  </si>
  <si>
    <t xml:space="preserve">rapid subsurface heat-water article</t>
  </si>
  <si>
    <t xml:space="preserve">uncertain geology, rapid bore, firm 40 MW, 25,000 m3/day and residual return</t>
  </si>
  <si>
    <t xml:space="preserve">complete clinical-island article</t>
  </si>
  <si>
    <t xml:space="preserve">ten care-line interfaces, full utility metabolism, staff denial and discharge</t>
  </si>
  <si>
    <t xml:space="preserve">disconnected microfactory article</t>
  </si>
  <si>
    <t xml:space="preserve">dirty return, 99 positions in 168 hours and portable certification</t>
  </si>
  <si>
    <t xml:space="preserve">Integrated construction-compact stress cases</t>
  </si>
  <si>
    <t xml:space="preserve">The compact must preserve useful failure, local rollback and all-six continuity without a super-authority.</t>
  </si>
  <si>
    <t xml:space="preserve">Disturbance</t>
  </si>
  <si>
    <t xml:space="preserve">Required response</t>
  </si>
  <si>
    <t xml:space="preserve">Forbidden conversion</t>
  </si>
  <si>
    <t xml:space="preserve">Disposition</t>
  </si>
  <si>
    <t xml:space="preserve">S01</t>
  </si>
  <si>
    <t xml:space="preserve">one office demands a master baseline</t>
  </si>
  <si>
    <t xml:space="preserve">retain typed artifact succession</t>
  </si>
  <si>
    <t xml:space="preserve">coordination to authority</t>
  </si>
  <si>
    <t xml:space="preserve">REJECT</t>
  </si>
  <si>
    <t xml:space="preserve">PASS</t>
  </si>
  <si>
    <t xml:space="preserve">S02</t>
  </si>
  <si>
    <t xml:space="preserve">144 method paths are scoped as 144 contracts</t>
  </si>
  <si>
    <t xml:space="preserve">restore thirty-six lineage lots</t>
  </si>
  <si>
    <t xml:space="preserve">path to lot</t>
  </si>
  <si>
    <t xml:space="preserve">RECONCILE</t>
  </si>
  <si>
    <t xml:space="preserve">S03</t>
  </si>
  <si>
    <t xml:space="preserve">construction packet is offered as event evidence</t>
  </si>
  <si>
    <t xml:space="preserve">require separate physical package</t>
  </si>
  <si>
    <t xml:space="preserve">as-built to causality</t>
  </si>
  <si>
    <t xml:space="preserve">S04</t>
  </si>
  <si>
    <t xml:space="preserve">three substrate sites are co-located</t>
  </si>
  <si>
    <t xml:space="preserve">enforce one nucleus per site and causal separation</t>
  </si>
  <si>
    <t xml:space="preserve">contract bundle to campus</t>
  </si>
  <si>
    <t xml:space="preserve">S05</t>
  </si>
  <si>
    <t xml:space="preserve">two bidders exist but N-1 fails</t>
  </si>
  <si>
    <t xml:space="preserve">expand admitted pool</t>
  </si>
  <si>
    <t xml:space="preserve">slot count to resilience</t>
  </si>
  <si>
    <t xml:space="preserve">S06</t>
  </si>
  <si>
    <t xml:space="preserve">price opens before control admission</t>
  </si>
  <si>
    <t xml:space="preserve">reseal and repeat affected judgments</t>
  </si>
  <si>
    <t xml:space="preserve">price to admissibility</t>
  </si>
  <si>
    <t xml:space="preserve">INVALID</t>
  </si>
  <si>
    <t xml:space="preserve">S07</t>
  </si>
  <si>
    <t xml:space="preserve">one award is made early</t>
  </si>
  <si>
    <t xml:space="preserve">provisional to contract</t>
  </si>
  <si>
    <t xml:space="preserve">REVOKE</t>
  </si>
  <si>
    <t xml:space="preserve">S08</t>
  </si>
  <si>
    <t xml:space="preserve">post-award ownership silently novates</t>
  </si>
  <si>
    <t xml:space="preserve">suspend and re-solve national collision graph</t>
  </si>
  <si>
    <t xml:space="preserve">commercial continuity to independence</t>
  </si>
  <si>
    <t xml:space="preserve">RE-SOLVE</t>
  </si>
  <si>
    <t xml:space="preserve">S09</t>
  </si>
  <si>
    <t xml:space="preserve">one local lot defect has no shared ancestry</t>
  </si>
  <si>
    <t xml:space="preserve">return affected lot only</t>
  </si>
  <si>
    <t xml:space="preserve">local failure to national restart</t>
  </si>
  <si>
    <t xml:space="preserve">LOCAL RETURN</t>
  </si>
  <si>
    <t xml:space="preserve">S10</t>
  </si>
  <si>
    <t xml:space="preserve">one defect reveals common toolchain</t>
  </si>
  <si>
    <t xml:space="preserve">reopen every affected lot and control admission</t>
  </si>
  <si>
    <t xml:space="preserve">nominal prime to independence</t>
  </si>
  <si>
    <t xml:space="preserve">CONTROL RETURN</t>
  </si>
  <si>
    <t xml:space="preserve">S11</t>
  </si>
  <si>
    <t xml:space="preserve">invalid event is repeated</t>
  </si>
  <si>
    <t xml:space="preserve">consume one bounded repeat token</t>
  </si>
  <si>
    <t xml:space="preserve">invalidity to adverse evidence</t>
  </si>
  <si>
    <t xml:space="preserve">REPEAT</t>
  </si>
  <si>
    <t xml:space="preserve">S12</t>
  </si>
  <si>
    <t xml:space="preserve">valid adverse event is repeated toward success</t>
  </si>
  <si>
    <t xml:space="preserve">bind evidence and dispose root</t>
  </si>
  <si>
    <t xml:space="preserve">payment to favorable outcome</t>
  </si>
  <si>
    <t xml:space="preserve">KILL OR RESIZE</t>
  </si>
  <si>
    <t xml:space="preserve">S13</t>
  </si>
  <si>
    <t xml:space="preserve">sentinel dies</t>
  </si>
  <si>
    <t xml:space="preserve">activate held sibling-root inquiry</t>
  </si>
  <si>
    <t xml:space="preserve">root loss to system cancellation</t>
  </si>
  <si>
    <t xml:space="preserve">S14</t>
  </si>
  <si>
    <t xml:space="preserve">cold rebuild borrows candidate runtime</t>
  </si>
  <si>
    <t xml:space="preserve">reject transfer and return to MAKE</t>
  </si>
  <si>
    <t xml:space="preserve">data access to reproduction</t>
  </si>
  <si>
    <t xml:space="preserve">REBUILD</t>
  </si>
  <si>
    <t xml:space="preserve">S15</t>
  </si>
  <si>
    <t xml:space="preserve">surviving root requests production</t>
  </si>
  <si>
    <t xml:space="preserve">return only technical record to parent proof portfolio</t>
  </si>
  <si>
    <t xml:space="preserve">survival to production</t>
  </si>
  <si>
    <t xml:space="preserve">NO CREDIT</t>
  </si>
  <si>
    <t xml:space="preserve">S16</t>
  </si>
  <si>
    <t xml:space="preserve">vehicle rendering requested</t>
  </si>
  <si>
    <t xml:space="preserve">complete six form-giving requirement packages first</t>
  </si>
  <si>
    <t xml:space="preserve">functional envelope to exterior</t>
  </si>
  <si>
    <t xml:space="preserve">Live mutation and restoration log</t>
  </si>
  <si>
    <t xml:space="preserve">Each mutation changes one authoritative control, trips one or more terminal audits and restores the passing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</si>
  <si>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</si>
  <si>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</si>
  <si>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</si>
  <si>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</si>
  <si>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</si>
  <si>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</si>
  <si>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</si>
  <si>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</si>
  <si>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YES</t>
  </si>
  <si>
    <t xml:space="preserve">M02</t>
  </si>
  <si>
    <t xml:space="preserve">Controls!B8</t>
  </si>
  <si>
    <t xml:space="preserve">M03</t>
  </si>
  <si>
    <t xml:space="preserve">Controls!B9</t>
  </si>
  <si>
    <t xml:space="preserve">M04</t>
  </si>
  <si>
    <t xml:space="preserve">Controls!B10</t>
  </si>
  <si>
    <t xml:space="preserve">M05</t>
  </si>
  <si>
    <t xml:space="preserve">Controls!B11</t>
  </si>
  <si>
    <t xml:space="preserve">M06</t>
  </si>
  <si>
    <t xml:space="preserve">Controls!B12</t>
  </si>
  <si>
    <t xml:space="preserve">M07</t>
  </si>
  <si>
    <t xml:space="preserve">Controls!B14</t>
  </si>
  <si>
    <t xml:space="preserve">M08</t>
  </si>
  <si>
    <t xml:space="preserve">Controls!B15</t>
  </si>
  <si>
    <t xml:space="preserve">M09</t>
  </si>
  <si>
    <t xml:space="preserve">Controls!B17</t>
  </si>
  <si>
    <t xml:space="preserve">M10</t>
  </si>
  <si>
    <t xml:space="preserve">Controls!B18</t>
  </si>
  <si>
    <t xml:space="preserve">M11</t>
  </si>
  <si>
    <t xml:space="preserve">Controls!B19</t>
  </si>
  <si>
    <t xml:space="preserve">M12</t>
  </si>
  <si>
    <t xml:space="preserve">Controls!B20</t>
  </si>
  <si>
    <t xml:space="preserve">M13</t>
  </si>
  <si>
    <t xml:space="preserve">Controls!B21</t>
  </si>
  <si>
    <t xml:space="preserve">M14</t>
  </si>
  <si>
    <t xml:space="preserve">Controls!B24</t>
  </si>
  <si>
    <t xml:space="preserve">M15</t>
  </si>
  <si>
    <t xml:space="preserve">Controls!B25</t>
  </si>
  <si>
    <t xml:space="preserve">M16</t>
  </si>
  <si>
    <t xml:space="preserve">Controls!B26</t>
  </si>
  <si>
    <t xml:space="preserve">M17</t>
  </si>
  <si>
    <t xml:space="preserve">Controls!B28</t>
  </si>
  <si>
    <t xml:space="preserve">M18</t>
  </si>
  <si>
    <t xml:space="preserve">Controls!B29</t>
  </si>
  <si>
    <t xml:space="preserve">M19</t>
  </si>
  <si>
    <t xml:space="preserve">Controls!B30</t>
  </si>
  <si>
    <t xml:space="preserve">M20</t>
  </si>
  <si>
    <t xml:space="preserve">Controls!B31</t>
  </si>
  <si>
    <t xml:space="preserve">M21</t>
  </si>
  <si>
    <t xml:space="preserve">Controls!B32</t>
  </si>
  <si>
    <t xml:space="preserve">M22</t>
  </si>
  <si>
    <t xml:space="preserve">Controls!B34</t>
  </si>
  <si>
    <t xml:space="preserve">M23</t>
  </si>
  <si>
    <t xml:space="preserve">Controls!B38</t>
  </si>
  <si>
    <t xml:space="preserve">M24</t>
  </si>
  <si>
    <t xml:space="preserve">Controls!B40</t>
  </si>
  <si>
    <t xml:space="preserve">Terminal branch-integration audit</t>
  </si>
  <si>
    <t xml:space="preserve">The audit proves internal conservation and separation. It creates no site, firm, award, evidence, capability, production or rendering authority.</t>
  </si>
  <si>
    <t xml:space="preserve">Audit</t>
  </si>
  <si>
    <t xml:space="preserve">Expected</t>
  </si>
  <si>
    <t xml:space="preserve">Difference</t>
  </si>
  <si>
    <t xml:space="preserve">public reserve</t>
  </si>
  <si>
    <t xml:space="preserve">private options</t>
  </si>
  <si>
    <t xml:space="preserve">systems</t>
  </si>
  <si>
    <t xml:space="preserve">state bays</t>
  </si>
  <si>
    <t xml:space="preserve">crosswalk rows</t>
  </si>
  <si>
    <t xml:space="preserve">crosswalk public</t>
  </si>
  <si>
    <t xml:space="preserve">crosswalk private</t>
  </si>
  <si>
    <t xml:space="preserve">crosswalk authority</t>
  </si>
  <si>
    <t xml:space="preserve">crosswalk packet refs</t>
  </si>
  <si>
    <t xml:space="preserve">crosswalk gate refs</t>
  </si>
  <si>
    <t xml:space="preserve">crosswalk bid refs</t>
  </si>
  <si>
    <t xml:space="preserve">crosswalk payment refs</t>
  </si>
  <si>
    <t xml:space="preserve">control groups</t>
  </si>
  <si>
    <t xml:space="preserve">construction packet control</t>
  </si>
  <si>
    <t xml:space="preserve">construction packet rows</t>
  </si>
  <si>
    <t xml:space="preserve">construction packet sources empty</t>
  </si>
  <si>
    <t xml:space="preserve">construction packet accepted zero</t>
  </si>
  <si>
    <t xml:space="preserve">construction packets not event substitute</t>
  </si>
  <si>
    <t xml:space="preserve">bid decisions</t>
  </si>
  <si>
    <t xml:space="preserve">N-1 tests</t>
  </si>
  <si>
    <t xml:space="preserve">valid event control</t>
  </si>
  <si>
    <t xml:space="preserve">event arithmetic</t>
  </si>
  <si>
    <t xml:space="preserve">event unique positions</t>
  </si>
  <si>
    <t xml:space="preserve">event evidence control</t>
  </si>
  <si>
    <t xml:space="preserve">event evidence rows</t>
  </si>
  <si>
    <t xml:space="preserve">event observations empty</t>
  </si>
  <si>
    <t xml:space="preserve">event validity empty</t>
  </si>
  <si>
    <t xml:space="preserve">event outcome empty</t>
  </si>
  <si>
    <t xml:space="preserve">warrant control</t>
  </si>
  <si>
    <t xml:space="preserve">warrant rows</t>
  </si>
  <si>
    <t xml:space="preserve">state rows</t>
  </si>
  <si>
    <t xml:space="preserve">release edges</t>
  </si>
  <si>
    <t xml:space="preserve">authority rows</t>
  </si>
  <si>
    <t xml:space="preserve">authority create total</t>
  </si>
  <si>
    <t xml:space="preserve">nonconversions</t>
  </si>
  <si>
    <t xml:space="preserve">contradictions</t>
  </si>
  <si>
    <t xml:space="preserve">contradictions closed</t>
  </si>
  <si>
    <t xml:space="preserve">finance lots</t>
  </si>
  <si>
    <t xml:space="preserve">finance authority</t>
  </si>
  <si>
    <t xml:space="preserve">through MAKE</t>
  </si>
  <si>
    <t xml:space="preserve">through BREAK</t>
  </si>
  <si>
    <t xml:space="preserve">unreleased BREAK</t>
  </si>
  <si>
    <t xml:space="preserve">payment ledger rows</t>
  </si>
  <si>
    <t xml:space="preserve">payment stage ceiling</t>
  </si>
  <si>
    <t xml:space="preserve">payment accepted zero</t>
  </si>
  <si>
    <t xml:space="preserve">payment obligations zero</t>
  </si>
  <si>
    <t xml:space="preserve">payment paid zero</t>
  </si>
  <si>
    <t xml:space="preserve">rollback paths</t>
  </si>
  <si>
    <t xml:space="preserve">root disposition rows</t>
  </si>
  <si>
    <t xml:space="preserve">root endpoints</t>
  </si>
  <si>
    <t xml:space="preserve">root events</t>
  </si>
  <si>
    <t xml:space="preserve">root packages</t>
  </si>
  <si>
    <t xml:space="preserve">root attempts</t>
  </si>
  <si>
    <t xml:space="preserve">root private options</t>
  </si>
  <si>
    <t xml:space="preserve">root evidence empty</t>
  </si>
  <si>
    <t xml:space="preserve">root dispositions hold</t>
  </si>
  <si>
    <t xml:space="preserve">technology return rows</t>
  </si>
  <si>
    <t xml:space="preserve">technology rendering held</t>
  </si>
  <si>
    <t xml:space="preserve">selected architecture</t>
  </si>
  <si>
    <t xml:space="preserve">selected gates</t>
  </si>
  <si>
    <t xml:space="preserve">rejected architectures</t>
  </si>
  <si>
    <t xml:space="preserve">stress tests</t>
  </si>
  <si>
    <t xml:space="preserve">stress passes</t>
  </si>
  <si>
    <t xml:space="preserve">sites zero</t>
  </si>
  <si>
    <t xml:space="preserve">firms zero</t>
  </si>
  <si>
    <t xml:space="preserve">awards zero</t>
  </si>
  <si>
    <t xml:space="preserve">obligations zero</t>
  </si>
  <si>
    <t xml:space="preserve">payments zero</t>
  </si>
  <si>
    <t xml:space="preserve">observations zero</t>
  </si>
  <si>
    <t xml:space="preserve">capability zero</t>
  </si>
  <si>
    <t xml:space="preserve">production zero</t>
  </si>
  <si>
    <t xml:space="preserve">rendering zero</t>
  </si>
  <si>
    <t xml:space="preserve">Internal authorities and model limits</t>
  </si>
  <si>
    <t xml:space="preserve">This model integrates four internal constitutions. It makes no empirical claim about unbuilt candidates, unselected sites or nonexistent bids.</t>
  </si>
  <si>
    <t xml:space="preserve">Source</t>
  </si>
  <si>
    <t xml:space="preserve">Repository artifact</t>
  </si>
  <si>
    <t xml:space="preserve">Access</t>
  </si>
  <si>
    <t xml:space="preserve">Limitation</t>
  </si>
  <si>
    <t xml:space="preserve">six-root sentinel wave and cancellation constitution</t>
  </si>
  <si>
    <t xml:space="preserve">roots, endpoints, events, packages, attempts and candidate options</t>
  </si>
  <si>
    <t xml:space="preserve">internal repository</t>
  </si>
  <si>
    <t xml:space="preserve">no physical observation</t>
  </si>
  <si>
    <t xml:space="preserve">federated physical-truth station and rig constitution</t>
  </si>
  <si>
    <t xml:space="preserve">truth trains, nuclei, bays, realizations and regeneration</t>
  </si>
  <si>
    <t xml:space="preserve">no constructed facility</t>
  </si>
  <si>
    <t xml:space="preserve">severable construction-lot and industrial-firewall constitution</t>
  </si>
  <si>
    <t xml:space="preserve">lots, control groups, packets, gates and public finance</t>
  </si>
  <si>
    <t xml:space="preserve">no firm or award</t>
  </si>
  <si>
    <t xml:space="preserve">site-class, bid-admission and N-1 award-slate constitution</t>
  </si>
  <si>
    <t xml:space="preserve">site charters, bid pool and whole-slate admission</t>
  </si>
  <si>
    <t xml:space="preserve">no location or bid</t>
  </si>
  <si>
    <t xml:space="preserve">PFP-5</t>
  </si>
  <si>
    <t xml:space="preserve">National First Physical Launch Compact</t>
  </si>
  <si>
    <t xml:space="preserve">parent portfolio, issue and evidence boundary</t>
  </si>
  <si>
    <t xml:space="preserve">no production inference</t>
  </si>
  <si>
    <t xml:space="preserve">Model boundary</t>
  </si>
  <si>
    <t xml:space="preserve">this workbook</t>
  </si>
  <si>
    <t xml:space="preserve">integration, formula, mutation and rendering checks</t>
  </si>
  <si>
    <t xml:space="preserve">no external sites used</t>
  </si>
  <si>
    <t xml:space="preserve">Evidence boundary</t>
  </si>
  <si>
    <t xml:space="preserve">all implementation and physical records</t>
  </si>
  <si>
    <t xml:space="preserve">deliberate source-empty and zero states</t>
  </si>
  <si>
    <t xml:space="preserve">not available</t>
  </si>
  <si>
    <t xml:space="preserve">constitution does not imply execution</t>
  </si>
  <si>
    <t xml:space="preserve">Rendering boundary</t>
  </si>
  <si>
    <t xml:space="preserve">candidate exterior form</t>
  </si>
  <si>
    <t xml:space="preserve">returned to form-giving requirement research</t>
  </si>
  <si>
    <t xml:space="preserve">not applicable</t>
  </si>
  <si>
    <t xml:space="preserve">no rendering in this pass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</si>
</sst>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0000"/>
    <numFmt numFmtId="167" formatCode="\$0.000000"/>
    <numFmt numFmtId="168" formatCode="\$0.000"/>
    <numFmt numFmtId="169" formatCode="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  <fill>
      <patternFill patternType="solid">
        <fgColor rgb="FFFCE8E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6DFEA"/>
      </bottom>
      <diagonal/>
    </border>
    <border diagonalUp="false" diagonalDown="false">
      <left/>
      <right/>
      <top style="thin">
        <color rgb="FFD6DFEA"/>
      </top>
      <bottom style="thin">
        <color rgb="FFD6DFEA"/>
      </bottom>
      <diagonal/>
    </border>
    <border diagonalUp="false" diagonalDown="false">
      <left/>
      <right/>
      <top style="thin">
        <color rgb="FFD6DF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6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Construction authority by lot class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Finance!$B$7:$B$12</c:f>
              <c:strCache>
                <c:ptCount val="6"/>
                <c:pt idx="0">
                  <c:v>Civil substrate</c:v>
                </c:pt>
                <c:pt idx="1">
                  <c:v>Root-native rig</c:v>
                </c:pt>
                <c:pt idx="2">
                  <c:v>Method lineage</c:v>
                </c:pt>
                <c:pt idx="3">
                  <c:v>Regeneration tool</c:v>
                </c:pt>
                <c:pt idx="4">
                  <c:v>Station integration</c:v>
                </c:pt>
                <c:pt idx="5">
                  <c:v>Candidate mechanism</c:v>
                </c:pt>
              </c:strCache>
            </c:strRef>
          </c:cat>
          <c:val>
            <c:numRef>
              <c:f>Finance!$E$7:$E$12</c:f>
              <c:numCache>
                <c:formatCode>\$0.000</c:formatCode>
                <c:ptCount val="6"/>
                <c:pt idx="0">
                  <c:v>0.72</c:v>
                </c:pt>
                <c:pt idx="1">
                  <c:v>5.7</c:v>
                </c:pt>
                <c:pt idx="2">
                  <c:v>3.24</c:v>
                </c:pt>
                <c:pt idx="3">
                  <c:v>1.2</c:v>
                </c:pt>
                <c:pt idx="4">
                  <c:v>1.14</c:v>
                </c:pt>
                <c:pt idx="5">
                  <c:v>3.58691281932057</c:v>
                </c:pt>
              </c:numCache>
            </c:numRef>
          </c:val>
        </c:ser>
        <c:gapWidth val="150"/>
        <c:overlap val="0"/>
        <c:axId val="45111333"/>
        <c:axId val="46579197"/>
      </c:barChart>
      <c:catAx>
        <c:axId val="4511133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6579197"/>
        <c:crosses val="autoZero"/>
        <c:auto val="1"/>
        <c:lblAlgn val="ctr"/>
        <c:lblOffset val="100"/>
        <c:noMultiLvlLbl val="0"/>
      </c:catAx>
      <c:valAx>
        <c:axId val="4657919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111333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5</xdr:row>
      <xdr:rowOff>0</xdr:rowOff>
    </xdr:from>
    <xdr:to>
      <xdr:col>20</xdr:col>
      <xdr:colOff>611280</xdr:colOff>
      <xdr:row>20</xdr:row>
      <xdr:rowOff>190080</xdr:rowOff>
    </xdr:to>
    <xdr:graphicFrame>
      <xdr:nvGraphicFramePr>
        <xdr:cNvPr id="1" name="Chart"/>
        <xdr:cNvGraphicFramePr/>
      </xdr:nvGraphicFramePr>
      <xdr:xfrm>
        <a:off x="16118280" y="1066680"/>
        <a:ext cx="489168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3"/>
    <col collapsed="false" customWidth="true" hidden="false" outlineLevel="0" max="5" min="5" style="0" width="55"/>
    <col collapsed="false" customWidth="true" hidden="false" outlineLevel="0" max="6" min="6" style="0" width="31"/>
    <col collapsed="false" customWidth="true" hidden="false" outlineLevel="0" max="7" min="7" style="0" width="36"/>
    <col collapsed="false" customWidth="true" hidden="false" outlineLevel="0" max="8" min="8" style="0" width="33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</row>
    <row r="8" customFormat="false" ht="15" hidden="false" customHeight="false" outlineLevel="0" collapsed="false">
      <c r="A8" s="9" t="s">
        <v>18</v>
      </c>
      <c r="B8" s="10" t="n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</row>
    <row r="9" customFormat="false" ht="15" hidden="false" customHeight="false" outlineLevel="0" collapsed="false">
      <c r="A9" s="9" t="s">
        <v>25</v>
      </c>
      <c r="B9" s="10" t="n">
        <v>6</v>
      </c>
      <c r="C9" s="9" t="s">
        <v>19</v>
      </c>
      <c r="D9" s="11" t="s">
        <v>26</v>
      </c>
      <c r="E9" s="9" t="s">
        <v>27</v>
      </c>
      <c r="F9" s="9" t="s">
        <v>28</v>
      </c>
      <c r="G9" s="9" t="s">
        <v>29</v>
      </c>
      <c r="H9" s="9" t="s">
        <v>30</v>
      </c>
    </row>
    <row r="10" customFormat="false" ht="15" hidden="false" customHeight="false" outlineLevel="0" collapsed="false">
      <c r="A10" s="9" t="s">
        <v>31</v>
      </c>
      <c r="B10" s="10" t="n">
        <v>18</v>
      </c>
      <c r="C10" s="9" t="s">
        <v>19</v>
      </c>
      <c r="D10" s="11" t="s">
        <v>20</v>
      </c>
      <c r="E10" s="9" t="s">
        <v>32</v>
      </c>
      <c r="F10" s="9" t="s">
        <v>33</v>
      </c>
      <c r="G10" s="9" t="s">
        <v>34</v>
      </c>
      <c r="H10" s="9" t="s">
        <v>35</v>
      </c>
    </row>
    <row r="11" customFormat="false" ht="15" hidden="false" customHeight="false" outlineLevel="0" collapsed="false">
      <c r="A11" s="9" t="s">
        <v>36</v>
      </c>
      <c r="B11" s="10" t="n">
        <v>102</v>
      </c>
      <c r="C11" s="9" t="s">
        <v>19</v>
      </c>
      <c r="D11" s="11" t="s">
        <v>37</v>
      </c>
      <c r="E11" s="9" t="s">
        <v>38</v>
      </c>
      <c r="F11" s="9" t="s">
        <v>39</v>
      </c>
      <c r="G11" s="9" t="s">
        <v>40</v>
      </c>
      <c r="H11" s="9" t="s">
        <v>41</v>
      </c>
    </row>
    <row r="12" customFormat="false" ht="15" hidden="false" customHeight="false" outlineLevel="0" collapsed="false">
      <c r="A12" s="9" t="s">
        <v>42</v>
      </c>
      <c r="B12" s="10" t="n">
        <v>18</v>
      </c>
      <c r="C12" s="9" t="s">
        <v>19</v>
      </c>
      <c r="D12" s="11" t="s">
        <v>43</v>
      </c>
      <c r="E12" s="9" t="s">
        <v>44</v>
      </c>
      <c r="F12" s="9" t="s">
        <v>45</v>
      </c>
      <c r="G12" s="9" t="s">
        <v>46</v>
      </c>
      <c r="H12" s="9" t="s">
        <v>41</v>
      </c>
    </row>
    <row r="13" customFormat="false" ht="15" hidden="false" customHeight="false" outlineLevel="0" collapsed="false">
      <c r="A13" s="9" t="s">
        <v>47</v>
      </c>
      <c r="B13" s="10" t="n">
        <v>204</v>
      </c>
      <c r="C13" s="9" t="s">
        <v>19</v>
      </c>
      <c r="D13" s="11" t="s">
        <v>48</v>
      </c>
      <c r="E13" s="9" t="s">
        <v>49</v>
      </c>
      <c r="F13" s="9" t="s">
        <v>50</v>
      </c>
      <c r="G13" s="9" t="s">
        <v>51</v>
      </c>
      <c r="H13" s="9" t="s">
        <v>41</v>
      </c>
    </row>
    <row r="14" customFormat="false" ht="15" hidden="false" customHeight="false" outlineLevel="0" collapsed="false">
      <c r="A14" s="9" t="s">
        <v>52</v>
      </c>
      <c r="B14" s="10" t="n">
        <v>510</v>
      </c>
      <c r="C14" s="9" t="s">
        <v>19</v>
      </c>
      <c r="D14" s="11" t="s">
        <v>48</v>
      </c>
      <c r="E14" s="9" t="s">
        <v>53</v>
      </c>
      <c r="F14" s="9" t="s">
        <v>54</v>
      </c>
      <c r="G14" s="9" t="s">
        <v>55</v>
      </c>
      <c r="H14" s="9" t="s">
        <v>56</v>
      </c>
    </row>
    <row r="15" customFormat="false" ht="15" hidden="false" customHeight="false" outlineLevel="0" collapsed="false">
      <c r="A15" s="9" t="s">
        <v>57</v>
      </c>
      <c r="B15" s="10" t="n">
        <v>360</v>
      </c>
      <c r="C15" s="9" t="s">
        <v>19</v>
      </c>
      <c r="D15" s="11" t="s">
        <v>58</v>
      </c>
      <c r="E15" s="9" t="s">
        <v>59</v>
      </c>
      <c r="F15" s="9" t="s">
        <v>60</v>
      </c>
      <c r="G15" s="9" t="s">
        <v>61</v>
      </c>
      <c r="H15" s="9" t="s">
        <v>62</v>
      </c>
    </row>
    <row r="16" customFormat="false" ht="15" hidden="false" customHeight="false" outlineLevel="0" collapsed="false">
      <c r="A16" s="9" t="s">
        <v>63</v>
      </c>
      <c r="B16" s="10" t="n">
        <v>15.5869128193206</v>
      </c>
      <c r="C16" s="9" t="s">
        <v>64</v>
      </c>
      <c r="D16" s="11" t="s">
        <v>65</v>
      </c>
      <c r="E16" s="9" t="s">
        <v>66</v>
      </c>
      <c r="F16" s="9" t="s">
        <v>67</v>
      </c>
      <c r="G16" s="9" t="s">
        <v>68</v>
      </c>
      <c r="H16" s="9" t="s">
        <v>69</v>
      </c>
    </row>
    <row r="17" customFormat="false" ht="15" hidden="false" customHeight="false" outlineLevel="0" collapsed="false">
      <c r="A17" s="9" t="s">
        <v>70</v>
      </c>
      <c r="B17" s="10" t="n">
        <v>10.7934564096603</v>
      </c>
      <c r="C17" s="9" t="s">
        <v>64</v>
      </c>
      <c r="D17" s="11" t="s">
        <v>71</v>
      </c>
      <c r="E17" s="9" t="s">
        <v>72</v>
      </c>
      <c r="F17" s="9" t="s">
        <v>73</v>
      </c>
      <c r="G17" s="9" t="s">
        <v>74</v>
      </c>
      <c r="H17" s="9" t="s">
        <v>69</v>
      </c>
    </row>
    <row r="18" customFormat="false" ht="15" hidden="false" customHeight="false" outlineLevel="0" collapsed="false">
      <c r="A18" s="9" t="s">
        <v>75</v>
      </c>
      <c r="B18" s="10" t="n">
        <v>3.53803692289809</v>
      </c>
      <c r="C18" s="9" t="s">
        <v>64</v>
      </c>
      <c r="D18" s="11" t="s">
        <v>76</v>
      </c>
      <c r="E18" s="9" t="s">
        <v>77</v>
      </c>
      <c r="F18" s="9" t="s">
        <v>73</v>
      </c>
      <c r="G18" s="9" t="s">
        <v>78</v>
      </c>
      <c r="H18" s="9" t="s">
        <v>79</v>
      </c>
    </row>
    <row r="19" customFormat="false" ht="15" hidden="false" customHeight="false" outlineLevel="0" collapsed="false">
      <c r="A19" s="9" t="s">
        <v>80</v>
      </c>
      <c r="B19" s="10" t="n">
        <v>0</v>
      </c>
      <c r="C19" s="9" t="s">
        <v>19</v>
      </c>
      <c r="D19" s="11" t="s">
        <v>81</v>
      </c>
      <c r="E19" s="9" t="s">
        <v>82</v>
      </c>
      <c r="F19" s="9" t="s">
        <v>83</v>
      </c>
      <c r="G19" s="9" t="s">
        <v>84</v>
      </c>
      <c r="H19" s="9" t="s">
        <v>85</v>
      </c>
    </row>
    <row r="20" customFormat="false" ht="15" hidden="false" customHeight="false" outlineLevel="0" collapsed="false">
      <c r="A20" s="9" t="s">
        <v>86</v>
      </c>
      <c r="B20" s="10" t="n">
        <v>0</v>
      </c>
      <c r="C20" s="9" t="s">
        <v>19</v>
      </c>
      <c r="D20" s="11" t="s">
        <v>58</v>
      </c>
      <c r="E20" s="9" t="s">
        <v>87</v>
      </c>
      <c r="F20" s="9" t="s">
        <v>83</v>
      </c>
      <c r="G20" s="9" t="s">
        <v>88</v>
      </c>
      <c r="H20" s="9" t="s">
        <v>89</v>
      </c>
    </row>
    <row r="21" customFormat="false" ht="15" hidden="false" customHeight="false" outlineLevel="0" collapsed="false">
      <c r="A21" s="9" t="s">
        <v>90</v>
      </c>
      <c r="B21" s="10" t="n">
        <v>0</v>
      </c>
      <c r="C21" s="9" t="s">
        <v>19</v>
      </c>
      <c r="D21" s="11" t="s">
        <v>81</v>
      </c>
      <c r="E21" s="9" t="s">
        <v>91</v>
      </c>
      <c r="F21" s="9" t="s">
        <v>83</v>
      </c>
      <c r="G21" s="9" t="s">
        <v>92</v>
      </c>
      <c r="H21" s="9" t="s">
        <v>93</v>
      </c>
    </row>
    <row r="22" customFormat="false" ht="15" hidden="false" customHeight="false" outlineLevel="0" collapsed="false">
      <c r="A22" s="12" t="s">
        <v>94</v>
      </c>
      <c r="B22" s="13" t="n">
        <v>0</v>
      </c>
      <c r="C22" s="12" t="s">
        <v>19</v>
      </c>
      <c r="D22" s="14" t="s">
        <v>81</v>
      </c>
      <c r="E22" s="12" t="s">
        <v>95</v>
      </c>
      <c r="F22" s="12" t="s">
        <v>83</v>
      </c>
      <c r="G22" s="12" t="s">
        <v>96</v>
      </c>
      <c r="H22" s="12" t="s">
        <v>97</v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3" hidden="false" customHeight="true" outlineLevel="0" collapsed="false">
      <c r="A25" s="15" t="s">
        <v>98</v>
      </c>
      <c r="B25" s="16" t="s">
        <v>99</v>
      </c>
      <c r="C25" s="17" t="s">
        <v>5</v>
      </c>
      <c r="D25" s="4"/>
      <c r="E25" s="4"/>
      <c r="F25" s="4"/>
      <c r="G25" s="4"/>
      <c r="H25" s="4"/>
    </row>
    <row r="26" customFormat="false" ht="15" hidden="false" customHeight="false" outlineLevel="0" collapsed="false">
      <c r="A26" s="8" t="s">
        <v>100</v>
      </c>
      <c r="B26" s="18" t="n">
        <f aca="false">COUNTIF(Alternatives!P7:P12,"SELECT")</f>
        <v>1</v>
      </c>
      <c r="C26" s="18" t="str">
        <f aca="false">IF(ABS(B26-1)&lt;0.000001,"PASS","FAIL")</f>
        <v>PASS</v>
      </c>
      <c r="D26" s="4"/>
      <c r="E26" s="4"/>
      <c r="F26" s="4"/>
      <c r="G26" s="4"/>
      <c r="H26" s="4"/>
    </row>
    <row r="27" customFormat="false" ht="15" hidden="false" customHeight="false" outlineLevel="0" collapsed="false">
      <c r="A27" s="9" t="s">
        <v>101</v>
      </c>
      <c r="B27" s="19" t="n">
        <f aca="false">COUNTA(Warrants!A7:A24)</f>
        <v>18</v>
      </c>
      <c r="C27" s="19" t="str">
        <f aca="false">IF(ABS(B27-18)&lt;0.000001,"PASS","FAIL")</f>
        <v>PASS</v>
      </c>
      <c r="D27" s="4"/>
      <c r="E27" s="4"/>
      <c r="F27" s="4"/>
      <c r="G27" s="4"/>
      <c r="H27" s="4"/>
    </row>
    <row r="28" customFormat="false" ht="15" hidden="false" customHeight="false" outlineLevel="0" collapsed="false">
      <c r="A28" s="9" t="s">
        <v>102</v>
      </c>
      <c r="B28" s="19" t="n">
        <f aca="false">COUNTA('Object Crosswalk'!A7:A108)</f>
        <v>102</v>
      </c>
      <c r="C28" s="19" t="str">
        <f aca="false">IF(ABS(B28-102)&lt;0.000001,"PASS","FAIL")</f>
        <v>PASS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A29" s="9" t="s">
        <v>52</v>
      </c>
      <c r="B29" s="19" t="n">
        <f aca="false">COUNTA('Construction Packets'!A7:A516)</f>
        <v>510</v>
      </c>
      <c r="C29" s="19" t="str">
        <f aca="false">IF(ABS(B29-510)&lt;0.000001,"PASS","FAIL")</f>
        <v>PASS</v>
      </c>
      <c r="D29" s="4"/>
      <c r="E29" s="4"/>
      <c r="F29" s="4"/>
      <c r="G29" s="4"/>
      <c r="H29" s="4"/>
    </row>
    <row r="30" customFormat="false" ht="15" hidden="false" customHeight="false" outlineLevel="0" collapsed="false">
      <c r="A30" s="9" t="s">
        <v>57</v>
      </c>
      <c r="B30" s="19" t="n">
        <f aca="false">COUNTA('Event Evidence'!A7:A366)</f>
        <v>360</v>
      </c>
      <c r="C30" s="19" t="str">
        <f aca="false">IF(ABS(B30-360)&lt;0.000001,"PASS","FAIL")</f>
        <v>PASS</v>
      </c>
      <c r="D30" s="4"/>
      <c r="E30" s="4"/>
      <c r="F30" s="4"/>
      <c r="G30" s="4"/>
      <c r="H30" s="4"/>
    </row>
    <row r="31" customFormat="false" ht="15" hidden="false" customHeight="false" outlineLevel="0" collapsed="false">
      <c r="A31" s="9" t="s">
        <v>103</v>
      </c>
      <c r="B31" s="19" t="n">
        <f aca="false">COUNTA('Payment Ledger'!A7:A414)</f>
        <v>408</v>
      </c>
      <c r="C31" s="19" t="str">
        <f aca="false">IF(ABS(B31-408)&lt;0.000001,"PASS","FAIL")</f>
        <v>PASS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9" t="s">
        <v>104</v>
      </c>
      <c r="B32" s="19" t="n">
        <f aca="false">Finance!E13</f>
        <v>15.5869128193206</v>
      </c>
      <c r="C32" s="19" t="str">
        <f aca="false">IF(ABS(B32-15.5869128193206)&lt;0.000001,"PASS","FAIL")</f>
        <v>PASS</v>
      </c>
      <c r="D32" s="4"/>
      <c r="E32" s="4"/>
      <c r="F32" s="4"/>
      <c r="G32" s="4"/>
      <c r="H32" s="4"/>
    </row>
    <row r="33" customFormat="false" ht="15" hidden="false" customHeight="false" outlineLevel="0" collapsed="false">
      <c r="A33" s="9" t="s">
        <v>105</v>
      </c>
      <c r="B33" s="19" t="n">
        <f aca="false">COUNTIF(Audit!E7:E93,"FAIL")</f>
        <v>0</v>
      </c>
      <c r="C33" s="19" t="str">
        <f aca="false">IF(ABS(B33-0)&lt;0.000001,"PASS","FAIL")</f>
        <v>PASS</v>
      </c>
      <c r="D33" s="4"/>
      <c r="E33" s="4"/>
      <c r="F33" s="4"/>
      <c r="G33" s="4"/>
      <c r="H33" s="4"/>
    </row>
    <row r="34" customFormat="false" ht="15" hidden="false" customHeight="false" outlineLevel="0" collapsed="false">
      <c r="A34" s="9" t="s">
        <v>106</v>
      </c>
      <c r="B34" s="19" t="n">
        <f aca="false">Controls!B34</f>
        <v>0</v>
      </c>
      <c r="C34" s="19" t="str">
        <f aca="false">IF(ABS(B34-0)&lt;0.000001,"PASS","FAIL")</f>
        <v>PASS</v>
      </c>
      <c r="D34" s="4"/>
      <c r="E34" s="4"/>
      <c r="F34" s="4"/>
      <c r="G34" s="4"/>
      <c r="H34" s="4"/>
    </row>
    <row r="35" customFormat="false" ht="15" hidden="false" customHeight="false" outlineLevel="0" collapsed="false">
      <c r="A35" s="9" t="s">
        <v>107</v>
      </c>
      <c r="B35" s="19" t="n">
        <f aca="false">Controls!B38</f>
        <v>0</v>
      </c>
      <c r="C35" s="19" t="str">
        <f aca="false">IF(ABS(B35-0)&lt;0.000001,"PASS","FAIL")</f>
        <v>PASS</v>
      </c>
      <c r="D35" s="4"/>
      <c r="E35" s="4"/>
      <c r="F35" s="4"/>
      <c r="G35" s="4"/>
      <c r="H35" s="4"/>
    </row>
    <row r="36" customFormat="false" ht="15" hidden="false" customHeight="false" outlineLevel="0" collapsed="false">
      <c r="A36" s="12" t="s">
        <v>108</v>
      </c>
      <c r="B36" s="20" t="n">
        <f aca="false">Controls!B40</f>
        <v>0</v>
      </c>
      <c r="C36" s="20" t="str">
        <f aca="false">IF(ABS(B36-0)&lt;0.000001,"PASS","FAIL")</f>
        <v>PASS</v>
      </c>
      <c r="D36" s="4"/>
      <c r="E36" s="4"/>
      <c r="F36" s="4"/>
      <c r="G36" s="4"/>
      <c r="H36" s="4"/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43"/>
  </cols>
  <sheetData>
    <row r="2" customFormat="false" ht="24" hidden="false" customHeight="true" outlineLevel="0" collapsed="false">
      <c r="A2" s="1" t="s">
        <v>109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110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111</v>
      </c>
      <c r="B6" s="6" t="s">
        <v>112</v>
      </c>
      <c r="C6" s="6" t="s">
        <v>4</v>
      </c>
      <c r="D6" s="6" t="s">
        <v>113</v>
      </c>
      <c r="E6" s="7" t="s">
        <v>114</v>
      </c>
    </row>
    <row r="7" customFormat="false" ht="15" hidden="false" customHeight="false" outlineLevel="0" collapsed="false">
      <c r="A7" s="8" t="s">
        <v>115</v>
      </c>
      <c r="B7" s="21" t="n">
        <v>12</v>
      </c>
      <c r="C7" s="8" t="s">
        <v>64</v>
      </c>
      <c r="D7" s="8" t="s">
        <v>116</v>
      </c>
      <c r="E7" s="8" t="s">
        <v>117</v>
      </c>
    </row>
    <row r="8" customFormat="false" ht="15" hidden="false" customHeight="false" outlineLevel="0" collapsed="false">
      <c r="A8" s="9" t="s">
        <v>118</v>
      </c>
      <c r="B8" s="22" t="n">
        <v>3.58691281932057</v>
      </c>
      <c r="C8" s="9" t="s">
        <v>64</v>
      </c>
      <c r="D8" s="9" t="s">
        <v>119</v>
      </c>
      <c r="E8" s="9" t="s">
        <v>117</v>
      </c>
    </row>
    <row r="9" customFormat="false" ht="15" hidden="false" customHeight="false" outlineLevel="0" collapsed="false">
      <c r="A9" s="9" t="s">
        <v>120</v>
      </c>
      <c r="B9" s="22" t="n">
        <v>6</v>
      </c>
      <c r="C9" s="9" t="s">
        <v>19</v>
      </c>
      <c r="D9" s="9" t="s">
        <v>121</v>
      </c>
      <c r="E9" s="9" t="s">
        <v>117</v>
      </c>
    </row>
    <row r="10" customFormat="false" ht="15" hidden="false" customHeight="false" outlineLevel="0" collapsed="false">
      <c r="A10" s="9" t="s">
        <v>25</v>
      </c>
      <c r="B10" s="22" t="n">
        <v>6</v>
      </c>
      <c r="C10" s="9" t="s">
        <v>19</v>
      </c>
      <c r="D10" s="9" t="s">
        <v>119</v>
      </c>
      <c r="E10" s="9" t="s">
        <v>117</v>
      </c>
    </row>
    <row r="11" customFormat="false" ht="15" hidden="false" customHeight="false" outlineLevel="0" collapsed="false">
      <c r="A11" s="9" t="s">
        <v>122</v>
      </c>
      <c r="B11" s="22" t="n">
        <v>12</v>
      </c>
      <c r="C11" s="9" t="s">
        <v>19</v>
      </c>
      <c r="D11" s="9" t="s">
        <v>119</v>
      </c>
      <c r="E11" s="9" t="s">
        <v>117</v>
      </c>
    </row>
    <row r="12" customFormat="false" ht="15" hidden="false" customHeight="false" outlineLevel="0" collapsed="false">
      <c r="A12" s="9" t="s">
        <v>31</v>
      </c>
      <c r="B12" s="22" t="n">
        <v>18</v>
      </c>
      <c r="C12" s="9" t="s">
        <v>19</v>
      </c>
      <c r="D12" s="9" t="s">
        <v>123</v>
      </c>
      <c r="E12" s="9" t="s">
        <v>117</v>
      </c>
    </row>
    <row r="13" customFormat="false" ht="15" hidden="false" customHeight="false" outlineLevel="0" collapsed="false">
      <c r="A13" s="9" t="s">
        <v>124</v>
      </c>
      <c r="B13" s="22" t="n">
        <v>36</v>
      </c>
      <c r="C13" s="9" t="s">
        <v>19</v>
      </c>
      <c r="D13" s="9" t="s">
        <v>123</v>
      </c>
      <c r="E13" s="9" t="s">
        <v>117</v>
      </c>
    </row>
    <row r="14" customFormat="false" ht="15" hidden="false" customHeight="false" outlineLevel="0" collapsed="false">
      <c r="A14" s="9" t="s">
        <v>125</v>
      </c>
      <c r="B14" s="22" t="n">
        <v>72</v>
      </c>
      <c r="C14" s="9" t="s">
        <v>19</v>
      </c>
      <c r="D14" s="9" t="s">
        <v>123</v>
      </c>
      <c r="E14" s="9" t="s">
        <v>117</v>
      </c>
    </row>
    <row r="15" customFormat="false" ht="15" hidden="false" customHeight="false" outlineLevel="0" collapsed="false">
      <c r="A15" s="9" t="s">
        <v>126</v>
      </c>
      <c r="B15" s="22" t="n">
        <v>144</v>
      </c>
      <c r="C15" s="9" t="s">
        <v>19</v>
      </c>
      <c r="D15" s="9" t="s">
        <v>123</v>
      </c>
      <c r="E15" s="9" t="s">
        <v>117</v>
      </c>
    </row>
    <row r="16" customFormat="false" ht="15" hidden="false" customHeight="false" outlineLevel="0" collapsed="false">
      <c r="A16" s="9" t="s">
        <v>127</v>
      </c>
      <c r="B16" s="22" t="n">
        <v>72</v>
      </c>
      <c r="C16" s="9" t="s">
        <v>19</v>
      </c>
      <c r="D16" s="9" t="s">
        <v>123</v>
      </c>
      <c r="E16" s="9" t="s">
        <v>117</v>
      </c>
    </row>
    <row r="17" customFormat="false" ht="15" hidden="false" customHeight="false" outlineLevel="0" collapsed="false">
      <c r="A17" s="9" t="s">
        <v>36</v>
      </c>
      <c r="B17" s="22" t="n">
        <v>102</v>
      </c>
      <c r="C17" s="9" t="s">
        <v>19</v>
      </c>
      <c r="D17" s="9" t="s">
        <v>116</v>
      </c>
      <c r="E17" s="9" t="s">
        <v>117</v>
      </c>
    </row>
    <row r="18" customFormat="false" ht="15" hidden="false" customHeight="false" outlineLevel="0" collapsed="false">
      <c r="A18" s="9" t="s">
        <v>128</v>
      </c>
      <c r="B18" s="22" t="n">
        <v>48</v>
      </c>
      <c r="C18" s="9" t="s">
        <v>19</v>
      </c>
      <c r="D18" s="9" t="s">
        <v>116</v>
      </c>
      <c r="E18" s="9" t="s">
        <v>117</v>
      </c>
    </row>
    <row r="19" customFormat="false" ht="15" hidden="false" customHeight="false" outlineLevel="0" collapsed="false">
      <c r="A19" s="9" t="s">
        <v>52</v>
      </c>
      <c r="B19" s="22" t="n">
        <v>510</v>
      </c>
      <c r="C19" s="9" t="s">
        <v>19</v>
      </c>
      <c r="D19" s="9" t="s">
        <v>116</v>
      </c>
      <c r="E19" s="9" t="s">
        <v>117</v>
      </c>
    </row>
    <row r="20" customFormat="false" ht="15" hidden="false" customHeight="false" outlineLevel="0" collapsed="false">
      <c r="A20" s="9" t="s">
        <v>129</v>
      </c>
      <c r="B20" s="22" t="n">
        <v>714</v>
      </c>
      <c r="C20" s="9" t="s">
        <v>19</v>
      </c>
      <c r="D20" s="9" t="s">
        <v>116</v>
      </c>
      <c r="E20" s="9" t="s">
        <v>117</v>
      </c>
    </row>
    <row r="21" customFormat="false" ht="15" hidden="false" customHeight="false" outlineLevel="0" collapsed="false">
      <c r="A21" s="9" t="s">
        <v>42</v>
      </c>
      <c r="B21" s="22" t="n">
        <v>18</v>
      </c>
      <c r="C21" s="9" t="s">
        <v>19</v>
      </c>
      <c r="D21" s="9" t="s">
        <v>130</v>
      </c>
      <c r="E21" s="9" t="s">
        <v>117</v>
      </c>
    </row>
    <row r="22" customFormat="false" ht="15" hidden="false" customHeight="false" outlineLevel="0" collapsed="false">
      <c r="A22" s="9" t="s">
        <v>131</v>
      </c>
      <c r="B22" s="22" t="n">
        <v>180</v>
      </c>
      <c r="C22" s="9" t="s">
        <v>19</v>
      </c>
      <c r="D22" s="9" t="s">
        <v>130</v>
      </c>
      <c r="E22" s="9" t="s">
        <v>117</v>
      </c>
    </row>
    <row r="23" customFormat="false" ht="15" hidden="false" customHeight="false" outlineLevel="0" collapsed="false">
      <c r="A23" s="9" t="s">
        <v>132</v>
      </c>
      <c r="B23" s="22" t="n">
        <v>144</v>
      </c>
      <c r="C23" s="9" t="s">
        <v>19</v>
      </c>
      <c r="D23" s="9" t="s">
        <v>130</v>
      </c>
      <c r="E23" s="9" t="s">
        <v>117</v>
      </c>
    </row>
    <row r="24" customFormat="false" ht="15" hidden="false" customHeight="false" outlineLevel="0" collapsed="false">
      <c r="A24" s="9" t="s">
        <v>133</v>
      </c>
      <c r="B24" s="22" t="n">
        <v>216</v>
      </c>
      <c r="C24" s="9" t="s">
        <v>19</v>
      </c>
      <c r="D24" s="9" t="s">
        <v>130</v>
      </c>
      <c r="E24" s="9" t="s">
        <v>117</v>
      </c>
    </row>
    <row r="25" customFormat="false" ht="15" hidden="false" customHeight="false" outlineLevel="0" collapsed="false">
      <c r="A25" s="9" t="s">
        <v>47</v>
      </c>
      <c r="B25" s="22" t="n">
        <v>204</v>
      </c>
      <c r="C25" s="9" t="s">
        <v>19</v>
      </c>
      <c r="D25" s="9" t="s">
        <v>130</v>
      </c>
      <c r="E25" s="9" t="s">
        <v>117</v>
      </c>
    </row>
    <row r="26" customFormat="false" ht="15" hidden="false" customHeight="false" outlineLevel="0" collapsed="false">
      <c r="A26" s="9" t="s">
        <v>134</v>
      </c>
      <c r="B26" s="22" t="n">
        <v>2856</v>
      </c>
      <c r="C26" s="9" t="s">
        <v>19</v>
      </c>
      <c r="D26" s="9" t="s">
        <v>130</v>
      </c>
      <c r="E26" s="9" t="s">
        <v>117</v>
      </c>
    </row>
    <row r="27" customFormat="false" ht="15" hidden="false" customHeight="false" outlineLevel="0" collapsed="false">
      <c r="A27" s="9" t="s">
        <v>135</v>
      </c>
      <c r="B27" s="22" t="n">
        <v>48</v>
      </c>
      <c r="C27" s="9" t="s">
        <v>19</v>
      </c>
      <c r="D27" s="9" t="s">
        <v>130</v>
      </c>
      <c r="E27" s="9" t="s">
        <v>117</v>
      </c>
    </row>
    <row r="28" customFormat="false" ht="15" hidden="false" customHeight="false" outlineLevel="0" collapsed="false">
      <c r="A28" s="9" t="s">
        <v>136</v>
      </c>
      <c r="B28" s="22" t="n">
        <v>72</v>
      </c>
      <c r="C28" s="9" t="s">
        <v>19</v>
      </c>
      <c r="D28" s="9" t="s">
        <v>119</v>
      </c>
      <c r="E28" s="9" t="s">
        <v>117</v>
      </c>
    </row>
    <row r="29" customFormat="false" ht="15" hidden="false" customHeight="false" outlineLevel="0" collapsed="false">
      <c r="A29" s="9" t="s">
        <v>137</v>
      </c>
      <c r="B29" s="22" t="n">
        <v>360</v>
      </c>
      <c r="C29" s="9" t="s">
        <v>19</v>
      </c>
      <c r="D29" s="9" t="s">
        <v>119</v>
      </c>
      <c r="E29" s="9" t="s">
        <v>117</v>
      </c>
    </row>
    <row r="30" customFormat="false" ht="15" hidden="false" customHeight="false" outlineLevel="0" collapsed="false">
      <c r="A30" s="9" t="s">
        <v>138</v>
      </c>
      <c r="B30" s="22" t="n">
        <v>84</v>
      </c>
      <c r="C30" s="9" t="s">
        <v>19</v>
      </c>
      <c r="D30" s="9" t="s">
        <v>119</v>
      </c>
      <c r="E30" s="9" t="s">
        <v>117</v>
      </c>
    </row>
    <row r="31" customFormat="false" ht="15" hidden="false" customHeight="false" outlineLevel="0" collapsed="false">
      <c r="A31" s="9" t="s">
        <v>18</v>
      </c>
      <c r="B31" s="22" t="n">
        <v>18</v>
      </c>
      <c r="C31" s="9" t="s">
        <v>19</v>
      </c>
      <c r="D31" s="9" t="s">
        <v>139</v>
      </c>
      <c r="E31" s="9" t="s">
        <v>117</v>
      </c>
    </row>
    <row r="32" customFormat="false" ht="15" hidden="false" customHeight="false" outlineLevel="0" collapsed="false">
      <c r="A32" s="9" t="s">
        <v>140</v>
      </c>
      <c r="B32" s="22" t="n">
        <v>0</v>
      </c>
      <c r="C32" s="9" t="s">
        <v>19</v>
      </c>
      <c r="D32" s="9" t="s">
        <v>139</v>
      </c>
      <c r="E32" s="9" t="s">
        <v>141</v>
      </c>
    </row>
    <row r="33" customFormat="false" ht="15" hidden="false" customHeight="false" outlineLevel="0" collapsed="false">
      <c r="A33" s="9" t="s">
        <v>142</v>
      </c>
      <c r="B33" s="22" t="n">
        <v>0</v>
      </c>
      <c r="C33" s="9" t="s">
        <v>19</v>
      </c>
      <c r="D33" s="9" t="s">
        <v>139</v>
      </c>
      <c r="E33" s="9" t="s">
        <v>141</v>
      </c>
    </row>
    <row r="34" customFormat="false" ht="15" hidden="false" customHeight="false" outlineLevel="0" collapsed="false">
      <c r="A34" s="9" t="s">
        <v>143</v>
      </c>
      <c r="B34" s="22" t="n">
        <v>0</v>
      </c>
      <c r="C34" s="9" t="s">
        <v>19</v>
      </c>
      <c r="D34" s="9" t="s">
        <v>139</v>
      </c>
      <c r="E34" s="9" t="s">
        <v>141</v>
      </c>
    </row>
    <row r="35" customFormat="false" ht="15" hidden="false" customHeight="false" outlineLevel="0" collapsed="false">
      <c r="A35" s="9" t="s">
        <v>144</v>
      </c>
      <c r="B35" s="22" t="n">
        <v>0</v>
      </c>
      <c r="C35" s="9" t="s">
        <v>64</v>
      </c>
      <c r="D35" s="9" t="s">
        <v>139</v>
      </c>
      <c r="E35" s="9" t="s">
        <v>141</v>
      </c>
    </row>
    <row r="36" customFormat="false" ht="15" hidden="false" customHeight="false" outlineLevel="0" collapsed="false">
      <c r="A36" s="9" t="s">
        <v>145</v>
      </c>
      <c r="B36" s="22" t="n">
        <v>0</v>
      </c>
      <c r="C36" s="9" t="s">
        <v>64</v>
      </c>
      <c r="D36" s="9" t="s">
        <v>139</v>
      </c>
      <c r="E36" s="9" t="s">
        <v>141</v>
      </c>
    </row>
    <row r="37" customFormat="false" ht="15" hidden="false" customHeight="false" outlineLevel="0" collapsed="false">
      <c r="A37" s="9" t="s">
        <v>146</v>
      </c>
      <c r="B37" s="22" t="n">
        <v>0</v>
      </c>
      <c r="C37" s="9" t="s">
        <v>19</v>
      </c>
      <c r="D37" s="9" t="s">
        <v>139</v>
      </c>
      <c r="E37" s="9" t="s">
        <v>141</v>
      </c>
    </row>
    <row r="38" customFormat="false" ht="15" hidden="false" customHeight="false" outlineLevel="0" collapsed="false">
      <c r="A38" s="9" t="s">
        <v>90</v>
      </c>
      <c r="B38" s="22" t="n">
        <v>0</v>
      </c>
      <c r="C38" s="9" t="s">
        <v>19</v>
      </c>
      <c r="D38" s="9" t="s">
        <v>139</v>
      </c>
      <c r="E38" s="9" t="s">
        <v>141</v>
      </c>
    </row>
    <row r="39" customFormat="false" ht="15" hidden="false" customHeight="false" outlineLevel="0" collapsed="false">
      <c r="A39" s="9" t="s">
        <v>147</v>
      </c>
      <c r="B39" s="22" t="n">
        <v>0</v>
      </c>
      <c r="C39" s="9" t="s">
        <v>19</v>
      </c>
      <c r="D39" s="9" t="s">
        <v>139</v>
      </c>
      <c r="E39" s="9" t="s">
        <v>141</v>
      </c>
    </row>
    <row r="40" customFormat="false" ht="15" hidden="false" customHeight="false" outlineLevel="0" collapsed="false">
      <c r="A40" s="12" t="s">
        <v>94</v>
      </c>
      <c r="B40" s="23" t="n">
        <v>0</v>
      </c>
      <c r="C40" s="12" t="s">
        <v>19</v>
      </c>
      <c r="D40" s="12" t="s">
        <v>139</v>
      </c>
      <c r="E40" s="12" t="s">
        <v>141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9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7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2" customFormat="false" ht="24" hidden="false" customHeight="true" outlineLevel="0" collapsed="false">
      <c r="A2" s="1" t="s">
        <v>148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149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23" hidden="false" customHeight="true" outlineLevel="0" collapsed="false">
      <c r="A6" s="5" t="s">
        <v>150</v>
      </c>
      <c r="B6" s="6" t="s">
        <v>151</v>
      </c>
      <c r="C6" s="6" t="s">
        <v>152</v>
      </c>
      <c r="D6" s="6" t="s">
        <v>153</v>
      </c>
      <c r="E6" s="6" t="s">
        <v>154</v>
      </c>
      <c r="F6" s="6" t="s">
        <v>155</v>
      </c>
      <c r="G6" s="6" t="s">
        <v>156</v>
      </c>
      <c r="H6" s="6" t="s">
        <v>157</v>
      </c>
      <c r="I6" s="6" t="s">
        <v>158</v>
      </c>
      <c r="J6" s="6" t="s">
        <v>159</v>
      </c>
      <c r="K6" s="6" t="s">
        <v>160</v>
      </c>
      <c r="L6" s="6" t="s">
        <v>161</v>
      </c>
      <c r="M6" s="6" t="s">
        <v>162</v>
      </c>
      <c r="N6" s="6" t="s">
        <v>163</v>
      </c>
      <c r="O6" s="6" t="s">
        <v>164</v>
      </c>
      <c r="P6" s="7" t="s">
        <v>2</v>
      </c>
    </row>
    <row r="7" customFormat="false" ht="15" hidden="false" customHeight="false" outlineLevel="0" collapsed="false">
      <c r="A7" s="8" t="s">
        <v>11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18" t="n">
        <f aca="false">SUM(B7:M7)</f>
        <v>12</v>
      </c>
      <c r="O7" s="24" t="str">
        <f aca="false">IF(N7=12,"YES","NO")</f>
        <v>YES</v>
      </c>
      <c r="P7" s="24" t="str">
        <f aca="false">IF(O7="YES","SELECT","REJECT")</f>
        <v>SELECT</v>
      </c>
    </row>
    <row r="8" customFormat="false" ht="15" hidden="false" customHeight="false" outlineLevel="0" collapsed="false">
      <c r="A8" s="9" t="s">
        <v>165</v>
      </c>
      <c r="B8" s="9" t="n">
        <v>1</v>
      </c>
      <c r="C8" s="9" t="n">
        <v>0</v>
      </c>
      <c r="D8" s="9" t="n">
        <v>0</v>
      </c>
      <c r="E8" s="9" t="n">
        <v>1</v>
      </c>
      <c r="F8" s="9" t="n">
        <v>0</v>
      </c>
      <c r="G8" s="9" t="n">
        <v>1</v>
      </c>
      <c r="H8" s="9" t="n">
        <v>1</v>
      </c>
      <c r="I8" s="9" t="n">
        <v>1</v>
      </c>
      <c r="J8" s="9" t="n">
        <v>0</v>
      </c>
      <c r="K8" s="9" t="n">
        <v>1</v>
      </c>
      <c r="L8" s="9" t="n">
        <v>0</v>
      </c>
      <c r="M8" s="9" t="n">
        <v>1</v>
      </c>
      <c r="N8" s="19" t="n">
        <f aca="false">SUM(B8:M8)</f>
        <v>7</v>
      </c>
      <c r="O8" s="25" t="str">
        <f aca="false">IF(N8=12,"YES","NO")</f>
        <v>NO</v>
      </c>
      <c r="P8" s="25" t="str">
        <f aca="false">IF(O8="YES","SELECT","REJECT")</f>
        <v>REJECT</v>
      </c>
    </row>
    <row r="9" customFormat="false" ht="15" hidden="false" customHeight="false" outlineLevel="0" collapsed="false">
      <c r="A9" s="9" t="s">
        <v>166</v>
      </c>
      <c r="B9" s="9" t="n">
        <v>1</v>
      </c>
      <c r="C9" s="9" t="n">
        <v>0</v>
      </c>
      <c r="D9" s="9" t="n">
        <v>0</v>
      </c>
      <c r="E9" s="9" t="n">
        <v>1</v>
      </c>
      <c r="F9" s="9" t="n">
        <v>0</v>
      </c>
      <c r="G9" s="9" t="n">
        <v>1</v>
      </c>
      <c r="H9" s="9" t="n">
        <v>1</v>
      </c>
      <c r="I9" s="9" t="n">
        <v>1</v>
      </c>
      <c r="J9" s="9" t="n">
        <v>0</v>
      </c>
      <c r="K9" s="9" t="n">
        <v>1</v>
      </c>
      <c r="L9" s="9" t="n">
        <v>0</v>
      </c>
      <c r="M9" s="9" t="n">
        <v>1</v>
      </c>
      <c r="N9" s="19" t="n">
        <f aca="false">SUM(B9:M9)</f>
        <v>7</v>
      </c>
      <c r="O9" s="25" t="str">
        <f aca="false">IF(N9=12,"YES","NO")</f>
        <v>NO</v>
      </c>
      <c r="P9" s="25" t="str">
        <f aca="false">IF(O9="YES","SELECT","REJECT")</f>
        <v>REJECT</v>
      </c>
    </row>
    <row r="10" customFormat="false" ht="15" hidden="false" customHeight="false" outlineLevel="0" collapsed="false">
      <c r="A10" s="9" t="s">
        <v>167</v>
      </c>
      <c r="B10" s="9" t="n">
        <v>1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1</v>
      </c>
      <c r="H10" s="9" t="n">
        <v>1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1</v>
      </c>
      <c r="N10" s="19" t="n">
        <f aca="false">SUM(B10:M10)</f>
        <v>4</v>
      </c>
      <c r="O10" s="25" t="str">
        <f aca="false">IF(N10=12,"YES","NO")</f>
        <v>NO</v>
      </c>
      <c r="P10" s="25" t="str">
        <f aca="false">IF(O10="YES","SELECT","REJECT")</f>
        <v>REJECT</v>
      </c>
    </row>
    <row r="11" customFormat="false" ht="15" hidden="false" customHeight="false" outlineLevel="0" collapsed="false">
      <c r="A11" s="9" t="s">
        <v>168</v>
      </c>
      <c r="B11" s="9" t="n">
        <v>0</v>
      </c>
      <c r="C11" s="9" t="n">
        <v>1</v>
      </c>
      <c r="D11" s="9" t="n">
        <v>0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0</v>
      </c>
      <c r="K11" s="9" t="n">
        <v>1</v>
      </c>
      <c r="L11" s="9" t="n">
        <v>1</v>
      </c>
      <c r="M11" s="9" t="n">
        <v>0</v>
      </c>
      <c r="N11" s="19" t="n">
        <f aca="false">SUM(B11:M11)</f>
        <v>8</v>
      </c>
      <c r="O11" s="25" t="str">
        <f aca="false">IF(N11=12,"YES","NO")</f>
        <v>NO</v>
      </c>
      <c r="P11" s="25" t="str">
        <f aca="false">IF(O11="YES","SELECT","REJECT")</f>
        <v>REJECT</v>
      </c>
    </row>
    <row r="12" customFormat="false" ht="15" hidden="false" customHeight="false" outlineLevel="0" collapsed="false">
      <c r="A12" s="12" t="s">
        <v>169</v>
      </c>
      <c r="B12" s="12" t="n">
        <v>1</v>
      </c>
      <c r="C12" s="12" t="n">
        <v>1</v>
      </c>
      <c r="D12" s="12" t="n">
        <v>1</v>
      </c>
      <c r="E12" s="12" t="n">
        <v>1</v>
      </c>
      <c r="F12" s="12" t="n">
        <v>1</v>
      </c>
      <c r="G12" s="12" t="n">
        <v>0</v>
      </c>
      <c r="H12" s="12" t="n">
        <v>1</v>
      </c>
      <c r="I12" s="12" t="n">
        <v>1</v>
      </c>
      <c r="J12" s="12" t="n">
        <v>1</v>
      </c>
      <c r="K12" s="12" t="n">
        <v>1</v>
      </c>
      <c r="L12" s="12" t="n">
        <v>0</v>
      </c>
      <c r="M12" s="12" t="n">
        <v>0</v>
      </c>
      <c r="N12" s="20" t="n">
        <f aca="false">SUM(B12:M12)</f>
        <v>9</v>
      </c>
      <c r="O12" s="26" t="str">
        <f aca="false">IF(N12=12,"YES","NO")</f>
        <v>NO</v>
      </c>
      <c r="P12" s="26" t="str">
        <f aca="false">IF(O12="YES","SELECT","REJECT")</f>
        <v>REJECT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23"/>
    <col collapsed="false" customWidth="true" hidden="false" outlineLevel="0" max="7" min="7" style="0" width="43"/>
  </cols>
  <sheetData>
    <row r="2" customFormat="false" ht="24" hidden="false" customHeight="true" outlineLevel="0" collapsed="false">
      <c r="A2" s="1" t="s">
        <v>170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171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172</v>
      </c>
      <c r="B6" s="6" t="s">
        <v>173</v>
      </c>
      <c r="C6" s="6" t="s">
        <v>174</v>
      </c>
      <c r="D6" s="6" t="s">
        <v>4</v>
      </c>
      <c r="E6" s="6" t="s">
        <v>113</v>
      </c>
      <c r="F6" s="6" t="s">
        <v>5</v>
      </c>
      <c r="G6" s="7" t="s">
        <v>175</v>
      </c>
    </row>
    <row r="7" customFormat="false" ht="15" hidden="false" customHeight="false" outlineLevel="0" collapsed="false">
      <c r="A7" s="8" t="s">
        <v>176</v>
      </c>
      <c r="B7" s="8" t="s">
        <v>177</v>
      </c>
      <c r="C7" s="8" t="n">
        <v>6</v>
      </c>
      <c r="D7" s="8" t="s">
        <v>178</v>
      </c>
      <c r="E7" s="8" t="s">
        <v>119</v>
      </c>
      <c r="F7" s="8" t="s">
        <v>81</v>
      </c>
      <c r="G7" s="8" t="s">
        <v>179</v>
      </c>
    </row>
    <row r="8" customFormat="false" ht="15" hidden="false" customHeight="false" outlineLevel="0" collapsed="false">
      <c r="A8" s="9" t="s">
        <v>176</v>
      </c>
      <c r="B8" s="9" t="s">
        <v>180</v>
      </c>
      <c r="C8" s="9" t="n">
        <v>12</v>
      </c>
      <c r="D8" s="9" t="s">
        <v>122</v>
      </c>
      <c r="E8" s="9" t="s">
        <v>119</v>
      </c>
      <c r="F8" s="9" t="s">
        <v>20</v>
      </c>
      <c r="G8" s="9" t="s">
        <v>181</v>
      </c>
    </row>
    <row r="9" customFormat="false" ht="15" hidden="false" customHeight="false" outlineLevel="0" collapsed="false">
      <c r="A9" s="9" t="s">
        <v>182</v>
      </c>
      <c r="B9" s="9" t="s">
        <v>31</v>
      </c>
      <c r="C9" s="9" t="n">
        <v>18</v>
      </c>
      <c r="D9" s="9" t="s">
        <v>183</v>
      </c>
      <c r="E9" s="9" t="s">
        <v>123</v>
      </c>
      <c r="F9" s="9" t="s">
        <v>20</v>
      </c>
      <c r="G9" s="9" t="s">
        <v>184</v>
      </c>
    </row>
    <row r="10" customFormat="false" ht="15" hidden="false" customHeight="false" outlineLevel="0" collapsed="false">
      <c r="A10" s="9" t="s">
        <v>182</v>
      </c>
      <c r="B10" s="9" t="s">
        <v>185</v>
      </c>
      <c r="C10" s="9" t="n">
        <v>36</v>
      </c>
      <c r="D10" s="9" t="s">
        <v>186</v>
      </c>
      <c r="E10" s="9" t="s">
        <v>123</v>
      </c>
      <c r="F10" s="9" t="s">
        <v>20</v>
      </c>
      <c r="G10" s="9" t="s">
        <v>187</v>
      </c>
    </row>
    <row r="11" customFormat="false" ht="15" hidden="false" customHeight="false" outlineLevel="0" collapsed="false">
      <c r="A11" s="9" t="s">
        <v>182</v>
      </c>
      <c r="B11" s="9" t="s">
        <v>125</v>
      </c>
      <c r="C11" s="9" t="n">
        <v>72</v>
      </c>
      <c r="D11" s="9" t="s">
        <v>188</v>
      </c>
      <c r="E11" s="9" t="s">
        <v>123</v>
      </c>
      <c r="F11" s="9" t="s">
        <v>20</v>
      </c>
      <c r="G11" s="9" t="s">
        <v>189</v>
      </c>
    </row>
    <row r="12" customFormat="false" ht="15" hidden="false" customHeight="false" outlineLevel="0" collapsed="false">
      <c r="A12" s="9" t="s">
        <v>182</v>
      </c>
      <c r="B12" s="9" t="s">
        <v>126</v>
      </c>
      <c r="C12" s="9" t="n">
        <v>144</v>
      </c>
      <c r="D12" s="9" t="s">
        <v>190</v>
      </c>
      <c r="E12" s="9" t="s">
        <v>123</v>
      </c>
      <c r="F12" s="9" t="s">
        <v>81</v>
      </c>
      <c r="G12" s="9" t="s">
        <v>191</v>
      </c>
    </row>
    <row r="13" customFormat="false" ht="15" hidden="false" customHeight="false" outlineLevel="0" collapsed="false">
      <c r="A13" s="9" t="s">
        <v>182</v>
      </c>
      <c r="B13" s="9" t="s">
        <v>127</v>
      </c>
      <c r="C13" s="9" t="n">
        <v>72</v>
      </c>
      <c r="D13" s="9" t="s">
        <v>192</v>
      </c>
      <c r="E13" s="9" t="s">
        <v>123</v>
      </c>
      <c r="F13" s="9" t="s">
        <v>20</v>
      </c>
      <c r="G13" s="9" t="s">
        <v>193</v>
      </c>
    </row>
    <row r="14" customFormat="false" ht="15" hidden="false" customHeight="false" outlineLevel="0" collapsed="false">
      <c r="A14" s="9" t="s">
        <v>194</v>
      </c>
      <c r="B14" s="9" t="s">
        <v>195</v>
      </c>
      <c r="C14" s="9" t="n">
        <v>102</v>
      </c>
      <c r="D14" s="9" t="s">
        <v>196</v>
      </c>
      <c r="E14" s="9" t="s">
        <v>116</v>
      </c>
      <c r="F14" s="9" t="s">
        <v>37</v>
      </c>
      <c r="G14" s="9" t="s">
        <v>197</v>
      </c>
    </row>
    <row r="15" customFormat="false" ht="15" hidden="false" customHeight="false" outlineLevel="0" collapsed="false">
      <c r="A15" s="9" t="s">
        <v>194</v>
      </c>
      <c r="B15" s="9" t="s">
        <v>198</v>
      </c>
      <c r="C15" s="9" t="n">
        <v>48</v>
      </c>
      <c r="D15" s="9" t="s">
        <v>199</v>
      </c>
      <c r="E15" s="9" t="s">
        <v>116</v>
      </c>
      <c r="F15" s="9" t="s">
        <v>20</v>
      </c>
      <c r="G15" s="9" t="s">
        <v>200</v>
      </c>
    </row>
    <row r="16" customFormat="false" ht="15" hidden="false" customHeight="false" outlineLevel="0" collapsed="false">
      <c r="A16" s="9" t="s">
        <v>194</v>
      </c>
      <c r="B16" s="9" t="s">
        <v>52</v>
      </c>
      <c r="C16" s="9" t="n">
        <v>510</v>
      </c>
      <c r="D16" s="9" t="s">
        <v>201</v>
      </c>
      <c r="E16" s="9" t="s">
        <v>116</v>
      </c>
      <c r="F16" s="9" t="s">
        <v>48</v>
      </c>
      <c r="G16" s="9" t="s">
        <v>202</v>
      </c>
    </row>
    <row r="17" customFormat="false" ht="15" hidden="false" customHeight="false" outlineLevel="0" collapsed="false">
      <c r="A17" s="9" t="s">
        <v>194</v>
      </c>
      <c r="B17" s="9" t="s">
        <v>129</v>
      </c>
      <c r="C17" s="9" t="n">
        <v>714</v>
      </c>
      <c r="D17" s="9" t="s">
        <v>203</v>
      </c>
      <c r="E17" s="9" t="s">
        <v>116</v>
      </c>
      <c r="F17" s="9" t="s">
        <v>48</v>
      </c>
      <c r="G17" s="9" t="s">
        <v>204</v>
      </c>
    </row>
    <row r="18" customFormat="false" ht="15" hidden="false" customHeight="false" outlineLevel="0" collapsed="false">
      <c r="A18" s="9" t="s">
        <v>205</v>
      </c>
      <c r="B18" s="9" t="s">
        <v>42</v>
      </c>
      <c r="C18" s="9" t="n">
        <v>18</v>
      </c>
      <c r="D18" s="9" t="s">
        <v>206</v>
      </c>
      <c r="E18" s="9" t="s">
        <v>130</v>
      </c>
      <c r="F18" s="9" t="s">
        <v>43</v>
      </c>
      <c r="G18" s="9" t="s">
        <v>207</v>
      </c>
    </row>
    <row r="19" customFormat="false" ht="15" hidden="false" customHeight="false" outlineLevel="0" collapsed="false">
      <c r="A19" s="9" t="s">
        <v>205</v>
      </c>
      <c r="B19" s="9" t="s">
        <v>131</v>
      </c>
      <c r="C19" s="9" t="n">
        <v>180</v>
      </c>
      <c r="D19" s="9" t="s">
        <v>208</v>
      </c>
      <c r="E19" s="9" t="s">
        <v>130</v>
      </c>
      <c r="F19" s="9" t="s">
        <v>48</v>
      </c>
      <c r="G19" s="9" t="s">
        <v>209</v>
      </c>
    </row>
    <row r="20" customFormat="false" ht="15" hidden="false" customHeight="false" outlineLevel="0" collapsed="false">
      <c r="A20" s="9" t="s">
        <v>205</v>
      </c>
      <c r="B20" s="9" t="s">
        <v>210</v>
      </c>
      <c r="C20" s="9" t="n">
        <v>144</v>
      </c>
      <c r="D20" s="9" t="s">
        <v>208</v>
      </c>
      <c r="E20" s="9" t="s">
        <v>130</v>
      </c>
      <c r="F20" s="9" t="s">
        <v>48</v>
      </c>
      <c r="G20" s="9" t="s">
        <v>211</v>
      </c>
    </row>
    <row r="21" customFormat="false" ht="15" hidden="false" customHeight="false" outlineLevel="0" collapsed="false">
      <c r="A21" s="9" t="s">
        <v>205</v>
      </c>
      <c r="B21" s="9" t="s">
        <v>133</v>
      </c>
      <c r="C21" s="9" t="n">
        <v>216</v>
      </c>
      <c r="D21" s="9" t="s">
        <v>203</v>
      </c>
      <c r="E21" s="9" t="s">
        <v>130</v>
      </c>
      <c r="F21" s="9" t="s">
        <v>48</v>
      </c>
      <c r="G21" s="9" t="s">
        <v>209</v>
      </c>
    </row>
    <row r="22" customFormat="false" ht="15" hidden="false" customHeight="false" outlineLevel="0" collapsed="false">
      <c r="A22" s="9" t="s">
        <v>212</v>
      </c>
      <c r="B22" s="9" t="s">
        <v>213</v>
      </c>
      <c r="C22" s="9" t="n">
        <v>204</v>
      </c>
      <c r="D22" s="9" t="s">
        <v>214</v>
      </c>
      <c r="E22" s="9" t="s">
        <v>130</v>
      </c>
      <c r="F22" s="9" t="s">
        <v>48</v>
      </c>
      <c r="G22" s="9" t="s">
        <v>215</v>
      </c>
    </row>
    <row r="23" customFormat="false" ht="15" hidden="false" customHeight="false" outlineLevel="0" collapsed="false">
      <c r="A23" s="9" t="s">
        <v>212</v>
      </c>
      <c r="B23" s="9" t="s">
        <v>134</v>
      </c>
      <c r="C23" s="9" t="n">
        <v>2856</v>
      </c>
      <c r="D23" s="9" t="s">
        <v>203</v>
      </c>
      <c r="E23" s="9" t="s">
        <v>130</v>
      </c>
      <c r="F23" s="9" t="s">
        <v>48</v>
      </c>
      <c r="G23" s="9" t="s">
        <v>216</v>
      </c>
    </row>
    <row r="24" customFormat="false" ht="15" hidden="false" customHeight="false" outlineLevel="0" collapsed="false">
      <c r="A24" s="9" t="s">
        <v>212</v>
      </c>
      <c r="B24" s="9" t="s">
        <v>217</v>
      </c>
      <c r="C24" s="9" t="n">
        <v>48</v>
      </c>
      <c r="D24" s="9" t="s">
        <v>218</v>
      </c>
      <c r="E24" s="9" t="s">
        <v>130</v>
      </c>
      <c r="F24" s="9" t="s">
        <v>48</v>
      </c>
      <c r="G24" s="9" t="s">
        <v>219</v>
      </c>
    </row>
    <row r="25" customFormat="false" ht="15" hidden="false" customHeight="false" outlineLevel="0" collapsed="false">
      <c r="A25" s="9" t="s">
        <v>220</v>
      </c>
      <c r="B25" s="9" t="s">
        <v>136</v>
      </c>
      <c r="C25" s="9" t="n">
        <v>72</v>
      </c>
      <c r="D25" s="9" t="s">
        <v>221</v>
      </c>
      <c r="E25" s="9" t="s">
        <v>119</v>
      </c>
      <c r="F25" s="9" t="s">
        <v>58</v>
      </c>
      <c r="G25" s="9" t="s">
        <v>222</v>
      </c>
    </row>
    <row r="26" customFormat="false" ht="15" hidden="false" customHeight="false" outlineLevel="0" collapsed="false">
      <c r="A26" s="9" t="s">
        <v>220</v>
      </c>
      <c r="B26" s="9" t="s">
        <v>202</v>
      </c>
      <c r="C26" s="9" t="n">
        <v>360</v>
      </c>
      <c r="D26" s="9" t="s">
        <v>223</v>
      </c>
      <c r="E26" s="9" t="s">
        <v>119</v>
      </c>
      <c r="F26" s="9" t="s">
        <v>58</v>
      </c>
      <c r="G26" s="9" t="s">
        <v>224</v>
      </c>
    </row>
    <row r="27" customFormat="false" ht="15" hidden="false" customHeight="false" outlineLevel="0" collapsed="false">
      <c r="A27" s="9" t="s">
        <v>220</v>
      </c>
      <c r="B27" s="9" t="s">
        <v>138</v>
      </c>
      <c r="C27" s="9" t="n">
        <v>84</v>
      </c>
      <c r="D27" s="9" t="s">
        <v>225</v>
      </c>
      <c r="E27" s="9" t="s">
        <v>119</v>
      </c>
      <c r="F27" s="9" t="s">
        <v>81</v>
      </c>
      <c r="G27" s="9" t="s">
        <v>226</v>
      </c>
    </row>
    <row r="28" customFormat="false" ht="15" hidden="false" customHeight="false" outlineLevel="0" collapsed="false">
      <c r="A28" s="12" t="s">
        <v>227</v>
      </c>
      <c r="B28" s="12" t="s">
        <v>18</v>
      </c>
      <c r="C28" s="12" t="n">
        <v>18</v>
      </c>
      <c r="D28" s="12" t="s">
        <v>101</v>
      </c>
      <c r="E28" s="12" t="s">
        <v>139</v>
      </c>
      <c r="F28" s="12" t="s">
        <v>20</v>
      </c>
      <c r="G28" s="12" t="s">
        <v>228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1"/>
    <col collapsed="false" customWidth="true" hidden="false" outlineLevel="0" max="3" min="3" style="0" width="72"/>
    <col collapsed="false" customWidth="true" hidden="false" outlineLevel="0" max="4" min="4" style="0" width="46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229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230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231</v>
      </c>
      <c r="B6" s="6" t="s">
        <v>232</v>
      </c>
      <c r="C6" s="6" t="s">
        <v>233</v>
      </c>
      <c r="D6" s="6" t="s">
        <v>234</v>
      </c>
      <c r="E6" s="7" t="s">
        <v>5</v>
      </c>
    </row>
    <row r="7" customFormat="false" ht="15" hidden="false" customHeight="false" outlineLevel="0" collapsed="false">
      <c r="A7" s="8" t="s">
        <v>235</v>
      </c>
      <c r="B7" s="8" t="s">
        <v>236</v>
      </c>
      <c r="C7" s="8" t="s">
        <v>237</v>
      </c>
      <c r="D7" s="8" t="s">
        <v>238</v>
      </c>
      <c r="E7" s="8" t="s">
        <v>239</v>
      </c>
    </row>
    <row r="8" customFormat="false" ht="15" hidden="false" customHeight="false" outlineLevel="0" collapsed="false">
      <c r="A8" s="9" t="s">
        <v>240</v>
      </c>
      <c r="B8" s="9" t="s">
        <v>241</v>
      </c>
      <c r="C8" s="9" t="s">
        <v>242</v>
      </c>
      <c r="D8" s="9" t="s">
        <v>243</v>
      </c>
      <c r="E8" s="9" t="s">
        <v>239</v>
      </c>
    </row>
    <row r="9" customFormat="false" ht="15" hidden="false" customHeight="false" outlineLevel="0" collapsed="false">
      <c r="A9" s="9" t="s">
        <v>244</v>
      </c>
      <c r="B9" s="9" t="s">
        <v>245</v>
      </c>
      <c r="C9" s="9" t="s">
        <v>246</v>
      </c>
      <c r="D9" s="9" t="s">
        <v>247</v>
      </c>
      <c r="E9" s="9" t="s">
        <v>239</v>
      </c>
    </row>
    <row r="10" customFormat="false" ht="15" hidden="false" customHeight="false" outlineLevel="0" collapsed="false">
      <c r="A10" s="9" t="s">
        <v>248</v>
      </c>
      <c r="B10" s="9" t="s">
        <v>249</v>
      </c>
      <c r="C10" s="9" t="s">
        <v>250</v>
      </c>
      <c r="D10" s="9" t="s">
        <v>251</v>
      </c>
      <c r="E10" s="9" t="s">
        <v>239</v>
      </c>
    </row>
    <row r="11" customFormat="false" ht="15" hidden="false" customHeight="false" outlineLevel="0" collapsed="false">
      <c r="A11" s="9" t="s">
        <v>252</v>
      </c>
      <c r="B11" s="9" t="s">
        <v>253</v>
      </c>
      <c r="C11" s="9" t="s">
        <v>254</v>
      </c>
      <c r="D11" s="9" t="s">
        <v>255</v>
      </c>
      <c r="E11" s="9" t="s">
        <v>239</v>
      </c>
    </row>
    <row r="12" customFormat="false" ht="15" hidden="false" customHeight="false" outlineLevel="0" collapsed="false">
      <c r="A12" s="9" t="s">
        <v>256</v>
      </c>
      <c r="B12" s="9" t="s">
        <v>257</v>
      </c>
      <c r="C12" s="9" t="s">
        <v>258</v>
      </c>
      <c r="D12" s="9" t="s">
        <v>259</v>
      </c>
      <c r="E12" s="9" t="s">
        <v>239</v>
      </c>
    </row>
    <row r="13" customFormat="false" ht="15" hidden="false" customHeight="false" outlineLevel="0" collapsed="false">
      <c r="A13" s="9" t="s">
        <v>260</v>
      </c>
      <c r="B13" s="9" t="s">
        <v>261</v>
      </c>
      <c r="C13" s="9" t="s">
        <v>262</v>
      </c>
      <c r="D13" s="9" t="s">
        <v>263</v>
      </c>
      <c r="E13" s="9" t="s">
        <v>239</v>
      </c>
    </row>
    <row r="14" customFormat="false" ht="15" hidden="false" customHeight="false" outlineLevel="0" collapsed="false">
      <c r="A14" s="9" t="s">
        <v>264</v>
      </c>
      <c r="B14" s="9" t="s">
        <v>265</v>
      </c>
      <c r="C14" s="9" t="s">
        <v>266</v>
      </c>
      <c r="D14" s="9" t="s">
        <v>267</v>
      </c>
      <c r="E14" s="9" t="s">
        <v>239</v>
      </c>
    </row>
    <row r="15" customFormat="false" ht="15" hidden="false" customHeight="false" outlineLevel="0" collapsed="false">
      <c r="A15" s="9" t="s">
        <v>268</v>
      </c>
      <c r="B15" s="9" t="s">
        <v>269</v>
      </c>
      <c r="C15" s="9" t="s">
        <v>270</v>
      </c>
      <c r="D15" s="9" t="s">
        <v>271</v>
      </c>
      <c r="E15" s="9" t="s">
        <v>239</v>
      </c>
    </row>
    <row r="16" customFormat="false" ht="15" hidden="false" customHeight="false" outlineLevel="0" collapsed="false">
      <c r="A16" s="9" t="s">
        <v>272</v>
      </c>
      <c r="B16" s="9" t="s">
        <v>273</v>
      </c>
      <c r="C16" s="9" t="s">
        <v>274</v>
      </c>
      <c r="D16" s="9" t="s">
        <v>275</v>
      </c>
      <c r="E16" s="9" t="s">
        <v>239</v>
      </c>
    </row>
    <row r="17" customFormat="false" ht="15" hidden="false" customHeight="false" outlineLevel="0" collapsed="false">
      <c r="A17" s="9" t="s">
        <v>276</v>
      </c>
      <c r="B17" s="9" t="s">
        <v>277</v>
      </c>
      <c r="C17" s="9" t="s">
        <v>278</v>
      </c>
      <c r="D17" s="9" t="s">
        <v>279</v>
      </c>
      <c r="E17" s="9" t="s">
        <v>239</v>
      </c>
    </row>
    <row r="18" customFormat="false" ht="15" hidden="false" customHeight="false" outlineLevel="0" collapsed="false">
      <c r="A18" s="12" t="s">
        <v>280</v>
      </c>
      <c r="B18" s="12" t="s">
        <v>281</v>
      </c>
      <c r="C18" s="12" t="s">
        <v>282</v>
      </c>
      <c r="D18" s="12" t="s">
        <v>283</v>
      </c>
      <c r="E18" s="12" t="s">
        <v>239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5" min="14" style="0" width="20"/>
    <col collapsed="false" customWidth="true" hidden="false" outlineLevel="0" max="16" min="16" style="0" width="12"/>
    <col collapsed="false" customWidth="true" hidden="false" outlineLevel="0" max="17" min="17" style="0" width="19"/>
    <col collapsed="false" customWidth="true" hidden="false" outlineLevel="0" max="18" min="18" style="0" width="17"/>
    <col collapsed="false" customWidth="true" hidden="false" outlineLevel="0" max="19" min="19" style="0" width="14"/>
    <col collapsed="false" customWidth="true" hidden="false" outlineLevel="0" max="20" min="20" style="0" width="18"/>
  </cols>
  <sheetData>
    <row r="2" customFormat="false" ht="24" hidden="false" customHeight="true" outlineLevel="0" collapsed="false">
      <c r="A2" s="1" t="s">
        <v>284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3" t="s">
        <v>285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3" hidden="false" customHeight="true" outlineLevel="0" collapsed="false">
      <c r="A6" s="5" t="s">
        <v>286</v>
      </c>
      <c r="B6" s="6" t="s">
        <v>287</v>
      </c>
      <c r="C6" s="6" t="s">
        <v>288</v>
      </c>
      <c r="D6" s="6" t="s">
        <v>289</v>
      </c>
      <c r="E6" s="6" t="s">
        <v>290</v>
      </c>
      <c r="F6" s="6" t="s">
        <v>291</v>
      </c>
      <c r="G6" s="6" t="s">
        <v>292</v>
      </c>
      <c r="H6" s="6" t="s">
        <v>293</v>
      </c>
      <c r="I6" s="6" t="s">
        <v>294</v>
      </c>
      <c r="J6" s="6" t="s">
        <v>295</v>
      </c>
      <c r="K6" s="6" t="s">
        <v>296</v>
      </c>
      <c r="L6" s="6" t="s">
        <v>297</v>
      </c>
      <c r="M6" s="6" t="s">
        <v>298</v>
      </c>
      <c r="N6" s="6" t="s">
        <v>299</v>
      </c>
      <c r="O6" s="6" t="s">
        <v>300</v>
      </c>
      <c r="P6" s="6" t="s">
        <v>301</v>
      </c>
      <c r="Q6" s="6" t="s">
        <v>302</v>
      </c>
      <c r="R6" s="6" t="s">
        <v>303</v>
      </c>
      <c r="S6" s="6" t="s">
        <v>304</v>
      </c>
      <c r="T6" s="7" t="s">
        <v>5</v>
      </c>
    </row>
    <row r="7" customFormat="false" ht="15" hidden="false" customHeight="false" outlineLevel="0" collapsed="false">
      <c r="A7" s="8" t="s">
        <v>305</v>
      </c>
      <c r="B7" s="8" t="s">
        <v>306</v>
      </c>
      <c r="C7" s="8" t="s">
        <v>307</v>
      </c>
      <c r="D7" s="8" t="s">
        <v>308</v>
      </c>
      <c r="E7" s="8" t="s">
        <v>309</v>
      </c>
      <c r="F7" s="8" t="s">
        <v>310</v>
      </c>
      <c r="G7" s="8" t="s">
        <v>311</v>
      </c>
      <c r="H7" s="8" t="s">
        <v>312</v>
      </c>
      <c r="I7" s="27" t="n">
        <v>0.12</v>
      </c>
      <c r="J7" s="8" t="n">
        <v>5</v>
      </c>
      <c r="K7" s="8" t="n">
        <v>7</v>
      </c>
      <c r="L7" s="8" t="n">
        <v>2</v>
      </c>
      <c r="M7" s="8" t="n">
        <v>4</v>
      </c>
      <c r="N7" s="28" t="s">
        <v>58</v>
      </c>
      <c r="O7" s="28" t="s">
        <v>58</v>
      </c>
      <c r="P7" s="29" t="n">
        <f aca="false">Controls!B34</f>
        <v>0</v>
      </c>
      <c r="Q7" s="30" t="n">
        <f aca="false">Controls!B35</f>
        <v>0</v>
      </c>
      <c r="R7" s="30" t="n">
        <f aca="false">Controls!B36</f>
        <v>0</v>
      </c>
      <c r="S7" s="29" t="n">
        <f aca="false">Controls!B38</f>
        <v>0</v>
      </c>
      <c r="T7" s="29" t="str">
        <f aca="false">IF(P7=1,"AWARDED","CONSTITUTED")</f>
        <v>CONSTITUTED</v>
      </c>
    </row>
    <row r="8" customFormat="false" ht="15" hidden="false" customHeight="false" outlineLevel="0" collapsed="false">
      <c r="A8" s="9" t="s">
        <v>313</v>
      </c>
      <c r="B8" s="9" t="s">
        <v>306</v>
      </c>
      <c r="C8" s="9" t="s">
        <v>307</v>
      </c>
      <c r="D8" s="9" t="s">
        <v>308</v>
      </c>
      <c r="E8" s="9" t="s">
        <v>309</v>
      </c>
      <c r="F8" s="9" t="s">
        <v>310</v>
      </c>
      <c r="G8" s="9" t="s">
        <v>311</v>
      </c>
      <c r="H8" s="9" t="s">
        <v>312</v>
      </c>
      <c r="I8" s="31" t="n">
        <v>0.12</v>
      </c>
      <c r="J8" s="9" t="n">
        <v>5</v>
      </c>
      <c r="K8" s="9" t="n">
        <v>7</v>
      </c>
      <c r="L8" s="9" t="n">
        <v>2</v>
      </c>
      <c r="M8" s="9" t="n">
        <v>4</v>
      </c>
      <c r="N8" s="11" t="s">
        <v>58</v>
      </c>
      <c r="O8" s="11" t="s">
        <v>58</v>
      </c>
      <c r="P8" s="32" t="n">
        <f aca="false">Controls!B34</f>
        <v>0</v>
      </c>
      <c r="Q8" s="33" t="n">
        <f aca="false">Controls!B35</f>
        <v>0</v>
      </c>
      <c r="R8" s="33" t="n">
        <f aca="false">Controls!B36</f>
        <v>0</v>
      </c>
      <c r="S8" s="32" t="n">
        <f aca="false">Controls!B38</f>
        <v>0</v>
      </c>
      <c r="T8" s="32" t="str">
        <f aca="false">IF(P8=1,"AWARDED","CONSTITUTED")</f>
        <v>CONSTITUTED</v>
      </c>
    </row>
    <row r="9" customFormat="false" ht="15" hidden="false" customHeight="false" outlineLevel="0" collapsed="false">
      <c r="A9" s="9" t="s">
        <v>314</v>
      </c>
      <c r="B9" s="9" t="s">
        <v>306</v>
      </c>
      <c r="C9" s="9" t="s">
        <v>307</v>
      </c>
      <c r="D9" s="9" t="s">
        <v>308</v>
      </c>
      <c r="E9" s="9" t="s">
        <v>309</v>
      </c>
      <c r="F9" s="9" t="s">
        <v>310</v>
      </c>
      <c r="G9" s="9" t="s">
        <v>311</v>
      </c>
      <c r="H9" s="9" t="s">
        <v>312</v>
      </c>
      <c r="I9" s="31" t="n">
        <v>0.12</v>
      </c>
      <c r="J9" s="9" t="n">
        <v>5</v>
      </c>
      <c r="K9" s="9" t="n">
        <v>7</v>
      </c>
      <c r="L9" s="9" t="n">
        <v>2</v>
      </c>
      <c r="M9" s="9" t="n">
        <v>4</v>
      </c>
      <c r="N9" s="11" t="s">
        <v>58</v>
      </c>
      <c r="O9" s="11" t="s">
        <v>58</v>
      </c>
      <c r="P9" s="32" t="n">
        <f aca="false">Controls!B34</f>
        <v>0</v>
      </c>
      <c r="Q9" s="33" t="n">
        <f aca="false">Controls!B35</f>
        <v>0</v>
      </c>
      <c r="R9" s="33" t="n">
        <f aca="false">Controls!B36</f>
        <v>0</v>
      </c>
      <c r="S9" s="32" t="n">
        <f aca="false">Controls!B38</f>
        <v>0</v>
      </c>
      <c r="T9" s="32" t="str">
        <f aca="false">IF(P9=1,"AWARDED","CONSTITUTED")</f>
        <v>CONSTITUTED</v>
      </c>
    </row>
    <row r="10" customFormat="false" ht="15" hidden="false" customHeight="false" outlineLevel="0" collapsed="false">
      <c r="A10" s="9" t="s">
        <v>315</v>
      </c>
      <c r="B10" s="9" t="s">
        <v>306</v>
      </c>
      <c r="C10" s="9" t="s">
        <v>307</v>
      </c>
      <c r="D10" s="9" t="s">
        <v>308</v>
      </c>
      <c r="E10" s="9" t="s">
        <v>309</v>
      </c>
      <c r="F10" s="9" t="s">
        <v>310</v>
      </c>
      <c r="G10" s="9" t="s">
        <v>311</v>
      </c>
      <c r="H10" s="9" t="s">
        <v>312</v>
      </c>
      <c r="I10" s="31" t="n">
        <v>0.12</v>
      </c>
      <c r="J10" s="9" t="n">
        <v>5</v>
      </c>
      <c r="K10" s="9" t="n">
        <v>7</v>
      </c>
      <c r="L10" s="9" t="n">
        <v>2</v>
      </c>
      <c r="M10" s="9" t="n">
        <v>4</v>
      </c>
      <c r="N10" s="11" t="s">
        <v>58</v>
      </c>
      <c r="O10" s="11" t="s">
        <v>58</v>
      </c>
      <c r="P10" s="32" t="n">
        <f aca="false">Controls!B34</f>
        <v>0</v>
      </c>
      <c r="Q10" s="33" t="n">
        <f aca="false">Controls!B35</f>
        <v>0</v>
      </c>
      <c r="R10" s="33" t="n">
        <f aca="false">Controls!B36</f>
        <v>0</v>
      </c>
      <c r="S10" s="32" t="n">
        <f aca="false">Controls!B38</f>
        <v>0</v>
      </c>
      <c r="T10" s="32" t="str">
        <f aca="false">IF(P10=1,"AWARDED","CONSTITUTED")</f>
        <v>CONSTITUTED</v>
      </c>
    </row>
    <row r="11" customFormat="false" ht="15" hidden="false" customHeight="false" outlineLevel="0" collapsed="false">
      <c r="A11" s="9" t="s">
        <v>316</v>
      </c>
      <c r="B11" s="9" t="s">
        <v>306</v>
      </c>
      <c r="C11" s="9" t="s">
        <v>307</v>
      </c>
      <c r="D11" s="9" t="s">
        <v>308</v>
      </c>
      <c r="E11" s="9" t="s">
        <v>309</v>
      </c>
      <c r="F11" s="9" t="s">
        <v>310</v>
      </c>
      <c r="G11" s="9" t="s">
        <v>311</v>
      </c>
      <c r="H11" s="9" t="s">
        <v>312</v>
      </c>
      <c r="I11" s="31" t="n">
        <v>0.12</v>
      </c>
      <c r="J11" s="9" t="n">
        <v>5</v>
      </c>
      <c r="K11" s="9" t="n">
        <v>7</v>
      </c>
      <c r="L11" s="9" t="n">
        <v>2</v>
      </c>
      <c r="M11" s="9" t="n">
        <v>4</v>
      </c>
      <c r="N11" s="11" t="s">
        <v>58</v>
      </c>
      <c r="O11" s="11" t="s">
        <v>58</v>
      </c>
      <c r="P11" s="32" t="n">
        <f aca="false">Controls!B34</f>
        <v>0</v>
      </c>
      <c r="Q11" s="33" t="n">
        <f aca="false">Controls!B35</f>
        <v>0</v>
      </c>
      <c r="R11" s="33" t="n">
        <f aca="false">Controls!B36</f>
        <v>0</v>
      </c>
      <c r="S11" s="32" t="n">
        <f aca="false">Controls!B38</f>
        <v>0</v>
      </c>
      <c r="T11" s="32" t="str">
        <f aca="false">IF(P11=1,"AWARDED","CONSTITUTED")</f>
        <v>CONSTITUTED</v>
      </c>
    </row>
    <row r="12" customFormat="false" ht="15" hidden="false" customHeight="false" outlineLevel="0" collapsed="false">
      <c r="A12" s="9" t="s">
        <v>317</v>
      </c>
      <c r="B12" s="9" t="s">
        <v>306</v>
      </c>
      <c r="C12" s="9" t="s">
        <v>307</v>
      </c>
      <c r="D12" s="9" t="s">
        <v>308</v>
      </c>
      <c r="E12" s="9" t="s">
        <v>309</v>
      </c>
      <c r="F12" s="9" t="s">
        <v>310</v>
      </c>
      <c r="G12" s="9" t="s">
        <v>311</v>
      </c>
      <c r="H12" s="9" t="s">
        <v>312</v>
      </c>
      <c r="I12" s="31" t="n">
        <v>0.12</v>
      </c>
      <c r="J12" s="9" t="n">
        <v>5</v>
      </c>
      <c r="K12" s="9" t="n">
        <v>7</v>
      </c>
      <c r="L12" s="9" t="n">
        <v>2</v>
      </c>
      <c r="M12" s="9" t="n">
        <v>4</v>
      </c>
      <c r="N12" s="11" t="s">
        <v>58</v>
      </c>
      <c r="O12" s="11" t="s">
        <v>58</v>
      </c>
      <c r="P12" s="32" t="n">
        <f aca="false">Controls!B34</f>
        <v>0</v>
      </c>
      <c r="Q12" s="33" t="n">
        <f aca="false">Controls!B35</f>
        <v>0</v>
      </c>
      <c r="R12" s="33" t="n">
        <f aca="false">Controls!B36</f>
        <v>0</v>
      </c>
      <c r="S12" s="32" t="n">
        <f aca="false">Controls!B38</f>
        <v>0</v>
      </c>
      <c r="T12" s="32" t="str">
        <f aca="false">IF(P12=1,"AWARDED","CONSTITUTED")</f>
        <v>CONSTITUTED</v>
      </c>
    </row>
    <row r="13" customFormat="false" ht="15" hidden="false" customHeight="false" outlineLevel="0" collapsed="false">
      <c r="A13" s="9" t="s">
        <v>318</v>
      </c>
      <c r="B13" s="9" t="s">
        <v>319</v>
      </c>
      <c r="C13" s="9" t="s">
        <v>307</v>
      </c>
      <c r="D13" s="9" t="s">
        <v>320</v>
      </c>
      <c r="E13" s="9" t="s">
        <v>321</v>
      </c>
      <c r="F13" s="9" t="s">
        <v>322</v>
      </c>
      <c r="G13" s="9" t="s">
        <v>323</v>
      </c>
      <c r="H13" s="9" t="s">
        <v>324</v>
      </c>
      <c r="I13" s="31" t="n">
        <v>0.316666666666667</v>
      </c>
      <c r="J13" s="9" t="n">
        <v>5</v>
      </c>
      <c r="K13" s="9" t="n">
        <v>7</v>
      </c>
      <c r="L13" s="9" t="n">
        <v>2</v>
      </c>
      <c r="M13" s="9" t="n">
        <v>4</v>
      </c>
      <c r="N13" s="11" t="s">
        <v>58</v>
      </c>
      <c r="O13" s="11" t="s">
        <v>58</v>
      </c>
      <c r="P13" s="32" t="n">
        <f aca="false">Controls!B34</f>
        <v>0</v>
      </c>
      <c r="Q13" s="33" t="n">
        <f aca="false">Controls!B35</f>
        <v>0</v>
      </c>
      <c r="R13" s="33" t="n">
        <f aca="false">Controls!B36</f>
        <v>0</v>
      </c>
      <c r="S13" s="32" t="n">
        <f aca="false">Controls!B38</f>
        <v>0</v>
      </c>
      <c r="T13" s="32" t="str">
        <f aca="false">IF(P13=1,"AWARDED","CONSTITUTED")</f>
        <v>CONSTITUTED</v>
      </c>
    </row>
    <row r="14" customFormat="false" ht="15" hidden="false" customHeight="false" outlineLevel="0" collapsed="false">
      <c r="A14" s="9" t="s">
        <v>325</v>
      </c>
      <c r="B14" s="9" t="s">
        <v>326</v>
      </c>
      <c r="C14" s="9" t="s">
        <v>307</v>
      </c>
      <c r="D14" s="9" t="s">
        <v>320</v>
      </c>
      <c r="E14" s="9" t="s">
        <v>321</v>
      </c>
      <c r="F14" s="9" t="s">
        <v>322</v>
      </c>
      <c r="G14" s="9" t="s">
        <v>323</v>
      </c>
      <c r="H14" s="9" t="s">
        <v>324</v>
      </c>
      <c r="I14" s="31" t="n">
        <v>0.09</v>
      </c>
      <c r="J14" s="9" t="n">
        <v>5</v>
      </c>
      <c r="K14" s="9" t="n">
        <v>7</v>
      </c>
      <c r="L14" s="9" t="n">
        <v>2</v>
      </c>
      <c r="M14" s="9" t="n">
        <v>4</v>
      </c>
      <c r="N14" s="11" t="s">
        <v>58</v>
      </c>
      <c r="O14" s="11" t="s">
        <v>58</v>
      </c>
      <c r="P14" s="32" t="n">
        <f aca="false">Controls!B34</f>
        <v>0</v>
      </c>
      <c r="Q14" s="33" t="n">
        <f aca="false">Controls!B35</f>
        <v>0</v>
      </c>
      <c r="R14" s="33" t="n">
        <f aca="false">Controls!B36</f>
        <v>0</v>
      </c>
      <c r="S14" s="32" t="n">
        <f aca="false">Controls!B38</f>
        <v>0</v>
      </c>
      <c r="T14" s="32" t="str">
        <f aca="false">IF(P14=1,"AWARDED","CONSTITUTED")</f>
        <v>CONSTITUTED</v>
      </c>
    </row>
    <row r="15" customFormat="false" ht="15" hidden="false" customHeight="false" outlineLevel="0" collapsed="false">
      <c r="A15" s="9" t="s">
        <v>327</v>
      </c>
      <c r="B15" s="9" t="s">
        <v>326</v>
      </c>
      <c r="C15" s="9" t="s">
        <v>307</v>
      </c>
      <c r="D15" s="9" t="s">
        <v>320</v>
      </c>
      <c r="E15" s="9" t="s">
        <v>321</v>
      </c>
      <c r="F15" s="9" t="s">
        <v>322</v>
      </c>
      <c r="G15" s="9" t="s">
        <v>323</v>
      </c>
      <c r="H15" s="9" t="s">
        <v>324</v>
      </c>
      <c r="I15" s="31" t="n">
        <v>0.09</v>
      </c>
      <c r="J15" s="9" t="n">
        <v>5</v>
      </c>
      <c r="K15" s="9" t="n">
        <v>7</v>
      </c>
      <c r="L15" s="9" t="n">
        <v>2</v>
      </c>
      <c r="M15" s="9" t="n">
        <v>4</v>
      </c>
      <c r="N15" s="11" t="s">
        <v>58</v>
      </c>
      <c r="O15" s="11" t="s">
        <v>58</v>
      </c>
      <c r="P15" s="32" t="n">
        <f aca="false">Controls!B34</f>
        <v>0</v>
      </c>
      <c r="Q15" s="33" t="n">
        <f aca="false">Controls!B35</f>
        <v>0</v>
      </c>
      <c r="R15" s="33" t="n">
        <f aca="false">Controls!B36</f>
        <v>0</v>
      </c>
      <c r="S15" s="32" t="n">
        <f aca="false">Controls!B38</f>
        <v>0</v>
      </c>
      <c r="T15" s="32" t="str">
        <f aca="false">IF(P15=1,"AWARDED","CONSTITUTED")</f>
        <v>CONSTITUTED</v>
      </c>
    </row>
    <row r="16" customFormat="false" ht="15" hidden="false" customHeight="false" outlineLevel="0" collapsed="false">
      <c r="A16" s="9" t="s">
        <v>328</v>
      </c>
      <c r="B16" s="9" t="s">
        <v>329</v>
      </c>
      <c r="C16" s="9" t="s">
        <v>307</v>
      </c>
      <c r="D16" s="9" t="s">
        <v>320</v>
      </c>
      <c r="E16" s="9" t="s">
        <v>321</v>
      </c>
      <c r="F16" s="9" t="s">
        <v>322</v>
      </c>
      <c r="G16" s="9" t="s">
        <v>323</v>
      </c>
      <c r="H16" s="9" t="s">
        <v>324</v>
      </c>
      <c r="I16" s="31" t="n">
        <v>0.0666666666666667</v>
      </c>
      <c r="J16" s="9" t="n">
        <v>5</v>
      </c>
      <c r="K16" s="9" t="n">
        <v>7</v>
      </c>
      <c r="L16" s="9" t="n">
        <v>2</v>
      </c>
      <c r="M16" s="9" t="n">
        <v>4</v>
      </c>
      <c r="N16" s="11" t="s">
        <v>58</v>
      </c>
      <c r="O16" s="11" t="s">
        <v>58</v>
      </c>
      <c r="P16" s="32" t="n">
        <f aca="false">Controls!B34</f>
        <v>0</v>
      </c>
      <c r="Q16" s="33" t="n">
        <f aca="false">Controls!B35</f>
        <v>0</v>
      </c>
      <c r="R16" s="33" t="n">
        <f aca="false">Controls!B36</f>
        <v>0</v>
      </c>
      <c r="S16" s="32" t="n">
        <f aca="false">Controls!B38</f>
        <v>0</v>
      </c>
      <c r="T16" s="32" t="str">
        <f aca="false">IF(P16=1,"AWARDED","CONSTITUTED")</f>
        <v>CONSTITUTED</v>
      </c>
    </row>
    <row r="17" customFormat="false" ht="15" hidden="false" customHeight="false" outlineLevel="0" collapsed="false">
      <c r="A17" s="9" t="s">
        <v>330</v>
      </c>
      <c r="B17" s="9" t="s">
        <v>331</v>
      </c>
      <c r="C17" s="9" t="s">
        <v>307</v>
      </c>
      <c r="D17" s="9" t="s">
        <v>320</v>
      </c>
      <c r="E17" s="9" t="s">
        <v>321</v>
      </c>
      <c r="F17" s="9" t="s">
        <v>322</v>
      </c>
      <c r="G17" s="9" t="s">
        <v>323</v>
      </c>
      <c r="H17" s="9" t="s">
        <v>324</v>
      </c>
      <c r="I17" s="31" t="n">
        <v>0.0633333333333333</v>
      </c>
      <c r="J17" s="9" t="n">
        <v>5</v>
      </c>
      <c r="K17" s="9" t="n">
        <v>7</v>
      </c>
      <c r="L17" s="9" t="n">
        <v>2</v>
      </c>
      <c r="M17" s="9" t="n">
        <v>4</v>
      </c>
      <c r="N17" s="11" t="s">
        <v>58</v>
      </c>
      <c r="O17" s="11" t="s">
        <v>58</v>
      </c>
      <c r="P17" s="32" t="n">
        <f aca="false">Controls!B34</f>
        <v>0</v>
      </c>
      <c r="Q17" s="33" t="n">
        <f aca="false">Controls!B35</f>
        <v>0</v>
      </c>
      <c r="R17" s="33" t="n">
        <f aca="false">Controls!B36</f>
        <v>0</v>
      </c>
      <c r="S17" s="32" t="n">
        <f aca="false">Controls!B38</f>
        <v>0</v>
      </c>
      <c r="T17" s="32" t="str">
        <f aca="false">IF(P17=1,"AWARDED","CONSTITUTED")</f>
        <v>CONSTITUTED</v>
      </c>
    </row>
    <row r="18" customFormat="false" ht="15" hidden="false" customHeight="false" outlineLevel="0" collapsed="false">
      <c r="A18" s="9" t="s">
        <v>332</v>
      </c>
      <c r="B18" s="9" t="s">
        <v>319</v>
      </c>
      <c r="C18" s="9" t="s">
        <v>307</v>
      </c>
      <c r="D18" s="9" t="s">
        <v>320</v>
      </c>
      <c r="E18" s="9" t="s">
        <v>321</v>
      </c>
      <c r="F18" s="9" t="s">
        <v>333</v>
      </c>
      <c r="G18" s="9" t="s">
        <v>334</v>
      </c>
      <c r="H18" s="9" t="s">
        <v>335</v>
      </c>
      <c r="I18" s="31" t="n">
        <v>0.316666666666667</v>
      </c>
      <c r="J18" s="9" t="n">
        <v>5</v>
      </c>
      <c r="K18" s="9" t="n">
        <v>7</v>
      </c>
      <c r="L18" s="9" t="n">
        <v>2</v>
      </c>
      <c r="M18" s="9" t="n">
        <v>4</v>
      </c>
      <c r="N18" s="11" t="s">
        <v>58</v>
      </c>
      <c r="O18" s="11" t="s">
        <v>58</v>
      </c>
      <c r="P18" s="32" t="n">
        <f aca="false">Controls!B34</f>
        <v>0</v>
      </c>
      <c r="Q18" s="33" t="n">
        <f aca="false">Controls!B35</f>
        <v>0</v>
      </c>
      <c r="R18" s="33" t="n">
        <f aca="false">Controls!B36</f>
        <v>0</v>
      </c>
      <c r="S18" s="32" t="n">
        <f aca="false">Controls!B38</f>
        <v>0</v>
      </c>
      <c r="T18" s="32" t="str">
        <f aca="false">IF(P18=1,"AWARDED","CONSTITUTED")</f>
        <v>CONSTITUTED</v>
      </c>
    </row>
    <row r="19" customFormat="false" ht="15" hidden="false" customHeight="false" outlineLevel="0" collapsed="false">
      <c r="A19" s="9" t="s">
        <v>336</v>
      </c>
      <c r="B19" s="9" t="s">
        <v>326</v>
      </c>
      <c r="C19" s="9" t="s">
        <v>307</v>
      </c>
      <c r="D19" s="9" t="s">
        <v>320</v>
      </c>
      <c r="E19" s="9" t="s">
        <v>321</v>
      </c>
      <c r="F19" s="9" t="s">
        <v>333</v>
      </c>
      <c r="G19" s="9" t="s">
        <v>334</v>
      </c>
      <c r="H19" s="9" t="s">
        <v>335</v>
      </c>
      <c r="I19" s="31" t="n">
        <v>0.09</v>
      </c>
      <c r="J19" s="9" t="n">
        <v>5</v>
      </c>
      <c r="K19" s="9" t="n">
        <v>7</v>
      </c>
      <c r="L19" s="9" t="n">
        <v>2</v>
      </c>
      <c r="M19" s="9" t="n">
        <v>4</v>
      </c>
      <c r="N19" s="11" t="s">
        <v>58</v>
      </c>
      <c r="O19" s="11" t="s">
        <v>58</v>
      </c>
      <c r="P19" s="32" t="n">
        <f aca="false">Controls!B34</f>
        <v>0</v>
      </c>
      <c r="Q19" s="33" t="n">
        <f aca="false">Controls!B35</f>
        <v>0</v>
      </c>
      <c r="R19" s="33" t="n">
        <f aca="false">Controls!B36</f>
        <v>0</v>
      </c>
      <c r="S19" s="32" t="n">
        <f aca="false">Controls!B38</f>
        <v>0</v>
      </c>
      <c r="T19" s="32" t="str">
        <f aca="false">IF(P19=1,"AWARDED","CONSTITUTED")</f>
        <v>CONSTITUTED</v>
      </c>
    </row>
    <row r="20" customFormat="false" ht="15" hidden="false" customHeight="false" outlineLevel="0" collapsed="false">
      <c r="A20" s="9" t="s">
        <v>337</v>
      </c>
      <c r="B20" s="9" t="s">
        <v>326</v>
      </c>
      <c r="C20" s="9" t="s">
        <v>307</v>
      </c>
      <c r="D20" s="9" t="s">
        <v>320</v>
      </c>
      <c r="E20" s="9" t="s">
        <v>321</v>
      </c>
      <c r="F20" s="9" t="s">
        <v>333</v>
      </c>
      <c r="G20" s="9" t="s">
        <v>334</v>
      </c>
      <c r="H20" s="9" t="s">
        <v>335</v>
      </c>
      <c r="I20" s="31" t="n">
        <v>0.09</v>
      </c>
      <c r="J20" s="9" t="n">
        <v>5</v>
      </c>
      <c r="K20" s="9" t="n">
        <v>7</v>
      </c>
      <c r="L20" s="9" t="n">
        <v>2</v>
      </c>
      <c r="M20" s="9" t="n">
        <v>4</v>
      </c>
      <c r="N20" s="11" t="s">
        <v>58</v>
      </c>
      <c r="O20" s="11" t="s">
        <v>58</v>
      </c>
      <c r="P20" s="32" t="n">
        <f aca="false">Controls!B34</f>
        <v>0</v>
      </c>
      <c r="Q20" s="33" t="n">
        <f aca="false">Controls!B35</f>
        <v>0</v>
      </c>
      <c r="R20" s="33" t="n">
        <f aca="false">Controls!B36</f>
        <v>0</v>
      </c>
      <c r="S20" s="32" t="n">
        <f aca="false">Controls!B38</f>
        <v>0</v>
      </c>
      <c r="T20" s="32" t="str">
        <f aca="false">IF(P20=1,"AWARDED","CONSTITUTED")</f>
        <v>CONSTITUTED</v>
      </c>
    </row>
    <row r="21" customFormat="false" ht="15" hidden="false" customHeight="false" outlineLevel="0" collapsed="false">
      <c r="A21" s="9" t="s">
        <v>338</v>
      </c>
      <c r="B21" s="9" t="s">
        <v>329</v>
      </c>
      <c r="C21" s="9" t="s">
        <v>307</v>
      </c>
      <c r="D21" s="9" t="s">
        <v>320</v>
      </c>
      <c r="E21" s="9" t="s">
        <v>321</v>
      </c>
      <c r="F21" s="9" t="s">
        <v>333</v>
      </c>
      <c r="G21" s="9" t="s">
        <v>334</v>
      </c>
      <c r="H21" s="9" t="s">
        <v>335</v>
      </c>
      <c r="I21" s="31" t="n">
        <v>0.0666666666666667</v>
      </c>
      <c r="J21" s="9" t="n">
        <v>5</v>
      </c>
      <c r="K21" s="9" t="n">
        <v>7</v>
      </c>
      <c r="L21" s="9" t="n">
        <v>2</v>
      </c>
      <c r="M21" s="9" t="n">
        <v>4</v>
      </c>
      <c r="N21" s="11" t="s">
        <v>58</v>
      </c>
      <c r="O21" s="11" t="s">
        <v>58</v>
      </c>
      <c r="P21" s="32" t="n">
        <f aca="false">Controls!B34</f>
        <v>0</v>
      </c>
      <c r="Q21" s="33" t="n">
        <f aca="false">Controls!B35</f>
        <v>0</v>
      </c>
      <c r="R21" s="33" t="n">
        <f aca="false">Controls!B36</f>
        <v>0</v>
      </c>
      <c r="S21" s="32" t="n">
        <f aca="false">Controls!B38</f>
        <v>0</v>
      </c>
      <c r="T21" s="32" t="str">
        <f aca="false">IF(P21=1,"AWARDED","CONSTITUTED")</f>
        <v>CONSTITUTED</v>
      </c>
    </row>
    <row r="22" customFormat="false" ht="15" hidden="false" customHeight="false" outlineLevel="0" collapsed="false">
      <c r="A22" s="9" t="s">
        <v>339</v>
      </c>
      <c r="B22" s="9" t="s">
        <v>331</v>
      </c>
      <c r="C22" s="9" t="s">
        <v>307</v>
      </c>
      <c r="D22" s="9" t="s">
        <v>320</v>
      </c>
      <c r="E22" s="9" t="s">
        <v>321</v>
      </c>
      <c r="F22" s="9" t="s">
        <v>333</v>
      </c>
      <c r="G22" s="9" t="s">
        <v>334</v>
      </c>
      <c r="H22" s="9" t="s">
        <v>335</v>
      </c>
      <c r="I22" s="31" t="n">
        <v>0.0633333333333333</v>
      </c>
      <c r="J22" s="9" t="n">
        <v>5</v>
      </c>
      <c r="K22" s="9" t="n">
        <v>7</v>
      </c>
      <c r="L22" s="9" t="n">
        <v>2</v>
      </c>
      <c r="M22" s="9" t="n">
        <v>4</v>
      </c>
      <c r="N22" s="11" t="s">
        <v>58</v>
      </c>
      <c r="O22" s="11" t="s">
        <v>58</v>
      </c>
      <c r="P22" s="32" t="n">
        <f aca="false">Controls!B34</f>
        <v>0</v>
      </c>
      <c r="Q22" s="33" t="n">
        <f aca="false">Controls!B35</f>
        <v>0</v>
      </c>
      <c r="R22" s="33" t="n">
        <f aca="false">Controls!B36</f>
        <v>0</v>
      </c>
      <c r="S22" s="32" t="n">
        <f aca="false">Controls!B38</f>
        <v>0</v>
      </c>
      <c r="T22" s="32" t="str">
        <f aca="false">IF(P22=1,"AWARDED","CONSTITUTED")</f>
        <v>CONSTITUTED</v>
      </c>
    </row>
    <row r="23" customFormat="false" ht="15" hidden="false" customHeight="false" outlineLevel="0" collapsed="false">
      <c r="A23" s="9" t="s">
        <v>340</v>
      </c>
      <c r="B23" s="9" t="s">
        <v>319</v>
      </c>
      <c r="C23" s="9" t="s">
        <v>307</v>
      </c>
      <c r="D23" s="9" t="s">
        <v>320</v>
      </c>
      <c r="E23" s="9" t="s">
        <v>321</v>
      </c>
      <c r="F23" s="9" t="s">
        <v>341</v>
      </c>
      <c r="G23" s="9" t="s">
        <v>342</v>
      </c>
      <c r="H23" s="9" t="s">
        <v>343</v>
      </c>
      <c r="I23" s="31" t="n">
        <v>0.316666666666667</v>
      </c>
      <c r="J23" s="9" t="n">
        <v>5</v>
      </c>
      <c r="K23" s="9" t="n">
        <v>7</v>
      </c>
      <c r="L23" s="9" t="n">
        <v>2</v>
      </c>
      <c r="M23" s="9" t="n">
        <v>4</v>
      </c>
      <c r="N23" s="11" t="s">
        <v>58</v>
      </c>
      <c r="O23" s="11" t="s">
        <v>58</v>
      </c>
      <c r="P23" s="32" t="n">
        <f aca="false">Controls!B34</f>
        <v>0</v>
      </c>
      <c r="Q23" s="33" t="n">
        <f aca="false">Controls!B35</f>
        <v>0</v>
      </c>
      <c r="R23" s="33" t="n">
        <f aca="false">Controls!B36</f>
        <v>0</v>
      </c>
      <c r="S23" s="32" t="n">
        <f aca="false">Controls!B38</f>
        <v>0</v>
      </c>
      <c r="T23" s="32" t="str">
        <f aca="false">IF(P23=1,"AWARDED","CONSTITUTED")</f>
        <v>CONSTITUTED</v>
      </c>
    </row>
    <row r="24" customFormat="false" ht="15" hidden="false" customHeight="false" outlineLevel="0" collapsed="false">
      <c r="A24" s="9" t="s">
        <v>344</v>
      </c>
      <c r="B24" s="9" t="s">
        <v>326</v>
      </c>
      <c r="C24" s="9" t="s">
        <v>307</v>
      </c>
      <c r="D24" s="9" t="s">
        <v>320</v>
      </c>
      <c r="E24" s="9" t="s">
        <v>321</v>
      </c>
      <c r="F24" s="9" t="s">
        <v>341</v>
      </c>
      <c r="G24" s="9" t="s">
        <v>342</v>
      </c>
      <c r="H24" s="9" t="s">
        <v>343</v>
      </c>
      <c r="I24" s="31" t="n">
        <v>0.09</v>
      </c>
      <c r="J24" s="9" t="n">
        <v>5</v>
      </c>
      <c r="K24" s="9" t="n">
        <v>7</v>
      </c>
      <c r="L24" s="9" t="n">
        <v>2</v>
      </c>
      <c r="M24" s="9" t="n">
        <v>4</v>
      </c>
      <c r="N24" s="11" t="s">
        <v>58</v>
      </c>
      <c r="O24" s="11" t="s">
        <v>58</v>
      </c>
      <c r="P24" s="32" t="n">
        <f aca="false">Controls!B34</f>
        <v>0</v>
      </c>
      <c r="Q24" s="33" t="n">
        <f aca="false">Controls!B35</f>
        <v>0</v>
      </c>
      <c r="R24" s="33" t="n">
        <f aca="false">Controls!B36</f>
        <v>0</v>
      </c>
      <c r="S24" s="32" t="n">
        <f aca="false">Controls!B38</f>
        <v>0</v>
      </c>
      <c r="T24" s="32" t="str">
        <f aca="false">IF(P24=1,"AWARDED","CONSTITUTED")</f>
        <v>CONSTITUTED</v>
      </c>
    </row>
    <row r="25" customFormat="false" ht="15" hidden="false" customHeight="false" outlineLevel="0" collapsed="false">
      <c r="A25" s="9" t="s">
        <v>345</v>
      </c>
      <c r="B25" s="9" t="s">
        <v>326</v>
      </c>
      <c r="C25" s="9" t="s">
        <v>307</v>
      </c>
      <c r="D25" s="9" t="s">
        <v>320</v>
      </c>
      <c r="E25" s="9" t="s">
        <v>321</v>
      </c>
      <c r="F25" s="9" t="s">
        <v>341</v>
      </c>
      <c r="G25" s="9" t="s">
        <v>342</v>
      </c>
      <c r="H25" s="9" t="s">
        <v>343</v>
      </c>
      <c r="I25" s="31" t="n">
        <v>0.09</v>
      </c>
      <c r="J25" s="9" t="n">
        <v>5</v>
      </c>
      <c r="K25" s="9" t="n">
        <v>7</v>
      </c>
      <c r="L25" s="9" t="n">
        <v>2</v>
      </c>
      <c r="M25" s="9" t="n">
        <v>4</v>
      </c>
      <c r="N25" s="11" t="s">
        <v>58</v>
      </c>
      <c r="O25" s="11" t="s">
        <v>58</v>
      </c>
      <c r="P25" s="32" t="n">
        <f aca="false">Controls!B34</f>
        <v>0</v>
      </c>
      <c r="Q25" s="33" t="n">
        <f aca="false">Controls!B35</f>
        <v>0</v>
      </c>
      <c r="R25" s="33" t="n">
        <f aca="false">Controls!B36</f>
        <v>0</v>
      </c>
      <c r="S25" s="32" t="n">
        <f aca="false">Controls!B38</f>
        <v>0</v>
      </c>
      <c r="T25" s="32" t="str">
        <f aca="false">IF(P25=1,"AWARDED","CONSTITUTED")</f>
        <v>CONSTITUTED</v>
      </c>
    </row>
    <row r="26" customFormat="false" ht="15" hidden="false" customHeight="false" outlineLevel="0" collapsed="false">
      <c r="A26" s="9" t="s">
        <v>346</v>
      </c>
      <c r="B26" s="9" t="s">
        <v>329</v>
      </c>
      <c r="C26" s="9" t="s">
        <v>307</v>
      </c>
      <c r="D26" s="9" t="s">
        <v>320</v>
      </c>
      <c r="E26" s="9" t="s">
        <v>321</v>
      </c>
      <c r="F26" s="9" t="s">
        <v>341</v>
      </c>
      <c r="G26" s="9" t="s">
        <v>342</v>
      </c>
      <c r="H26" s="9" t="s">
        <v>343</v>
      </c>
      <c r="I26" s="31" t="n">
        <v>0.0666666666666667</v>
      </c>
      <c r="J26" s="9" t="n">
        <v>5</v>
      </c>
      <c r="K26" s="9" t="n">
        <v>7</v>
      </c>
      <c r="L26" s="9" t="n">
        <v>2</v>
      </c>
      <c r="M26" s="9" t="n">
        <v>4</v>
      </c>
      <c r="N26" s="11" t="s">
        <v>58</v>
      </c>
      <c r="O26" s="11" t="s">
        <v>58</v>
      </c>
      <c r="P26" s="32" t="n">
        <f aca="false">Controls!B34</f>
        <v>0</v>
      </c>
      <c r="Q26" s="33" t="n">
        <f aca="false">Controls!B35</f>
        <v>0</v>
      </c>
      <c r="R26" s="33" t="n">
        <f aca="false">Controls!B36</f>
        <v>0</v>
      </c>
      <c r="S26" s="32" t="n">
        <f aca="false">Controls!B38</f>
        <v>0</v>
      </c>
      <c r="T26" s="32" t="str">
        <f aca="false">IF(P26=1,"AWARDED","CONSTITUTED")</f>
        <v>CONSTITUTED</v>
      </c>
    </row>
    <row r="27" customFormat="false" ht="15" hidden="false" customHeight="false" outlineLevel="0" collapsed="false">
      <c r="A27" s="9" t="s">
        <v>347</v>
      </c>
      <c r="B27" s="9" t="s">
        <v>331</v>
      </c>
      <c r="C27" s="9" t="s">
        <v>307</v>
      </c>
      <c r="D27" s="9" t="s">
        <v>320</v>
      </c>
      <c r="E27" s="9" t="s">
        <v>321</v>
      </c>
      <c r="F27" s="9" t="s">
        <v>341</v>
      </c>
      <c r="G27" s="9" t="s">
        <v>342</v>
      </c>
      <c r="H27" s="9" t="s">
        <v>343</v>
      </c>
      <c r="I27" s="31" t="n">
        <v>0.0633333333333333</v>
      </c>
      <c r="J27" s="9" t="n">
        <v>5</v>
      </c>
      <c r="K27" s="9" t="n">
        <v>7</v>
      </c>
      <c r="L27" s="9" t="n">
        <v>2</v>
      </c>
      <c r="M27" s="9" t="n">
        <v>4</v>
      </c>
      <c r="N27" s="11" t="s">
        <v>58</v>
      </c>
      <c r="O27" s="11" t="s">
        <v>58</v>
      </c>
      <c r="P27" s="32" t="n">
        <f aca="false">Controls!B34</f>
        <v>0</v>
      </c>
      <c r="Q27" s="33" t="n">
        <f aca="false">Controls!B35</f>
        <v>0</v>
      </c>
      <c r="R27" s="33" t="n">
        <f aca="false">Controls!B36</f>
        <v>0</v>
      </c>
      <c r="S27" s="32" t="n">
        <f aca="false">Controls!B38</f>
        <v>0</v>
      </c>
      <c r="T27" s="32" t="str">
        <f aca="false">IF(P27=1,"AWARDED","CONSTITUTED")</f>
        <v>CONSTITUTED</v>
      </c>
    </row>
    <row r="28" customFormat="false" ht="15" hidden="false" customHeight="false" outlineLevel="0" collapsed="false">
      <c r="A28" s="9" t="s">
        <v>348</v>
      </c>
      <c r="B28" s="9" t="s">
        <v>319</v>
      </c>
      <c r="C28" s="9" t="s">
        <v>307</v>
      </c>
      <c r="D28" s="9" t="s">
        <v>349</v>
      </c>
      <c r="E28" s="9" t="s">
        <v>350</v>
      </c>
      <c r="F28" s="9" t="s">
        <v>322</v>
      </c>
      <c r="G28" s="9" t="s">
        <v>351</v>
      </c>
      <c r="H28" s="9" t="s">
        <v>352</v>
      </c>
      <c r="I28" s="31" t="n">
        <v>0.316666666666667</v>
      </c>
      <c r="J28" s="9" t="n">
        <v>5</v>
      </c>
      <c r="K28" s="9" t="n">
        <v>7</v>
      </c>
      <c r="L28" s="9" t="n">
        <v>2</v>
      </c>
      <c r="M28" s="9" t="n">
        <v>4</v>
      </c>
      <c r="N28" s="11" t="s">
        <v>58</v>
      </c>
      <c r="O28" s="11" t="s">
        <v>58</v>
      </c>
      <c r="P28" s="32" t="n">
        <f aca="false">Controls!B34</f>
        <v>0</v>
      </c>
      <c r="Q28" s="33" t="n">
        <f aca="false">Controls!B35</f>
        <v>0</v>
      </c>
      <c r="R28" s="33" t="n">
        <f aca="false">Controls!B36</f>
        <v>0</v>
      </c>
      <c r="S28" s="32" t="n">
        <f aca="false">Controls!B38</f>
        <v>0</v>
      </c>
      <c r="T28" s="32" t="str">
        <f aca="false">IF(P28=1,"AWARDED","CONSTITUTED")</f>
        <v>CONSTITUTED</v>
      </c>
    </row>
    <row r="29" customFormat="false" ht="15" hidden="false" customHeight="false" outlineLevel="0" collapsed="false">
      <c r="A29" s="9" t="s">
        <v>353</v>
      </c>
      <c r="B29" s="9" t="s">
        <v>326</v>
      </c>
      <c r="C29" s="9" t="s">
        <v>307</v>
      </c>
      <c r="D29" s="9" t="s">
        <v>349</v>
      </c>
      <c r="E29" s="9" t="s">
        <v>350</v>
      </c>
      <c r="F29" s="9" t="s">
        <v>322</v>
      </c>
      <c r="G29" s="9" t="s">
        <v>351</v>
      </c>
      <c r="H29" s="9" t="s">
        <v>352</v>
      </c>
      <c r="I29" s="31" t="n">
        <v>0.09</v>
      </c>
      <c r="J29" s="9" t="n">
        <v>5</v>
      </c>
      <c r="K29" s="9" t="n">
        <v>7</v>
      </c>
      <c r="L29" s="9" t="n">
        <v>2</v>
      </c>
      <c r="M29" s="9" t="n">
        <v>4</v>
      </c>
      <c r="N29" s="11" t="s">
        <v>58</v>
      </c>
      <c r="O29" s="11" t="s">
        <v>58</v>
      </c>
      <c r="P29" s="32" t="n">
        <f aca="false">Controls!B34</f>
        <v>0</v>
      </c>
      <c r="Q29" s="33" t="n">
        <f aca="false">Controls!B35</f>
        <v>0</v>
      </c>
      <c r="R29" s="33" t="n">
        <f aca="false">Controls!B36</f>
        <v>0</v>
      </c>
      <c r="S29" s="32" t="n">
        <f aca="false">Controls!B38</f>
        <v>0</v>
      </c>
      <c r="T29" s="32" t="str">
        <f aca="false">IF(P29=1,"AWARDED","CONSTITUTED")</f>
        <v>CONSTITUTED</v>
      </c>
    </row>
    <row r="30" customFormat="false" ht="15" hidden="false" customHeight="false" outlineLevel="0" collapsed="false">
      <c r="A30" s="9" t="s">
        <v>354</v>
      </c>
      <c r="B30" s="9" t="s">
        <v>326</v>
      </c>
      <c r="C30" s="9" t="s">
        <v>307</v>
      </c>
      <c r="D30" s="9" t="s">
        <v>349</v>
      </c>
      <c r="E30" s="9" t="s">
        <v>350</v>
      </c>
      <c r="F30" s="9" t="s">
        <v>322</v>
      </c>
      <c r="G30" s="9" t="s">
        <v>351</v>
      </c>
      <c r="H30" s="9" t="s">
        <v>352</v>
      </c>
      <c r="I30" s="31" t="n">
        <v>0.09</v>
      </c>
      <c r="J30" s="9" t="n">
        <v>5</v>
      </c>
      <c r="K30" s="9" t="n">
        <v>7</v>
      </c>
      <c r="L30" s="9" t="n">
        <v>2</v>
      </c>
      <c r="M30" s="9" t="n">
        <v>4</v>
      </c>
      <c r="N30" s="11" t="s">
        <v>58</v>
      </c>
      <c r="O30" s="11" t="s">
        <v>58</v>
      </c>
      <c r="P30" s="32" t="n">
        <f aca="false">Controls!B34</f>
        <v>0</v>
      </c>
      <c r="Q30" s="33" t="n">
        <f aca="false">Controls!B35</f>
        <v>0</v>
      </c>
      <c r="R30" s="33" t="n">
        <f aca="false">Controls!B36</f>
        <v>0</v>
      </c>
      <c r="S30" s="32" t="n">
        <f aca="false">Controls!B38</f>
        <v>0</v>
      </c>
      <c r="T30" s="32" t="str">
        <f aca="false">IF(P30=1,"AWARDED","CONSTITUTED")</f>
        <v>CONSTITUTED</v>
      </c>
    </row>
    <row r="31" customFormat="false" ht="15" hidden="false" customHeight="false" outlineLevel="0" collapsed="false">
      <c r="A31" s="9" t="s">
        <v>355</v>
      </c>
      <c r="B31" s="9" t="s">
        <v>329</v>
      </c>
      <c r="C31" s="9" t="s">
        <v>307</v>
      </c>
      <c r="D31" s="9" t="s">
        <v>349</v>
      </c>
      <c r="E31" s="9" t="s">
        <v>350</v>
      </c>
      <c r="F31" s="9" t="s">
        <v>322</v>
      </c>
      <c r="G31" s="9" t="s">
        <v>351</v>
      </c>
      <c r="H31" s="9" t="s">
        <v>352</v>
      </c>
      <c r="I31" s="31" t="n">
        <v>0.0666666666666667</v>
      </c>
      <c r="J31" s="9" t="n">
        <v>5</v>
      </c>
      <c r="K31" s="9" t="n">
        <v>7</v>
      </c>
      <c r="L31" s="9" t="n">
        <v>2</v>
      </c>
      <c r="M31" s="9" t="n">
        <v>4</v>
      </c>
      <c r="N31" s="11" t="s">
        <v>58</v>
      </c>
      <c r="O31" s="11" t="s">
        <v>58</v>
      </c>
      <c r="P31" s="32" t="n">
        <f aca="false">Controls!B34</f>
        <v>0</v>
      </c>
      <c r="Q31" s="33" t="n">
        <f aca="false">Controls!B35</f>
        <v>0</v>
      </c>
      <c r="R31" s="33" t="n">
        <f aca="false">Controls!B36</f>
        <v>0</v>
      </c>
      <c r="S31" s="32" t="n">
        <f aca="false">Controls!B38</f>
        <v>0</v>
      </c>
      <c r="T31" s="32" t="str">
        <f aca="false">IF(P31=1,"AWARDED","CONSTITUTED")</f>
        <v>CONSTITUTED</v>
      </c>
    </row>
    <row r="32" customFormat="false" ht="15" hidden="false" customHeight="false" outlineLevel="0" collapsed="false">
      <c r="A32" s="9" t="s">
        <v>356</v>
      </c>
      <c r="B32" s="9" t="s">
        <v>331</v>
      </c>
      <c r="C32" s="9" t="s">
        <v>307</v>
      </c>
      <c r="D32" s="9" t="s">
        <v>349</v>
      </c>
      <c r="E32" s="9" t="s">
        <v>350</v>
      </c>
      <c r="F32" s="9" t="s">
        <v>322</v>
      </c>
      <c r="G32" s="9" t="s">
        <v>351</v>
      </c>
      <c r="H32" s="9" t="s">
        <v>352</v>
      </c>
      <c r="I32" s="31" t="n">
        <v>0.0633333333333333</v>
      </c>
      <c r="J32" s="9" t="n">
        <v>5</v>
      </c>
      <c r="K32" s="9" t="n">
        <v>7</v>
      </c>
      <c r="L32" s="9" t="n">
        <v>2</v>
      </c>
      <c r="M32" s="9" t="n">
        <v>4</v>
      </c>
      <c r="N32" s="11" t="s">
        <v>58</v>
      </c>
      <c r="O32" s="11" t="s">
        <v>58</v>
      </c>
      <c r="P32" s="32" t="n">
        <f aca="false">Controls!B34</f>
        <v>0</v>
      </c>
      <c r="Q32" s="33" t="n">
        <f aca="false">Controls!B35</f>
        <v>0</v>
      </c>
      <c r="R32" s="33" t="n">
        <f aca="false">Controls!B36</f>
        <v>0</v>
      </c>
      <c r="S32" s="32" t="n">
        <f aca="false">Controls!B38</f>
        <v>0</v>
      </c>
      <c r="T32" s="32" t="str">
        <f aca="false">IF(P32=1,"AWARDED","CONSTITUTED")</f>
        <v>CONSTITUTED</v>
      </c>
    </row>
    <row r="33" customFormat="false" ht="15" hidden="false" customHeight="false" outlineLevel="0" collapsed="false">
      <c r="A33" s="9" t="s">
        <v>357</v>
      </c>
      <c r="B33" s="9" t="s">
        <v>319</v>
      </c>
      <c r="C33" s="9" t="s">
        <v>307</v>
      </c>
      <c r="D33" s="9" t="s">
        <v>349</v>
      </c>
      <c r="E33" s="9" t="s">
        <v>350</v>
      </c>
      <c r="F33" s="9" t="s">
        <v>333</v>
      </c>
      <c r="G33" s="9" t="s">
        <v>358</v>
      </c>
      <c r="H33" s="9" t="s">
        <v>359</v>
      </c>
      <c r="I33" s="31" t="n">
        <v>0.316666666666667</v>
      </c>
      <c r="J33" s="9" t="n">
        <v>5</v>
      </c>
      <c r="K33" s="9" t="n">
        <v>7</v>
      </c>
      <c r="L33" s="9" t="n">
        <v>2</v>
      </c>
      <c r="M33" s="9" t="n">
        <v>4</v>
      </c>
      <c r="N33" s="11" t="s">
        <v>58</v>
      </c>
      <c r="O33" s="11" t="s">
        <v>58</v>
      </c>
      <c r="P33" s="32" t="n">
        <f aca="false">Controls!B34</f>
        <v>0</v>
      </c>
      <c r="Q33" s="33" t="n">
        <f aca="false">Controls!B35</f>
        <v>0</v>
      </c>
      <c r="R33" s="33" t="n">
        <f aca="false">Controls!B36</f>
        <v>0</v>
      </c>
      <c r="S33" s="32" t="n">
        <f aca="false">Controls!B38</f>
        <v>0</v>
      </c>
      <c r="T33" s="32" t="str">
        <f aca="false">IF(P33=1,"AWARDED","CONSTITUTED")</f>
        <v>CONSTITUTED</v>
      </c>
    </row>
    <row r="34" customFormat="false" ht="15" hidden="false" customHeight="false" outlineLevel="0" collapsed="false">
      <c r="A34" s="9" t="s">
        <v>360</v>
      </c>
      <c r="B34" s="9" t="s">
        <v>326</v>
      </c>
      <c r="C34" s="9" t="s">
        <v>307</v>
      </c>
      <c r="D34" s="9" t="s">
        <v>349</v>
      </c>
      <c r="E34" s="9" t="s">
        <v>350</v>
      </c>
      <c r="F34" s="9" t="s">
        <v>333</v>
      </c>
      <c r="G34" s="9" t="s">
        <v>358</v>
      </c>
      <c r="H34" s="9" t="s">
        <v>359</v>
      </c>
      <c r="I34" s="31" t="n">
        <v>0.09</v>
      </c>
      <c r="J34" s="9" t="n">
        <v>5</v>
      </c>
      <c r="K34" s="9" t="n">
        <v>7</v>
      </c>
      <c r="L34" s="9" t="n">
        <v>2</v>
      </c>
      <c r="M34" s="9" t="n">
        <v>4</v>
      </c>
      <c r="N34" s="11" t="s">
        <v>58</v>
      </c>
      <c r="O34" s="11" t="s">
        <v>58</v>
      </c>
      <c r="P34" s="32" t="n">
        <f aca="false">Controls!B34</f>
        <v>0</v>
      </c>
      <c r="Q34" s="33" t="n">
        <f aca="false">Controls!B35</f>
        <v>0</v>
      </c>
      <c r="R34" s="33" t="n">
        <f aca="false">Controls!B36</f>
        <v>0</v>
      </c>
      <c r="S34" s="32" t="n">
        <f aca="false">Controls!B38</f>
        <v>0</v>
      </c>
      <c r="T34" s="32" t="str">
        <f aca="false">IF(P34=1,"AWARDED","CONSTITUTED")</f>
        <v>CONSTITUTED</v>
      </c>
    </row>
    <row r="35" customFormat="false" ht="15" hidden="false" customHeight="false" outlineLevel="0" collapsed="false">
      <c r="A35" s="9" t="s">
        <v>361</v>
      </c>
      <c r="B35" s="9" t="s">
        <v>326</v>
      </c>
      <c r="C35" s="9" t="s">
        <v>307</v>
      </c>
      <c r="D35" s="9" t="s">
        <v>349</v>
      </c>
      <c r="E35" s="9" t="s">
        <v>350</v>
      </c>
      <c r="F35" s="9" t="s">
        <v>333</v>
      </c>
      <c r="G35" s="9" t="s">
        <v>358</v>
      </c>
      <c r="H35" s="9" t="s">
        <v>359</v>
      </c>
      <c r="I35" s="31" t="n">
        <v>0.09</v>
      </c>
      <c r="J35" s="9" t="n">
        <v>5</v>
      </c>
      <c r="K35" s="9" t="n">
        <v>7</v>
      </c>
      <c r="L35" s="9" t="n">
        <v>2</v>
      </c>
      <c r="M35" s="9" t="n">
        <v>4</v>
      </c>
      <c r="N35" s="11" t="s">
        <v>58</v>
      </c>
      <c r="O35" s="11" t="s">
        <v>58</v>
      </c>
      <c r="P35" s="32" t="n">
        <f aca="false">Controls!B34</f>
        <v>0</v>
      </c>
      <c r="Q35" s="33" t="n">
        <f aca="false">Controls!B35</f>
        <v>0</v>
      </c>
      <c r="R35" s="33" t="n">
        <f aca="false">Controls!B36</f>
        <v>0</v>
      </c>
      <c r="S35" s="32" t="n">
        <f aca="false">Controls!B38</f>
        <v>0</v>
      </c>
      <c r="T35" s="32" t="str">
        <f aca="false">IF(P35=1,"AWARDED","CONSTITUTED")</f>
        <v>CONSTITUTED</v>
      </c>
    </row>
    <row r="36" customFormat="false" ht="15" hidden="false" customHeight="false" outlineLevel="0" collapsed="false">
      <c r="A36" s="9" t="s">
        <v>362</v>
      </c>
      <c r="B36" s="9" t="s">
        <v>329</v>
      </c>
      <c r="C36" s="9" t="s">
        <v>307</v>
      </c>
      <c r="D36" s="9" t="s">
        <v>349</v>
      </c>
      <c r="E36" s="9" t="s">
        <v>350</v>
      </c>
      <c r="F36" s="9" t="s">
        <v>333</v>
      </c>
      <c r="G36" s="9" t="s">
        <v>358</v>
      </c>
      <c r="H36" s="9" t="s">
        <v>359</v>
      </c>
      <c r="I36" s="31" t="n">
        <v>0.0666666666666667</v>
      </c>
      <c r="J36" s="9" t="n">
        <v>5</v>
      </c>
      <c r="K36" s="9" t="n">
        <v>7</v>
      </c>
      <c r="L36" s="9" t="n">
        <v>2</v>
      </c>
      <c r="M36" s="9" t="n">
        <v>4</v>
      </c>
      <c r="N36" s="11" t="s">
        <v>58</v>
      </c>
      <c r="O36" s="11" t="s">
        <v>58</v>
      </c>
      <c r="P36" s="32" t="n">
        <f aca="false">Controls!B34</f>
        <v>0</v>
      </c>
      <c r="Q36" s="33" t="n">
        <f aca="false">Controls!B35</f>
        <v>0</v>
      </c>
      <c r="R36" s="33" t="n">
        <f aca="false">Controls!B36</f>
        <v>0</v>
      </c>
      <c r="S36" s="32" t="n">
        <f aca="false">Controls!B38</f>
        <v>0</v>
      </c>
      <c r="T36" s="32" t="str">
        <f aca="false">IF(P36=1,"AWARDED","CONSTITUTED")</f>
        <v>CONSTITUTED</v>
      </c>
    </row>
    <row r="37" customFormat="false" ht="15" hidden="false" customHeight="false" outlineLevel="0" collapsed="false">
      <c r="A37" s="9" t="s">
        <v>363</v>
      </c>
      <c r="B37" s="9" t="s">
        <v>331</v>
      </c>
      <c r="C37" s="9" t="s">
        <v>307</v>
      </c>
      <c r="D37" s="9" t="s">
        <v>349</v>
      </c>
      <c r="E37" s="9" t="s">
        <v>350</v>
      </c>
      <c r="F37" s="9" t="s">
        <v>333</v>
      </c>
      <c r="G37" s="9" t="s">
        <v>358</v>
      </c>
      <c r="H37" s="9" t="s">
        <v>359</v>
      </c>
      <c r="I37" s="31" t="n">
        <v>0.0633333333333333</v>
      </c>
      <c r="J37" s="9" t="n">
        <v>5</v>
      </c>
      <c r="K37" s="9" t="n">
        <v>7</v>
      </c>
      <c r="L37" s="9" t="n">
        <v>2</v>
      </c>
      <c r="M37" s="9" t="n">
        <v>4</v>
      </c>
      <c r="N37" s="11" t="s">
        <v>58</v>
      </c>
      <c r="O37" s="11" t="s">
        <v>58</v>
      </c>
      <c r="P37" s="32" t="n">
        <f aca="false">Controls!B34</f>
        <v>0</v>
      </c>
      <c r="Q37" s="33" t="n">
        <f aca="false">Controls!B35</f>
        <v>0</v>
      </c>
      <c r="R37" s="33" t="n">
        <f aca="false">Controls!B36</f>
        <v>0</v>
      </c>
      <c r="S37" s="32" t="n">
        <f aca="false">Controls!B38</f>
        <v>0</v>
      </c>
      <c r="T37" s="32" t="str">
        <f aca="false">IF(P37=1,"AWARDED","CONSTITUTED")</f>
        <v>CONSTITUTED</v>
      </c>
    </row>
    <row r="38" customFormat="false" ht="15" hidden="false" customHeight="false" outlineLevel="0" collapsed="false">
      <c r="A38" s="9" t="s">
        <v>364</v>
      </c>
      <c r="B38" s="9" t="s">
        <v>319</v>
      </c>
      <c r="C38" s="9" t="s">
        <v>307</v>
      </c>
      <c r="D38" s="9" t="s">
        <v>349</v>
      </c>
      <c r="E38" s="9" t="s">
        <v>350</v>
      </c>
      <c r="F38" s="9" t="s">
        <v>341</v>
      </c>
      <c r="G38" s="9" t="s">
        <v>365</v>
      </c>
      <c r="H38" s="9" t="s">
        <v>366</v>
      </c>
      <c r="I38" s="31" t="n">
        <v>0.316666666666667</v>
      </c>
      <c r="J38" s="9" t="n">
        <v>5</v>
      </c>
      <c r="K38" s="9" t="n">
        <v>7</v>
      </c>
      <c r="L38" s="9" t="n">
        <v>2</v>
      </c>
      <c r="M38" s="9" t="n">
        <v>4</v>
      </c>
      <c r="N38" s="11" t="s">
        <v>58</v>
      </c>
      <c r="O38" s="11" t="s">
        <v>58</v>
      </c>
      <c r="P38" s="32" t="n">
        <f aca="false">Controls!B34</f>
        <v>0</v>
      </c>
      <c r="Q38" s="33" t="n">
        <f aca="false">Controls!B35</f>
        <v>0</v>
      </c>
      <c r="R38" s="33" t="n">
        <f aca="false">Controls!B36</f>
        <v>0</v>
      </c>
      <c r="S38" s="32" t="n">
        <f aca="false">Controls!B38</f>
        <v>0</v>
      </c>
      <c r="T38" s="32" t="str">
        <f aca="false">IF(P38=1,"AWARDED","CONSTITUTED")</f>
        <v>CONSTITUTED</v>
      </c>
    </row>
    <row r="39" customFormat="false" ht="15" hidden="false" customHeight="false" outlineLevel="0" collapsed="false">
      <c r="A39" s="9" t="s">
        <v>367</v>
      </c>
      <c r="B39" s="9" t="s">
        <v>326</v>
      </c>
      <c r="C39" s="9" t="s">
        <v>307</v>
      </c>
      <c r="D39" s="9" t="s">
        <v>349</v>
      </c>
      <c r="E39" s="9" t="s">
        <v>350</v>
      </c>
      <c r="F39" s="9" t="s">
        <v>341</v>
      </c>
      <c r="G39" s="9" t="s">
        <v>365</v>
      </c>
      <c r="H39" s="9" t="s">
        <v>366</v>
      </c>
      <c r="I39" s="31" t="n">
        <v>0.09</v>
      </c>
      <c r="J39" s="9" t="n">
        <v>5</v>
      </c>
      <c r="K39" s="9" t="n">
        <v>7</v>
      </c>
      <c r="L39" s="9" t="n">
        <v>2</v>
      </c>
      <c r="M39" s="9" t="n">
        <v>4</v>
      </c>
      <c r="N39" s="11" t="s">
        <v>58</v>
      </c>
      <c r="O39" s="11" t="s">
        <v>58</v>
      </c>
      <c r="P39" s="32" t="n">
        <f aca="false">Controls!B34</f>
        <v>0</v>
      </c>
      <c r="Q39" s="33" t="n">
        <f aca="false">Controls!B35</f>
        <v>0</v>
      </c>
      <c r="R39" s="33" t="n">
        <f aca="false">Controls!B36</f>
        <v>0</v>
      </c>
      <c r="S39" s="32" t="n">
        <f aca="false">Controls!B38</f>
        <v>0</v>
      </c>
      <c r="T39" s="32" t="str">
        <f aca="false">IF(P39=1,"AWARDED","CONSTITUTED")</f>
        <v>CONSTITUTED</v>
      </c>
    </row>
    <row r="40" customFormat="false" ht="15" hidden="false" customHeight="false" outlineLevel="0" collapsed="false">
      <c r="A40" s="9" t="s">
        <v>368</v>
      </c>
      <c r="B40" s="9" t="s">
        <v>326</v>
      </c>
      <c r="C40" s="9" t="s">
        <v>307</v>
      </c>
      <c r="D40" s="9" t="s">
        <v>349</v>
      </c>
      <c r="E40" s="9" t="s">
        <v>350</v>
      </c>
      <c r="F40" s="9" t="s">
        <v>341</v>
      </c>
      <c r="G40" s="9" t="s">
        <v>365</v>
      </c>
      <c r="H40" s="9" t="s">
        <v>366</v>
      </c>
      <c r="I40" s="31" t="n">
        <v>0.09</v>
      </c>
      <c r="J40" s="9" t="n">
        <v>5</v>
      </c>
      <c r="K40" s="9" t="n">
        <v>7</v>
      </c>
      <c r="L40" s="9" t="n">
        <v>2</v>
      </c>
      <c r="M40" s="9" t="n">
        <v>4</v>
      </c>
      <c r="N40" s="11" t="s">
        <v>58</v>
      </c>
      <c r="O40" s="11" t="s">
        <v>58</v>
      </c>
      <c r="P40" s="32" t="n">
        <f aca="false">Controls!B34</f>
        <v>0</v>
      </c>
      <c r="Q40" s="33" t="n">
        <f aca="false">Controls!B35</f>
        <v>0</v>
      </c>
      <c r="R40" s="33" t="n">
        <f aca="false">Controls!B36</f>
        <v>0</v>
      </c>
      <c r="S40" s="32" t="n">
        <f aca="false">Controls!B38</f>
        <v>0</v>
      </c>
      <c r="T40" s="32" t="str">
        <f aca="false">IF(P40=1,"AWARDED","CONSTITUTED")</f>
        <v>CONSTITUTED</v>
      </c>
    </row>
    <row r="41" customFormat="false" ht="15" hidden="false" customHeight="false" outlineLevel="0" collapsed="false">
      <c r="A41" s="9" t="s">
        <v>369</v>
      </c>
      <c r="B41" s="9" t="s">
        <v>329</v>
      </c>
      <c r="C41" s="9" t="s">
        <v>307</v>
      </c>
      <c r="D41" s="9" t="s">
        <v>349</v>
      </c>
      <c r="E41" s="9" t="s">
        <v>350</v>
      </c>
      <c r="F41" s="9" t="s">
        <v>341</v>
      </c>
      <c r="G41" s="9" t="s">
        <v>365</v>
      </c>
      <c r="H41" s="9" t="s">
        <v>366</v>
      </c>
      <c r="I41" s="31" t="n">
        <v>0.0666666666666667</v>
      </c>
      <c r="J41" s="9" t="n">
        <v>5</v>
      </c>
      <c r="K41" s="9" t="n">
        <v>7</v>
      </c>
      <c r="L41" s="9" t="n">
        <v>2</v>
      </c>
      <c r="M41" s="9" t="n">
        <v>4</v>
      </c>
      <c r="N41" s="11" t="s">
        <v>58</v>
      </c>
      <c r="O41" s="11" t="s">
        <v>58</v>
      </c>
      <c r="P41" s="32" t="n">
        <f aca="false">Controls!B34</f>
        <v>0</v>
      </c>
      <c r="Q41" s="33" t="n">
        <f aca="false">Controls!B35</f>
        <v>0</v>
      </c>
      <c r="R41" s="33" t="n">
        <f aca="false">Controls!B36</f>
        <v>0</v>
      </c>
      <c r="S41" s="32" t="n">
        <f aca="false">Controls!B38</f>
        <v>0</v>
      </c>
      <c r="T41" s="32" t="str">
        <f aca="false">IF(P41=1,"AWARDED","CONSTITUTED")</f>
        <v>CONSTITUTED</v>
      </c>
    </row>
    <row r="42" customFormat="false" ht="15" hidden="false" customHeight="false" outlineLevel="0" collapsed="false">
      <c r="A42" s="9" t="s">
        <v>370</v>
      </c>
      <c r="B42" s="9" t="s">
        <v>331</v>
      </c>
      <c r="C42" s="9" t="s">
        <v>307</v>
      </c>
      <c r="D42" s="9" t="s">
        <v>349</v>
      </c>
      <c r="E42" s="9" t="s">
        <v>350</v>
      </c>
      <c r="F42" s="9" t="s">
        <v>341</v>
      </c>
      <c r="G42" s="9" t="s">
        <v>365</v>
      </c>
      <c r="H42" s="9" t="s">
        <v>366</v>
      </c>
      <c r="I42" s="31" t="n">
        <v>0.0633333333333333</v>
      </c>
      <c r="J42" s="9" t="n">
        <v>5</v>
      </c>
      <c r="K42" s="9" t="n">
        <v>7</v>
      </c>
      <c r="L42" s="9" t="n">
        <v>2</v>
      </c>
      <c r="M42" s="9" t="n">
        <v>4</v>
      </c>
      <c r="N42" s="11" t="s">
        <v>58</v>
      </c>
      <c r="O42" s="11" t="s">
        <v>58</v>
      </c>
      <c r="P42" s="32" t="n">
        <f aca="false">Controls!B34</f>
        <v>0</v>
      </c>
      <c r="Q42" s="33" t="n">
        <f aca="false">Controls!B35</f>
        <v>0</v>
      </c>
      <c r="R42" s="33" t="n">
        <f aca="false">Controls!B36</f>
        <v>0</v>
      </c>
      <c r="S42" s="32" t="n">
        <f aca="false">Controls!B38</f>
        <v>0</v>
      </c>
      <c r="T42" s="32" t="str">
        <f aca="false">IF(P42=1,"AWARDED","CONSTITUTED")</f>
        <v>CONSTITUTED</v>
      </c>
    </row>
    <row r="43" customFormat="false" ht="15" hidden="false" customHeight="false" outlineLevel="0" collapsed="false">
      <c r="A43" s="9" t="s">
        <v>371</v>
      </c>
      <c r="B43" s="9" t="s">
        <v>319</v>
      </c>
      <c r="C43" s="9" t="s">
        <v>307</v>
      </c>
      <c r="D43" s="9" t="s">
        <v>372</v>
      </c>
      <c r="E43" s="9" t="s">
        <v>373</v>
      </c>
      <c r="F43" s="9" t="s">
        <v>322</v>
      </c>
      <c r="G43" s="9" t="s">
        <v>374</v>
      </c>
      <c r="H43" s="9" t="s">
        <v>375</v>
      </c>
      <c r="I43" s="31" t="n">
        <v>0.316666666666667</v>
      </c>
      <c r="J43" s="9" t="n">
        <v>5</v>
      </c>
      <c r="K43" s="9" t="n">
        <v>7</v>
      </c>
      <c r="L43" s="9" t="n">
        <v>2</v>
      </c>
      <c r="M43" s="9" t="n">
        <v>4</v>
      </c>
      <c r="N43" s="11" t="s">
        <v>58</v>
      </c>
      <c r="O43" s="11" t="s">
        <v>58</v>
      </c>
      <c r="P43" s="32" t="n">
        <f aca="false">Controls!B34</f>
        <v>0</v>
      </c>
      <c r="Q43" s="33" t="n">
        <f aca="false">Controls!B35</f>
        <v>0</v>
      </c>
      <c r="R43" s="33" t="n">
        <f aca="false">Controls!B36</f>
        <v>0</v>
      </c>
      <c r="S43" s="32" t="n">
        <f aca="false">Controls!B38</f>
        <v>0</v>
      </c>
      <c r="T43" s="32" t="str">
        <f aca="false">IF(P43=1,"AWARDED","CONSTITUTED")</f>
        <v>CONSTITUTED</v>
      </c>
    </row>
    <row r="44" customFormat="false" ht="15" hidden="false" customHeight="false" outlineLevel="0" collapsed="false">
      <c r="A44" s="9" t="s">
        <v>376</v>
      </c>
      <c r="B44" s="9" t="s">
        <v>326</v>
      </c>
      <c r="C44" s="9" t="s">
        <v>307</v>
      </c>
      <c r="D44" s="9" t="s">
        <v>372</v>
      </c>
      <c r="E44" s="9" t="s">
        <v>373</v>
      </c>
      <c r="F44" s="9" t="s">
        <v>322</v>
      </c>
      <c r="G44" s="9" t="s">
        <v>374</v>
      </c>
      <c r="H44" s="9" t="s">
        <v>375</v>
      </c>
      <c r="I44" s="31" t="n">
        <v>0.09</v>
      </c>
      <c r="J44" s="9" t="n">
        <v>5</v>
      </c>
      <c r="K44" s="9" t="n">
        <v>7</v>
      </c>
      <c r="L44" s="9" t="n">
        <v>2</v>
      </c>
      <c r="M44" s="9" t="n">
        <v>4</v>
      </c>
      <c r="N44" s="11" t="s">
        <v>58</v>
      </c>
      <c r="O44" s="11" t="s">
        <v>58</v>
      </c>
      <c r="P44" s="32" t="n">
        <f aca="false">Controls!B34</f>
        <v>0</v>
      </c>
      <c r="Q44" s="33" t="n">
        <f aca="false">Controls!B35</f>
        <v>0</v>
      </c>
      <c r="R44" s="33" t="n">
        <f aca="false">Controls!B36</f>
        <v>0</v>
      </c>
      <c r="S44" s="32" t="n">
        <f aca="false">Controls!B38</f>
        <v>0</v>
      </c>
      <c r="T44" s="32" t="str">
        <f aca="false">IF(P44=1,"AWARDED","CONSTITUTED")</f>
        <v>CONSTITUTED</v>
      </c>
    </row>
    <row r="45" customFormat="false" ht="15" hidden="false" customHeight="false" outlineLevel="0" collapsed="false">
      <c r="A45" s="9" t="s">
        <v>377</v>
      </c>
      <c r="B45" s="9" t="s">
        <v>326</v>
      </c>
      <c r="C45" s="9" t="s">
        <v>307</v>
      </c>
      <c r="D45" s="9" t="s">
        <v>372</v>
      </c>
      <c r="E45" s="9" t="s">
        <v>373</v>
      </c>
      <c r="F45" s="9" t="s">
        <v>322</v>
      </c>
      <c r="G45" s="9" t="s">
        <v>374</v>
      </c>
      <c r="H45" s="9" t="s">
        <v>375</v>
      </c>
      <c r="I45" s="31" t="n">
        <v>0.09</v>
      </c>
      <c r="J45" s="9" t="n">
        <v>5</v>
      </c>
      <c r="K45" s="9" t="n">
        <v>7</v>
      </c>
      <c r="L45" s="9" t="n">
        <v>2</v>
      </c>
      <c r="M45" s="9" t="n">
        <v>4</v>
      </c>
      <c r="N45" s="11" t="s">
        <v>58</v>
      </c>
      <c r="O45" s="11" t="s">
        <v>58</v>
      </c>
      <c r="P45" s="32" t="n">
        <f aca="false">Controls!B34</f>
        <v>0</v>
      </c>
      <c r="Q45" s="33" t="n">
        <f aca="false">Controls!B35</f>
        <v>0</v>
      </c>
      <c r="R45" s="33" t="n">
        <f aca="false">Controls!B36</f>
        <v>0</v>
      </c>
      <c r="S45" s="32" t="n">
        <f aca="false">Controls!B38</f>
        <v>0</v>
      </c>
      <c r="T45" s="32" t="str">
        <f aca="false">IF(P45=1,"AWARDED","CONSTITUTED")</f>
        <v>CONSTITUTED</v>
      </c>
    </row>
    <row r="46" customFormat="false" ht="15" hidden="false" customHeight="false" outlineLevel="0" collapsed="false">
      <c r="A46" s="9" t="s">
        <v>378</v>
      </c>
      <c r="B46" s="9" t="s">
        <v>329</v>
      </c>
      <c r="C46" s="9" t="s">
        <v>307</v>
      </c>
      <c r="D46" s="9" t="s">
        <v>372</v>
      </c>
      <c r="E46" s="9" t="s">
        <v>373</v>
      </c>
      <c r="F46" s="9" t="s">
        <v>322</v>
      </c>
      <c r="G46" s="9" t="s">
        <v>374</v>
      </c>
      <c r="H46" s="9" t="s">
        <v>375</v>
      </c>
      <c r="I46" s="31" t="n">
        <v>0.0666666666666667</v>
      </c>
      <c r="J46" s="9" t="n">
        <v>5</v>
      </c>
      <c r="K46" s="9" t="n">
        <v>7</v>
      </c>
      <c r="L46" s="9" t="n">
        <v>2</v>
      </c>
      <c r="M46" s="9" t="n">
        <v>4</v>
      </c>
      <c r="N46" s="11" t="s">
        <v>58</v>
      </c>
      <c r="O46" s="11" t="s">
        <v>58</v>
      </c>
      <c r="P46" s="32" t="n">
        <f aca="false">Controls!B34</f>
        <v>0</v>
      </c>
      <c r="Q46" s="33" t="n">
        <f aca="false">Controls!B35</f>
        <v>0</v>
      </c>
      <c r="R46" s="33" t="n">
        <f aca="false">Controls!B36</f>
        <v>0</v>
      </c>
      <c r="S46" s="32" t="n">
        <f aca="false">Controls!B38</f>
        <v>0</v>
      </c>
      <c r="T46" s="32" t="str">
        <f aca="false">IF(P46=1,"AWARDED","CONSTITUTED")</f>
        <v>CONSTITUTED</v>
      </c>
    </row>
    <row r="47" customFormat="false" ht="15" hidden="false" customHeight="false" outlineLevel="0" collapsed="false">
      <c r="A47" s="9" t="s">
        <v>379</v>
      </c>
      <c r="B47" s="9" t="s">
        <v>331</v>
      </c>
      <c r="C47" s="9" t="s">
        <v>307</v>
      </c>
      <c r="D47" s="9" t="s">
        <v>372</v>
      </c>
      <c r="E47" s="9" t="s">
        <v>373</v>
      </c>
      <c r="F47" s="9" t="s">
        <v>322</v>
      </c>
      <c r="G47" s="9" t="s">
        <v>374</v>
      </c>
      <c r="H47" s="9" t="s">
        <v>375</v>
      </c>
      <c r="I47" s="31" t="n">
        <v>0.0633333333333333</v>
      </c>
      <c r="J47" s="9" t="n">
        <v>5</v>
      </c>
      <c r="K47" s="9" t="n">
        <v>7</v>
      </c>
      <c r="L47" s="9" t="n">
        <v>2</v>
      </c>
      <c r="M47" s="9" t="n">
        <v>4</v>
      </c>
      <c r="N47" s="11" t="s">
        <v>58</v>
      </c>
      <c r="O47" s="11" t="s">
        <v>58</v>
      </c>
      <c r="P47" s="32" t="n">
        <f aca="false">Controls!B34</f>
        <v>0</v>
      </c>
      <c r="Q47" s="33" t="n">
        <f aca="false">Controls!B35</f>
        <v>0</v>
      </c>
      <c r="R47" s="33" t="n">
        <f aca="false">Controls!B36</f>
        <v>0</v>
      </c>
      <c r="S47" s="32" t="n">
        <f aca="false">Controls!B38</f>
        <v>0</v>
      </c>
      <c r="T47" s="32" t="str">
        <f aca="false">IF(P47=1,"AWARDED","CONSTITUTED")</f>
        <v>CONSTITUTED</v>
      </c>
    </row>
    <row r="48" customFormat="false" ht="15" hidden="false" customHeight="false" outlineLevel="0" collapsed="false">
      <c r="A48" s="9" t="s">
        <v>380</v>
      </c>
      <c r="B48" s="9" t="s">
        <v>319</v>
      </c>
      <c r="C48" s="9" t="s">
        <v>307</v>
      </c>
      <c r="D48" s="9" t="s">
        <v>372</v>
      </c>
      <c r="E48" s="9" t="s">
        <v>373</v>
      </c>
      <c r="F48" s="9" t="s">
        <v>333</v>
      </c>
      <c r="G48" s="9" t="s">
        <v>381</v>
      </c>
      <c r="H48" s="9" t="s">
        <v>382</v>
      </c>
      <c r="I48" s="31" t="n">
        <v>0.316666666666667</v>
      </c>
      <c r="J48" s="9" t="n">
        <v>5</v>
      </c>
      <c r="K48" s="9" t="n">
        <v>7</v>
      </c>
      <c r="L48" s="9" t="n">
        <v>2</v>
      </c>
      <c r="M48" s="9" t="n">
        <v>4</v>
      </c>
      <c r="N48" s="11" t="s">
        <v>58</v>
      </c>
      <c r="O48" s="11" t="s">
        <v>58</v>
      </c>
      <c r="P48" s="32" t="n">
        <f aca="false">Controls!B34</f>
        <v>0</v>
      </c>
      <c r="Q48" s="33" t="n">
        <f aca="false">Controls!B35</f>
        <v>0</v>
      </c>
      <c r="R48" s="33" t="n">
        <f aca="false">Controls!B36</f>
        <v>0</v>
      </c>
      <c r="S48" s="32" t="n">
        <f aca="false">Controls!B38</f>
        <v>0</v>
      </c>
      <c r="T48" s="32" t="str">
        <f aca="false">IF(P48=1,"AWARDED","CONSTITUTED")</f>
        <v>CONSTITUTED</v>
      </c>
    </row>
    <row r="49" customFormat="false" ht="15" hidden="false" customHeight="false" outlineLevel="0" collapsed="false">
      <c r="A49" s="9" t="s">
        <v>383</v>
      </c>
      <c r="B49" s="9" t="s">
        <v>326</v>
      </c>
      <c r="C49" s="9" t="s">
        <v>307</v>
      </c>
      <c r="D49" s="9" t="s">
        <v>372</v>
      </c>
      <c r="E49" s="9" t="s">
        <v>373</v>
      </c>
      <c r="F49" s="9" t="s">
        <v>333</v>
      </c>
      <c r="G49" s="9" t="s">
        <v>381</v>
      </c>
      <c r="H49" s="9" t="s">
        <v>382</v>
      </c>
      <c r="I49" s="31" t="n">
        <v>0.09</v>
      </c>
      <c r="J49" s="9" t="n">
        <v>5</v>
      </c>
      <c r="K49" s="9" t="n">
        <v>7</v>
      </c>
      <c r="L49" s="9" t="n">
        <v>2</v>
      </c>
      <c r="M49" s="9" t="n">
        <v>4</v>
      </c>
      <c r="N49" s="11" t="s">
        <v>58</v>
      </c>
      <c r="O49" s="11" t="s">
        <v>58</v>
      </c>
      <c r="P49" s="32" t="n">
        <f aca="false">Controls!B34</f>
        <v>0</v>
      </c>
      <c r="Q49" s="33" t="n">
        <f aca="false">Controls!B35</f>
        <v>0</v>
      </c>
      <c r="R49" s="33" t="n">
        <f aca="false">Controls!B36</f>
        <v>0</v>
      </c>
      <c r="S49" s="32" t="n">
        <f aca="false">Controls!B38</f>
        <v>0</v>
      </c>
      <c r="T49" s="32" t="str">
        <f aca="false">IF(P49=1,"AWARDED","CONSTITUTED")</f>
        <v>CONSTITUTED</v>
      </c>
    </row>
    <row r="50" customFormat="false" ht="15" hidden="false" customHeight="false" outlineLevel="0" collapsed="false">
      <c r="A50" s="9" t="s">
        <v>384</v>
      </c>
      <c r="B50" s="9" t="s">
        <v>326</v>
      </c>
      <c r="C50" s="9" t="s">
        <v>307</v>
      </c>
      <c r="D50" s="9" t="s">
        <v>372</v>
      </c>
      <c r="E50" s="9" t="s">
        <v>373</v>
      </c>
      <c r="F50" s="9" t="s">
        <v>333</v>
      </c>
      <c r="G50" s="9" t="s">
        <v>381</v>
      </c>
      <c r="H50" s="9" t="s">
        <v>382</v>
      </c>
      <c r="I50" s="31" t="n">
        <v>0.09</v>
      </c>
      <c r="J50" s="9" t="n">
        <v>5</v>
      </c>
      <c r="K50" s="9" t="n">
        <v>7</v>
      </c>
      <c r="L50" s="9" t="n">
        <v>2</v>
      </c>
      <c r="M50" s="9" t="n">
        <v>4</v>
      </c>
      <c r="N50" s="11" t="s">
        <v>58</v>
      </c>
      <c r="O50" s="11" t="s">
        <v>58</v>
      </c>
      <c r="P50" s="32" t="n">
        <f aca="false">Controls!B34</f>
        <v>0</v>
      </c>
      <c r="Q50" s="33" t="n">
        <f aca="false">Controls!B35</f>
        <v>0</v>
      </c>
      <c r="R50" s="33" t="n">
        <f aca="false">Controls!B36</f>
        <v>0</v>
      </c>
      <c r="S50" s="32" t="n">
        <f aca="false">Controls!B38</f>
        <v>0</v>
      </c>
      <c r="T50" s="32" t="str">
        <f aca="false">IF(P50=1,"AWARDED","CONSTITUTED")</f>
        <v>CONSTITUTED</v>
      </c>
    </row>
    <row r="51" customFormat="false" ht="15" hidden="false" customHeight="false" outlineLevel="0" collapsed="false">
      <c r="A51" s="9" t="s">
        <v>385</v>
      </c>
      <c r="B51" s="9" t="s">
        <v>329</v>
      </c>
      <c r="C51" s="9" t="s">
        <v>307</v>
      </c>
      <c r="D51" s="9" t="s">
        <v>372</v>
      </c>
      <c r="E51" s="9" t="s">
        <v>373</v>
      </c>
      <c r="F51" s="9" t="s">
        <v>333</v>
      </c>
      <c r="G51" s="9" t="s">
        <v>381</v>
      </c>
      <c r="H51" s="9" t="s">
        <v>382</v>
      </c>
      <c r="I51" s="31" t="n">
        <v>0.0666666666666667</v>
      </c>
      <c r="J51" s="9" t="n">
        <v>5</v>
      </c>
      <c r="K51" s="9" t="n">
        <v>7</v>
      </c>
      <c r="L51" s="9" t="n">
        <v>2</v>
      </c>
      <c r="M51" s="9" t="n">
        <v>4</v>
      </c>
      <c r="N51" s="11" t="s">
        <v>58</v>
      </c>
      <c r="O51" s="11" t="s">
        <v>58</v>
      </c>
      <c r="P51" s="32" t="n">
        <f aca="false">Controls!B34</f>
        <v>0</v>
      </c>
      <c r="Q51" s="33" t="n">
        <f aca="false">Controls!B35</f>
        <v>0</v>
      </c>
      <c r="R51" s="33" t="n">
        <f aca="false">Controls!B36</f>
        <v>0</v>
      </c>
      <c r="S51" s="32" t="n">
        <f aca="false">Controls!B38</f>
        <v>0</v>
      </c>
      <c r="T51" s="32" t="str">
        <f aca="false">IF(P51=1,"AWARDED","CONSTITUTED")</f>
        <v>CONSTITUTED</v>
      </c>
    </row>
    <row r="52" customFormat="false" ht="15" hidden="false" customHeight="false" outlineLevel="0" collapsed="false">
      <c r="A52" s="9" t="s">
        <v>386</v>
      </c>
      <c r="B52" s="9" t="s">
        <v>331</v>
      </c>
      <c r="C52" s="9" t="s">
        <v>307</v>
      </c>
      <c r="D52" s="9" t="s">
        <v>372</v>
      </c>
      <c r="E52" s="9" t="s">
        <v>373</v>
      </c>
      <c r="F52" s="9" t="s">
        <v>333</v>
      </c>
      <c r="G52" s="9" t="s">
        <v>381</v>
      </c>
      <c r="H52" s="9" t="s">
        <v>382</v>
      </c>
      <c r="I52" s="31" t="n">
        <v>0.0633333333333333</v>
      </c>
      <c r="J52" s="9" t="n">
        <v>5</v>
      </c>
      <c r="K52" s="9" t="n">
        <v>7</v>
      </c>
      <c r="L52" s="9" t="n">
        <v>2</v>
      </c>
      <c r="M52" s="9" t="n">
        <v>4</v>
      </c>
      <c r="N52" s="11" t="s">
        <v>58</v>
      </c>
      <c r="O52" s="11" t="s">
        <v>58</v>
      </c>
      <c r="P52" s="32" t="n">
        <f aca="false">Controls!B34</f>
        <v>0</v>
      </c>
      <c r="Q52" s="33" t="n">
        <f aca="false">Controls!B35</f>
        <v>0</v>
      </c>
      <c r="R52" s="33" t="n">
        <f aca="false">Controls!B36</f>
        <v>0</v>
      </c>
      <c r="S52" s="32" t="n">
        <f aca="false">Controls!B38</f>
        <v>0</v>
      </c>
      <c r="T52" s="32" t="str">
        <f aca="false">IF(P52=1,"AWARDED","CONSTITUTED")</f>
        <v>CONSTITUTED</v>
      </c>
    </row>
    <row r="53" customFormat="false" ht="15" hidden="false" customHeight="false" outlineLevel="0" collapsed="false">
      <c r="A53" s="9" t="s">
        <v>387</v>
      </c>
      <c r="B53" s="9" t="s">
        <v>319</v>
      </c>
      <c r="C53" s="9" t="s">
        <v>307</v>
      </c>
      <c r="D53" s="9" t="s">
        <v>372</v>
      </c>
      <c r="E53" s="9" t="s">
        <v>373</v>
      </c>
      <c r="F53" s="9" t="s">
        <v>341</v>
      </c>
      <c r="G53" s="9" t="s">
        <v>388</v>
      </c>
      <c r="H53" s="9" t="s">
        <v>389</v>
      </c>
      <c r="I53" s="31" t="n">
        <v>0.316666666666667</v>
      </c>
      <c r="J53" s="9" t="n">
        <v>5</v>
      </c>
      <c r="K53" s="9" t="n">
        <v>7</v>
      </c>
      <c r="L53" s="9" t="n">
        <v>2</v>
      </c>
      <c r="M53" s="9" t="n">
        <v>4</v>
      </c>
      <c r="N53" s="11" t="s">
        <v>58</v>
      </c>
      <c r="O53" s="11" t="s">
        <v>58</v>
      </c>
      <c r="P53" s="32" t="n">
        <f aca="false">Controls!B34</f>
        <v>0</v>
      </c>
      <c r="Q53" s="33" t="n">
        <f aca="false">Controls!B35</f>
        <v>0</v>
      </c>
      <c r="R53" s="33" t="n">
        <f aca="false">Controls!B36</f>
        <v>0</v>
      </c>
      <c r="S53" s="32" t="n">
        <f aca="false">Controls!B38</f>
        <v>0</v>
      </c>
      <c r="T53" s="32" t="str">
        <f aca="false">IF(P53=1,"AWARDED","CONSTITUTED")</f>
        <v>CONSTITUTED</v>
      </c>
    </row>
    <row r="54" customFormat="false" ht="15" hidden="false" customHeight="false" outlineLevel="0" collapsed="false">
      <c r="A54" s="9" t="s">
        <v>390</v>
      </c>
      <c r="B54" s="9" t="s">
        <v>326</v>
      </c>
      <c r="C54" s="9" t="s">
        <v>307</v>
      </c>
      <c r="D54" s="9" t="s">
        <v>372</v>
      </c>
      <c r="E54" s="9" t="s">
        <v>373</v>
      </c>
      <c r="F54" s="9" t="s">
        <v>341</v>
      </c>
      <c r="G54" s="9" t="s">
        <v>388</v>
      </c>
      <c r="H54" s="9" t="s">
        <v>389</v>
      </c>
      <c r="I54" s="31" t="n">
        <v>0.09</v>
      </c>
      <c r="J54" s="9" t="n">
        <v>5</v>
      </c>
      <c r="K54" s="9" t="n">
        <v>7</v>
      </c>
      <c r="L54" s="9" t="n">
        <v>2</v>
      </c>
      <c r="M54" s="9" t="n">
        <v>4</v>
      </c>
      <c r="N54" s="11" t="s">
        <v>58</v>
      </c>
      <c r="O54" s="11" t="s">
        <v>58</v>
      </c>
      <c r="P54" s="32" t="n">
        <f aca="false">Controls!B34</f>
        <v>0</v>
      </c>
      <c r="Q54" s="33" t="n">
        <f aca="false">Controls!B35</f>
        <v>0</v>
      </c>
      <c r="R54" s="33" t="n">
        <f aca="false">Controls!B36</f>
        <v>0</v>
      </c>
      <c r="S54" s="32" t="n">
        <f aca="false">Controls!B38</f>
        <v>0</v>
      </c>
      <c r="T54" s="32" t="str">
        <f aca="false">IF(P54=1,"AWARDED","CONSTITUTED")</f>
        <v>CONSTITUTED</v>
      </c>
    </row>
    <row r="55" customFormat="false" ht="15" hidden="false" customHeight="false" outlineLevel="0" collapsed="false">
      <c r="A55" s="9" t="s">
        <v>391</v>
      </c>
      <c r="B55" s="9" t="s">
        <v>326</v>
      </c>
      <c r="C55" s="9" t="s">
        <v>307</v>
      </c>
      <c r="D55" s="9" t="s">
        <v>372</v>
      </c>
      <c r="E55" s="9" t="s">
        <v>373</v>
      </c>
      <c r="F55" s="9" t="s">
        <v>341</v>
      </c>
      <c r="G55" s="9" t="s">
        <v>388</v>
      </c>
      <c r="H55" s="9" t="s">
        <v>389</v>
      </c>
      <c r="I55" s="31" t="n">
        <v>0.09</v>
      </c>
      <c r="J55" s="9" t="n">
        <v>5</v>
      </c>
      <c r="K55" s="9" t="n">
        <v>7</v>
      </c>
      <c r="L55" s="9" t="n">
        <v>2</v>
      </c>
      <c r="M55" s="9" t="n">
        <v>4</v>
      </c>
      <c r="N55" s="11" t="s">
        <v>58</v>
      </c>
      <c r="O55" s="11" t="s">
        <v>58</v>
      </c>
      <c r="P55" s="32" t="n">
        <f aca="false">Controls!B34</f>
        <v>0</v>
      </c>
      <c r="Q55" s="33" t="n">
        <f aca="false">Controls!B35</f>
        <v>0</v>
      </c>
      <c r="R55" s="33" t="n">
        <f aca="false">Controls!B36</f>
        <v>0</v>
      </c>
      <c r="S55" s="32" t="n">
        <f aca="false">Controls!B38</f>
        <v>0</v>
      </c>
      <c r="T55" s="32" t="str">
        <f aca="false">IF(P55=1,"AWARDED","CONSTITUTED")</f>
        <v>CONSTITUTED</v>
      </c>
    </row>
    <row r="56" customFormat="false" ht="15" hidden="false" customHeight="false" outlineLevel="0" collapsed="false">
      <c r="A56" s="9" t="s">
        <v>392</v>
      </c>
      <c r="B56" s="9" t="s">
        <v>329</v>
      </c>
      <c r="C56" s="9" t="s">
        <v>307</v>
      </c>
      <c r="D56" s="9" t="s">
        <v>372</v>
      </c>
      <c r="E56" s="9" t="s">
        <v>373</v>
      </c>
      <c r="F56" s="9" t="s">
        <v>341</v>
      </c>
      <c r="G56" s="9" t="s">
        <v>388</v>
      </c>
      <c r="H56" s="9" t="s">
        <v>389</v>
      </c>
      <c r="I56" s="31" t="n">
        <v>0.0666666666666667</v>
      </c>
      <c r="J56" s="9" t="n">
        <v>5</v>
      </c>
      <c r="K56" s="9" t="n">
        <v>7</v>
      </c>
      <c r="L56" s="9" t="n">
        <v>2</v>
      </c>
      <c r="M56" s="9" t="n">
        <v>4</v>
      </c>
      <c r="N56" s="11" t="s">
        <v>58</v>
      </c>
      <c r="O56" s="11" t="s">
        <v>58</v>
      </c>
      <c r="P56" s="32" t="n">
        <f aca="false">Controls!B34</f>
        <v>0</v>
      </c>
      <c r="Q56" s="33" t="n">
        <f aca="false">Controls!B35</f>
        <v>0</v>
      </c>
      <c r="R56" s="33" t="n">
        <f aca="false">Controls!B36</f>
        <v>0</v>
      </c>
      <c r="S56" s="32" t="n">
        <f aca="false">Controls!B38</f>
        <v>0</v>
      </c>
      <c r="T56" s="32" t="str">
        <f aca="false">IF(P56=1,"AWARDED","CONSTITUTED")</f>
        <v>CONSTITUTED</v>
      </c>
    </row>
    <row r="57" customFormat="false" ht="15" hidden="false" customHeight="false" outlineLevel="0" collapsed="false">
      <c r="A57" s="9" t="s">
        <v>393</v>
      </c>
      <c r="B57" s="9" t="s">
        <v>331</v>
      </c>
      <c r="C57" s="9" t="s">
        <v>307</v>
      </c>
      <c r="D57" s="9" t="s">
        <v>372</v>
      </c>
      <c r="E57" s="9" t="s">
        <v>373</v>
      </c>
      <c r="F57" s="9" t="s">
        <v>341</v>
      </c>
      <c r="G57" s="9" t="s">
        <v>388</v>
      </c>
      <c r="H57" s="9" t="s">
        <v>389</v>
      </c>
      <c r="I57" s="31" t="n">
        <v>0.0633333333333333</v>
      </c>
      <c r="J57" s="9" t="n">
        <v>5</v>
      </c>
      <c r="K57" s="9" t="n">
        <v>7</v>
      </c>
      <c r="L57" s="9" t="n">
        <v>2</v>
      </c>
      <c r="M57" s="9" t="n">
        <v>4</v>
      </c>
      <c r="N57" s="11" t="s">
        <v>58</v>
      </c>
      <c r="O57" s="11" t="s">
        <v>58</v>
      </c>
      <c r="P57" s="32" t="n">
        <f aca="false">Controls!B34</f>
        <v>0</v>
      </c>
      <c r="Q57" s="33" t="n">
        <f aca="false">Controls!B35</f>
        <v>0</v>
      </c>
      <c r="R57" s="33" t="n">
        <f aca="false">Controls!B36</f>
        <v>0</v>
      </c>
      <c r="S57" s="32" t="n">
        <f aca="false">Controls!B38</f>
        <v>0</v>
      </c>
      <c r="T57" s="32" t="str">
        <f aca="false">IF(P57=1,"AWARDED","CONSTITUTED")</f>
        <v>CONSTITUTED</v>
      </c>
    </row>
    <row r="58" customFormat="false" ht="15" hidden="false" customHeight="false" outlineLevel="0" collapsed="false">
      <c r="A58" s="9" t="s">
        <v>394</v>
      </c>
      <c r="B58" s="9" t="s">
        <v>319</v>
      </c>
      <c r="C58" s="9" t="s">
        <v>307</v>
      </c>
      <c r="D58" s="9" t="s">
        <v>395</v>
      </c>
      <c r="E58" s="9" t="s">
        <v>396</v>
      </c>
      <c r="F58" s="9" t="s">
        <v>322</v>
      </c>
      <c r="G58" s="9" t="s">
        <v>397</v>
      </c>
      <c r="H58" s="9" t="s">
        <v>398</v>
      </c>
      <c r="I58" s="31" t="n">
        <v>0.316666666666667</v>
      </c>
      <c r="J58" s="9" t="n">
        <v>5</v>
      </c>
      <c r="K58" s="9" t="n">
        <v>7</v>
      </c>
      <c r="L58" s="9" t="n">
        <v>2</v>
      </c>
      <c r="M58" s="9" t="n">
        <v>4</v>
      </c>
      <c r="N58" s="11" t="s">
        <v>58</v>
      </c>
      <c r="O58" s="11" t="s">
        <v>58</v>
      </c>
      <c r="P58" s="32" t="n">
        <f aca="false">Controls!B34</f>
        <v>0</v>
      </c>
      <c r="Q58" s="33" t="n">
        <f aca="false">Controls!B35</f>
        <v>0</v>
      </c>
      <c r="R58" s="33" t="n">
        <f aca="false">Controls!B36</f>
        <v>0</v>
      </c>
      <c r="S58" s="32" t="n">
        <f aca="false">Controls!B38</f>
        <v>0</v>
      </c>
      <c r="T58" s="32" t="str">
        <f aca="false">IF(P58=1,"AWARDED","CONSTITUTED")</f>
        <v>CONSTITUTED</v>
      </c>
    </row>
    <row r="59" customFormat="false" ht="15" hidden="false" customHeight="false" outlineLevel="0" collapsed="false">
      <c r="A59" s="9" t="s">
        <v>399</v>
      </c>
      <c r="B59" s="9" t="s">
        <v>326</v>
      </c>
      <c r="C59" s="9" t="s">
        <v>307</v>
      </c>
      <c r="D59" s="9" t="s">
        <v>395</v>
      </c>
      <c r="E59" s="9" t="s">
        <v>396</v>
      </c>
      <c r="F59" s="9" t="s">
        <v>322</v>
      </c>
      <c r="G59" s="9" t="s">
        <v>397</v>
      </c>
      <c r="H59" s="9" t="s">
        <v>398</v>
      </c>
      <c r="I59" s="31" t="n">
        <v>0.09</v>
      </c>
      <c r="J59" s="9" t="n">
        <v>5</v>
      </c>
      <c r="K59" s="9" t="n">
        <v>7</v>
      </c>
      <c r="L59" s="9" t="n">
        <v>2</v>
      </c>
      <c r="M59" s="9" t="n">
        <v>4</v>
      </c>
      <c r="N59" s="11" t="s">
        <v>58</v>
      </c>
      <c r="O59" s="11" t="s">
        <v>58</v>
      </c>
      <c r="P59" s="32" t="n">
        <f aca="false">Controls!B34</f>
        <v>0</v>
      </c>
      <c r="Q59" s="33" t="n">
        <f aca="false">Controls!B35</f>
        <v>0</v>
      </c>
      <c r="R59" s="33" t="n">
        <f aca="false">Controls!B36</f>
        <v>0</v>
      </c>
      <c r="S59" s="32" t="n">
        <f aca="false">Controls!B38</f>
        <v>0</v>
      </c>
      <c r="T59" s="32" t="str">
        <f aca="false">IF(P59=1,"AWARDED","CONSTITUTED")</f>
        <v>CONSTITUTED</v>
      </c>
    </row>
    <row r="60" customFormat="false" ht="15" hidden="false" customHeight="false" outlineLevel="0" collapsed="false">
      <c r="A60" s="9" t="s">
        <v>400</v>
      </c>
      <c r="B60" s="9" t="s">
        <v>326</v>
      </c>
      <c r="C60" s="9" t="s">
        <v>307</v>
      </c>
      <c r="D60" s="9" t="s">
        <v>395</v>
      </c>
      <c r="E60" s="9" t="s">
        <v>396</v>
      </c>
      <c r="F60" s="9" t="s">
        <v>322</v>
      </c>
      <c r="G60" s="9" t="s">
        <v>397</v>
      </c>
      <c r="H60" s="9" t="s">
        <v>398</v>
      </c>
      <c r="I60" s="31" t="n">
        <v>0.09</v>
      </c>
      <c r="J60" s="9" t="n">
        <v>5</v>
      </c>
      <c r="K60" s="9" t="n">
        <v>7</v>
      </c>
      <c r="L60" s="9" t="n">
        <v>2</v>
      </c>
      <c r="M60" s="9" t="n">
        <v>4</v>
      </c>
      <c r="N60" s="11" t="s">
        <v>58</v>
      </c>
      <c r="O60" s="11" t="s">
        <v>58</v>
      </c>
      <c r="P60" s="32" t="n">
        <f aca="false">Controls!B34</f>
        <v>0</v>
      </c>
      <c r="Q60" s="33" t="n">
        <f aca="false">Controls!B35</f>
        <v>0</v>
      </c>
      <c r="R60" s="33" t="n">
        <f aca="false">Controls!B36</f>
        <v>0</v>
      </c>
      <c r="S60" s="32" t="n">
        <f aca="false">Controls!B38</f>
        <v>0</v>
      </c>
      <c r="T60" s="32" t="str">
        <f aca="false">IF(P60=1,"AWARDED","CONSTITUTED")</f>
        <v>CONSTITUTED</v>
      </c>
    </row>
    <row r="61" customFormat="false" ht="15" hidden="false" customHeight="false" outlineLevel="0" collapsed="false">
      <c r="A61" s="9" t="s">
        <v>401</v>
      </c>
      <c r="B61" s="9" t="s">
        <v>329</v>
      </c>
      <c r="C61" s="9" t="s">
        <v>307</v>
      </c>
      <c r="D61" s="9" t="s">
        <v>395</v>
      </c>
      <c r="E61" s="9" t="s">
        <v>396</v>
      </c>
      <c r="F61" s="9" t="s">
        <v>322</v>
      </c>
      <c r="G61" s="9" t="s">
        <v>397</v>
      </c>
      <c r="H61" s="9" t="s">
        <v>398</v>
      </c>
      <c r="I61" s="31" t="n">
        <v>0.0666666666666667</v>
      </c>
      <c r="J61" s="9" t="n">
        <v>5</v>
      </c>
      <c r="K61" s="9" t="n">
        <v>7</v>
      </c>
      <c r="L61" s="9" t="n">
        <v>2</v>
      </c>
      <c r="M61" s="9" t="n">
        <v>4</v>
      </c>
      <c r="N61" s="11" t="s">
        <v>58</v>
      </c>
      <c r="O61" s="11" t="s">
        <v>58</v>
      </c>
      <c r="P61" s="32" t="n">
        <f aca="false">Controls!B34</f>
        <v>0</v>
      </c>
      <c r="Q61" s="33" t="n">
        <f aca="false">Controls!B35</f>
        <v>0</v>
      </c>
      <c r="R61" s="33" t="n">
        <f aca="false">Controls!B36</f>
        <v>0</v>
      </c>
      <c r="S61" s="32" t="n">
        <f aca="false">Controls!B38</f>
        <v>0</v>
      </c>
      <c r="T61" s="32" t="str">
        <f aca="false">IF(P61=1,"AWARDED","CONSTITUTED")</f>
        <v>CONSTITUTED</v>
      </c>
    </row>
    <row r="62" customFormat="false" ht="15" hidden="false" customHeight="false" outlineLevel="0" collapsed="false">
      <c r="A62" s="9" t="s">
        <v>402</v>
      </c>
      <c r="B62" s="9" t="s">
        <v>331</v>
      </c>
      <c r="C62" s="9" t="s">
        <v>307</v>
      </c>
      <c r="D62" s="9" t="s">
        <v>395</v>
      </c>
      <c r="E62" s="9" t="s">
        <v>396</v>
      </c>
      <c r="F62" s="9" t="s">
        <v>322</v>
      </c>
      <c r="G62" s="9" t="s">
        <v>397</v>
      </c>
      <c r="H62" s="9" t="s">
        <v>398</v>
      </c>
      <c r="I62" s="31" t="n">
        <v>0.0633333333333333</v>
      </c>
      <c r="J62" s="9" t="n">
        <v>5</v>
      </c>
      <c r="K62" s="9" t="n">
        <v>7</v>
      </c>
      <c r="L62" s="9" t="n">
        <v>2</v>
      </c>
      <c r="M62" s="9" t="n">
        <v>4</v>
      </c>
      <c r="N62" s="11" t="s">
        <v>58</v>
      </c>
      <c r="O62" s="11" t="s">
        <v>58</v>
      </c>
      <c r="P62" s="32" t="n">
        <f aca="false">Controls!B34</f>
        <v>0</v>
      </c>
      <c r="Q62" s="33" t="n">
        <f aca="false">Controls!B35</f>
        <v>0</v>
      </c>
      <c r="R62" s="33" t="n">
        <f aca="false">Controls!B36</f>
        <v>0</v>
      </c>
      <c r="S62" s="32" t="n">
        <f aca="false">Controls!B38</f>
        <v>0</v>
      </c>
      <c r="T62" s="32" t="str">
        <f aca="false">IF(P62=1,"AWARDED","CONSTITUTED")</f>
        <v>CONSTITUTED</v>
      </c>
    </row>
    <row r="63" customFormat="false" ht="15" hidden="false" customHeight="false" outlineLevel="0" collapsed="false">
      <c r="A63" s="9" t="s">
        <v>403</v>
      </c>
      <c r="B63" s="9" t="s">
        <v>319</v>
      </c>
      <c r="C63" s="9" t="s">
        <v>307</v>
      </c>
      <c r="D63" s="9" t="s">
        <v>395</v>
      </c>
      <c r="E63" s="9" t="s">
        <v>396</v>
      </c>
      <c r="F63" s="9" t="s">
        <v>333</v>
      </c>
      <c r="G63" s="9" t="s">
        <v>404</v>
      </c>
      <c r="H63" s="9" t="s">
        <v>405</v>
      </c>
      <c r="I63" s="31" t="n">
        <v>0.316666666666667</v>
      </c>
      <c r="J63" s="9" t="n">
        <v>5</v>
      </c>
      <c r="K63" s="9" t="n">
        <v>7</v>
      </c>
      <c r="L63" s="9" t="n">
        <v>2</v>
      </c>
      <c r="M63" s="9" t="n">
        <v>4</v>
      </c>
      <c r="N63" s="11" t="s">
        <v>58</v>
      </c>
      <c r="O63" s="11" t="s">
        <v>58</v>
      </c>
      <c r="P63" s="32" t="n">
        <f aca="false">Controls!B34</f>
        <v>0</v>
      </c>
      <c r="Q63" s="33" t="n">
        <f aca="false">Controls!B35</f>
        <v>0</v>
      </c>
      <c r="R63" s="33" t="n">
        <f aca="false">Controls!B36</f>
        <v>0</v>
      </c>
      <c r="S63" s="32" t="n">
        <f aca="false">Controls!B38</f>
        <v>0</v>
      </c>
      <c r="T63" s="32" t="str">
        <f aca="false">IF(P63=1,"AWARDED","CONSTITUTED")</f>
        <v>CONSTITUTED</v>
      </c>
    </row>
    <row r="64" customFormat="false" ht="15" hidden="false" customHeight="false" outlineLevel="0" collapsed="false">
      <c r="A64" s="9" t="s">
        <v>406</v>
      </c>
      <c r="B64" s="9" t="s">
        <v>326</v>
      </c>
      <c r="C64" s="9" t="s">
        <v>307</v>
      </c>
      <c r="D64" s="9" t="s">
        <v>395</v>
      </c>
      <c r="E64" s="9" t="s">
        <v>396</v>
      </c>
      <c r="F64" s="9" t="s">
        <v>333</v>
      </c>
      <c r="G64" s="9" t="s">
        <v>404</v>
      </c>
      <c r="H64" s="9" t="s">
        <v>405</v>
      </c>
      <c r="I64" s="31" t="n">
        <v>0.09</v>
      </c>
      <c r="J64" s="9" t="n">
        <v>5</v>
      </c>
      <c r="K64" s="9" t="n">
        <v>7</v>
      </c>
      <c r="L64" s="9" t="n">
        <v>2</v>
      </c>
      <c r="M64" s="9" t="n">
        <v>4</v>
      </c>
      <c r="N64" s="11" t="s">
        <v>58</v>
      </c>
      <c r="O64" s="11" t="s">
        <v>58</v>
      </c>
      <c r="P64" s="32" t="n">
        <f aca="false">Controls!B34</f>
        <v>0</v>
      </c>
      <c r="Q64" s="33" t="n">
        <f aca="false">Controls!B35</f>
        <v>0</v>
      </c>
      <c r="R64" s="33" t="n">
        <f aca="false">Controls!B36</f>
        <v>0</v>
      </c>
      <c r="S64" s="32" t="n">
        <f aca="false">Controls!B38</f>
        <v>0</v>
      </c>
      <c r="T64" s="32" t="str">
        <f aca="false">IF(P64=1,"AWARDED","CONSTITUTED")</f>
        <v>CONSTITUTED</v>
      </c>
    </row>
    <row r="65" customFormat="false" ht="15" hidden="false" customHeight="false" outlineLevel="0" collapsed="false">
      <c r="A65" s="9" t="s">
        <v>407</v>
      </c>
      <c r="B65" s="9" t="s">
        <v>326</v>
      </c>
      <c r="C65" s="9" t="s">
        <v>307</v>
      </c>
      <c r="D65" s="9" t="s">
        <v>395</v>
      </c>
      <c r="E65" s="9" t="s">
        <v>396</v>
      </c>
      <c r="F65" s="9" t="s">
        <v>333</v>
      </c>
      <c r="G65" s="9" t="s">
        <v>404</v>
      </c>
      <c r="H65" s="9" t="s">
        <v>405</v>
      </c>
      <c r="I65" s="31" t="n">
        <v>0.09</v>
      </c>
      <c r="J65" s="9" t="n">
        <v>5</v>
      </c>
      <c r="K65" s="9" t="n">
        <v>7</v>
      </c>
      <c r="L65" s="9" t="n">
        <v>2</v>
      </c>
      <c r="M65" s="9" t="n">
        <v>4</v>
      </c>
      <c r="N65" s="11" t="s">
        <v>58</v>
      </c>
      <c r="O65" s="11" t="s">
        <v>58</v>
      </c>
      <c r="P65" s="32" t="n">
        <f aca="false">Controls!B34</f>
        <v>0</v>
      </c>
      <c r="Q65" s="33" t="n">
        <f aca="false">Controls!B35</f>
        <v>0</v>
      </c>
      <c r="R65" s="33" t="n">
        <f aca="false">Controls!B36</f>
        <v>0</v>
      </c>
      <c r="S65" s="32" t="n">
        <f aca="false">Controls!B38</f>
        <v>0</v>
      </c>
      <c r="T65" s="32" t="str">
        <f aca="false">IF(P65=1,"AWARDED","CONSTITUTED")</f>
        <v>CONSTITUTED</v>
      </c>
    </row>
    <row r="66" customFormat="false" ht="15" hidden="false" customHeight="false" outlineLevel="0" collapsed="false">
      <c r="A66" s="9" t="s">
        <v>408</v>
      </c>
      <c r="B66" s="9" t="s">
        <v>329</v>
      </c>
      <c r="C66" s="9" t="s">
        <v>307</v>
      </c>
      <c r="D66" s="9" t="s">
        <v>395</v>
      </c>
      <c r="E66" s="9" t="s">
        <v>396</v>
      </c>
      <c r="F66" s="9" t="s">
        <v>333</v>
      </c>
      <c r="G66" s="9" t="s">
        <v>404</v>
      </c>
      <c r="H66" s="9" t="s">
        <v>405</v>
      </c>
      <c r="I66" s="31" t="n">
        <v>0.0666666666666667</v>
      </c>
      <c r="J66" s="9" t="n">
        <v>5</v>
      </c>
      <c r="K66" s="9" t="n">
        <v>7</v>
      </c>
      <c r="L66" s="9" t="n">
        <v>2</v>
      </c>
      <c r="M66" s="9" t="n">
        <v>4</v>
      </c>
      <c r="N66" s="11" t="s">
        <v>58</v>
      </c>
      <c r="O66" s="11" t="s">
        <v>58</v>
      </c>
      <c r="P66" s="32" t="n">
        <f aca="false">Controls!B34</f>
        <v>0</v>
      </c>
      <c r="Q66" s="33" t="n">
        <f aca="false">Controls!B35</f>
        <v>0</v>
      </c>
      <c r="R66" s="33" t="n">
        <f aca="false">Controls!B36</f>
        <v>0</v>
      </c>
      <c r="S66" s="32" t="n">
        <f aca="false">Controls!B38</f>
        <v>0</v>
      </c>
      <c r="T66" s="32" t="str">
        <f aca="false">IF(P66=1,"AWARDED","CONSTITUTED")</f>
        <v>CONSTITUTED</v>
      </c>
    </row>
    <row r="67" customFormat="false" ht="15" hidden="false" customHeight="false" outlineLevel="0" collapsed="false">
      <c r="A67" s="9" t="s">
        <v>409</v>
      </c>
      <c r="B67" s="9" t="s">
        <v>331</v>
      </c>
      <c r="C67" s="9" t="s">
        <v>307</v>
      </c>
      <c r="D67" s="9" t="s">
        <v>395</v>
      </c>
      <c r="E67" s="9" t="s">
        <v>396</v>
      </c>
      <c r="F67" s="9" t="s">
        <v>333</v>
      </c>
      <c r="G67" s="9" t="s">
        <v>404</v>
      </c>
      <c r="H67" s="9" t="s">
        <v>405</v>
      </c>
      <c r="I67" s="31" t="n">
        <v>0.0633333333333333</v>
      </c>
      <c r="J67" s="9" t="n">
        <v>5</v>
      </c>
      <c r="K67" s="9" t="n">
        <v>7</v>
      </c>
      <c r="L67" s="9" t="n">
        <v>2</v>
      </c>
      <c r="M67" s="9" t="n">
        <v>4</v>
      </c>
      <c r="N67" s="11" t="s">
        <v>58</v>
      </c>
      <c r="O67" s="11" t="s">
        <v>58</v>
      </c>
      <c r="P67" s="32" t="n">
        <f aca="false">Controls!B34</f>
        <v>0</v>
      </c>
      <c r="Q67" s="33" t="n">
        <f aca="false">Controls!B35</f>
        <v>0</v>
      </c>
      <c r="R67" s="33" t="n">
        <f aca="false">Controls!B36</f>
        <v>0</v>
      </c>
      <c r="S67" s="32" t="n">
        <f aca="false">Controls!B38</f>
        <v>0</v>
      </c>
      <c r="T67" s="32" t="str">
        <f aca="false">IF(P67=1,"AWARDED","CONSTITUTED")</f>
        <v>CONSTITUTED</v>
      </c>
    </row>
    <row r="68" customFormat="false" ht="15" hidden="false" customHeight="false" outlineLevel="0" collapsed="false">
      <c r="A68" s="9" t="s">
        <v>410</v>
      </c>
      <c r="B68" s="9" t="s">
        <v>319</v>
      </c>
      <c r="C68" s="9" t="s">
        <v>307</v>
      </c>
      <c r="D68" s="9" t="s">
        <v>395</v>
      </c>
      <c r="E68" s="9" t="s">
        <v>396</v>
      </c>
      <c r="F68" s="9" t="s">
        <v>341</v>
      </c>
      <c r="G68" s="9" t="s">
        <v>411</v>
      </c>
      <c r="H68" s="9" t="s">
        <v>412</v>
      </c>
      <c r="I68" s="31" t="n">
        <v>0.316666666666667</v>
      </c>
      <c r="J68" s="9" t="n">
        <v>5</v>
      </c>
      <c r="K68" s="9" t="n">
        <v>7</v>
      </c>
      <c r="L68" s="9" t="n">
        <v>2</v>
      </c>
      <c r="M68" s="9" t="n">
        <v>4</v>
      </c>
      <c r="N68" s="11" t="s">
        <v>58</v>
      </c>
      <c r="O68" s="11" t="s">
        <v>58</v>
      </c>
      <c r="P68" s="32" t="n">
        <f aca="false">Controls!B34</f>
        <v>0</v>
      </c>
      <c r="Q68" s="33" t="n">
        <f aca="false">Controls!B35</f>
        <v>0</v>
      </c>
      <c r="R68" s="33" t="n">
        <f aca="false">Controls!B36</f>
        <v>0</v>
      </c>
      <c r="S68" s="32" t="n">
        <f aca="false">Controls!B38</f>
        <v>0</v>
      </c>
      <c r="T68" s="32" t="str">
        <f aca="false">IF(P68=1,"AWARDED","CONSTITUTED")</f>
        <v>CONSTITUTED</v>
      </c>
    </row>
    <row r="69" customFormat="false" ht="15" hidden="false" customHeight="false" outlineLevel="0" collapsed="false">
      <c r="A69" s="9" t="s">
        <v>413</v>
      </c>
      <c r="B69" s="9" t="s">
        <v>326</v>
      </c>
      <c r="C69" s="9" t="s">
        <v>307</v>
      </c>
      <c r="D69" s="9" t="s">
        <v>395</v>
      </c>
      <c r="E69" s="9" t="s">
        <v>396</v>
      </c>
      <c r="F69" s="9" t="s">
        <v>341</v>
      </c>
      <c r="G69" s="9" t="s">
        <v>411</v>
      </c>
      <c r="H69" s="9" t="s">
        <v>412</v>
      </c>
      <c r="I69" s="31" t="n">
        <v>0.09</v>
      </c>
      <c r="J69" s="9" t="n">
        <v>5</v>
      </c>
      <c r="K69" s="9" t="n">
        <v>7</v>
      </c>
      <c r="L69" s="9" t="n">
        <v>2</v>
      </c>
      <c r="M69" s="9" t="n">
        <v>4</v>
      </c>
      <c r="N69" s="11" t="s">
        <v>58</v>
      </c>
      <c r="O69" s="11" t="s">
        <v>58</v>
      </c>
      <c r="P69" s="32" t="n">
        <f aca="false">Controls!B34</f>
        <v>0</v>
      </c>
      <c r="Q69" s="33" t="n">
        <f aca="false">Controls!B35</f>
        <v>0</v>
      </c>
      <c r="R69" s="33" t="n">
        <f aca="false">Controls!B36</f>
        <v>0</v>
      </c>
      <c r="S69" s="32" t="n">
        <f aca="false">Controls!B38</f>
        <v>0</v>
      </c>
      <c r="T69" s="32" t="str">
        <f aca="false">IF(P69=1,"AWARDED","CONSTITUTED")</f>
        <v>CONSTITUTED</v>
      </c>
    </row>
    <row r="70" customFormat="false" ht="15" hidden="false" customHeight="false" outlineLevel="0" collapsed="false">
      <c r="A70" s="9" t="s">
        <v>414</v>
      </c>
      <c r="B70" s="9" t="s">
        <v>326</v>
      </c>
      <c r="C70" s="9" t="s">
        <v>307</v>
      </c>
      <c r="D70" s="9" t="s">
        <v>395</v>
      </c>
      <c r="E70" s="9" t="s">
        <v>396</v>
      </c>
      <c r="F70" s="9" t="s">
        <v>341</v>
      </c>
      <c r="G70" s="9" t="s">
        <v>411</v>
      </c>
      <c r="H70" s="9" t="s">
        <v>412</v>
      </c>
      <c r="I70" s="31" t="n">
        <v>0.09</v>
      </c>
      <c r="J70" s="9" t="n">
        <v>5</v>
      </c>
      <c r="K70" s="9" t="n">
        <v>7</v>
      </c>
      <c r="L70" s="9" t="n">
        <v>2</v>
      </c>
      <c r="M70" s="9" t="n">
        <v>4</v>
      </c>
      <c r="N70" s="11" t="s">
        <v>58</v>
      </c>
      <c r="O70" s="11" t="s">
        <v>58</v>
      </c>
      <c r="P70" s="32" t="n">
        <f aca="false">Controls!B34</f>
        <v>0</v>
      </c>
      <c r="Q70" s="33" t="n">
        <f aca="false">Controls!B35</f>
        <v>0</v>
      </c>
      <c r="R70" s="33" t="n">
        <f aca="false">Controls!B36</f>
        <v>0</v>
      </c>
      <c r="S70" s="32" t="n">
        <f aca="false">Controls!B38</f>
        <v>0</v>
      </c>
      <c r="T70" s="32" t="str">
        <f aca="false">IF(P70=1,"AWARDED","CONSTITUTED")</f>
        <v>CONSTITUTED</v>
      </c>
    </row>
    <row r="71" customFormat="false" ht="15" hidden="false" customHeight="false" outlineLevel="0" collapsed="false">
      <c r="A71" s="9" t="s">
        <v>415</v>
      </c>
      <c r="B71" s="9" t="s">
        <v>329</v>
      </c>
      <c r="C71" s="9" t="s">
        <v>307</v>
      </c>
      <c r="D71" s="9" t="s">
        <v>395</v>
      </c>
      <c r="E71" s="9" t="s">
        <v>396</v>
      </c>
      <c r="F71" s="9" t="s">
        <v>341</v>
      </c>
      <c r="G71" s="9" t="s">
        <v>411</v>
      </c>
      <c r="H71" s="9" t="s">
        <v>412</v>
      </c>
      <c r="I71" s="31" t="n">
        <v>0.0666666666666667</v>
      </c>
      <c r="J71" s="9" t="n">
        <v>5</v>
      </c>
      <c r="K71" s="9" t="n">
        <v>7</v>
      </c>
      <c r="L71" s="9" t="n">
        <v>2</v>
      </c>
      <c r="M71" s="9" t="n">
        <v>4</v>
      </c>
      <c r="N71" s="11" t="s">
        <v>58</v>
      </c>
      <c r="O71" s="11" t="s">
        <v>58</v>
      </c>
      <c r="P71" s="32" t="n">
        <f aca="false">Controls!B34</f>
        <v>0</v>
      </c>
      <c r="Q71" s="33" t="n">
        <f aca="false">Controls!B35</f>
        <v>0</v>
      </c>
      <c r="R71" s="33" t="n">
        <f aca="false">Controls!B36</f>
        <v>0</v>
      </c>
      <c r="S71" s="32" t="n">
        <f aca="false">Controls!B38</f>
        <v>0</v>
      </c>
      <c r="T71" s="32" t="str">
        <f aca="false">IF(P71=1,"AWARDED","CONSTITUTED")</f>
        <v>CONSTITUTED</v>
      </c>
    </row>
    <row r="72" customFormat="false" ht="15" hidden="false" customHeight="false" outlineLevel="0" collapsed="false">
      <c r="A72" s="9" t="s">
        <v>416</v>
      </c>
      <c r="B72" s="9" t="s">
        <v>331</v>
      </c>
      <c r="C72" s="9" t="s">
        <v>307</v>
      </c>
      <c r="D72" s="9" t="s">
        <v>395</v>
      </c>
      <c r="E72" s="9" t="s">
        <v>396</v>
      </c>
      <c r="F72" s="9" t="s">
        <v>341</v>
      </c>
      <c r="G72" s="9" t="s">
        <v>411</v>
      </c>
      <c r="H72" s="9" t="s">
        <v>412</v>
      </c>
      <c r="I72" s="31" t="n">
        <v>0.0633333333333333</v>
      </c>
      <c r="J72" s="9" t="n">
        <v>5</v>
      </c>
      <c r="K72" s="9" t="n">
        <v>7</v>
      </c>
      <c r="L72" s="9" t="n">
        <v>2</v>
      </c>
      <c r="M72" s="9" t="n">
        <v>4</v>
      </c>
      <c r="N72" s="11" t="s">
        <v>58</v>
      </c>
      <c r="O72" s="11" t="s">
        <v>58</v>
      </c>
      <c r="P72" s="32" t="n">
        <f aca="false">Controls!B34</f>
        <v>0</v>
      </c>
      <c r="Q72" s="33" t="n">
        <f aca="false">Controls!B35</f>
        <v>0</v>
      </c>
      <c r="R72" s="33" t="n">
        <f aca="false">Controls!B36</f>
        <v>0</v>
      </c>
      <c r="S72" s="32" t="n">
        <f aca="false">Controls!B38</f>
        <v>0</v>
      </c>
      <c r="T72" s="32" t="str">
        <f aca="false">IF(P72=1,"AWARDED","CONSTITUTED")</f>
        <v>CONSTITUTED</v>
      </c>
    </row>
    <row r="73" customFormat="false" ht="15" hidden="false" customHeight="false" outlineLevel="0" collapsed="false">
      <c r="A73" s="9" t="s">
        <v>417</v>
      </c>
      <c r="B73" s="9" t="s">
        <v>319</v>
      </c>
      <c r="C73" s="9" t="s">
        <v>307</v>
      </c>
      <c r="D73" s="9" t="s">
        <v>418</v>
      </c>
      <c r="E73" s="9" t="s">
        <v>419</v>
      </c>
      <c r="F73" s="9" t="s">
        <v>322</v>
      </c>
      <c r="G73" s="9" t="s">
        <v>420</v>
      </c>
      <c r="H73" s="9" t="s">
        <v>421</v>
      </c>
      <c r="I73" s="31" t="n">
        <v>0.316666666666667</v>
      </c>
      <c r="J73" s="9" t="n">
        <v>5</v>
      </c>
      <c r="K73" s="9" t="n">
        <v>7</v>
      </c>
      <c r="L73" s="9" t="n">
        <v>2</v>
      </c>
      <c r="M73" s="9" t="n">
        <v>4</v>
      </c>
      <c r="N73" s="11" t="s">
        <v>58</v>
      </c>
      <c r="O73" s="11" t="s">
        <v>58</v>
      </c>
      <c r="P73" s="32" t="n">
        <f aca="false">Controls!B34</f>
        <v>0</v>
      </c>
      <c r="Q73" s="33" t="n">
        <f aca="false">Controls!B35</f>
        <v>0</v>
      </c>
      <c r="R73" s="33" t="n">
        <f aca="false">Controls!B36</f>
        <v>0</v>
      </c>
      <c r="S73" s="32" t="n">
        <f aca="false">Controls!B38</f>
        <v>0</v>
      </c>
      <c r="T73" s="32" t="str">
        <f aca="false">IF(P73=1,"AWARDED","CONSTITUTED")</f>
        <v>CONSTITUTED</v>
      </c>
    </row>
    <row r="74" customFormat="false" ht="15" hidden="false" customHeight="false" outlineLevel="0" collapsed="false">
      <c r="A74" s="9" t="s">
        <v>422</v>
      </c>
      <c r="B74" s="9" t="s">
        <v>326</v>
      </c>
      <c r="C74" s="9" t="s">
        <v>307</v>
      </c>
      <c r="D74" s="9" t="s">
        <v>418</v>
      </c>
      <c r="E74" s="9" t="s">
        <v>419</v>
      </c>
      <c r="F74" s="9" t="s">
        <v>322</v>
      </c>
      <c r="G74" s="9" t="s">
        <v>420</v>
      </c>
      <c r="H74" s="9" t="s">
        <v>421</v>
      </c>
      <c r="I74" s="31" t="n">
        <v>0.09</v>
      </c>
      <c r="J74" s="9" t="n">
        <v>5</v>
      </c>
      <c r="K74" s="9" t="n">
        <v>7</v>
      </c>
      <c r="L74" s="9" t="n">
        <v>2</v>
      </c>
      <c r="M74" s="9" t="n">
        <v>4</v>
      </c>
      <c r="N74" s="11" t="s">
        <v>58</v>
      </c>
      <c r="O74" s="11" t="s">
        <v>58</v>
      </c>
      <c r="P74" s="32" t="n">
        <f aca="false">Controls!B34</f>
        <v>0</v>
      </c>
      <c r="Q74" s="33" t="n">
        <f aca="false">Controls!B35</f>
        <v>0</v>
      </c>
      <c r="R74" s="33" t="n">
        <f aca="false">Controls!B36</f>
        <v>0</v>
      </c>
      <c r="S74" s="32" t="n">
        <f aca="false">Controls!B38</f>
        <v>0</v>
      </c>
      <c r="T74" s="32" t="str">
        <f aca="false">IF(P74=1,"AWARDED","CONSTITUTED")</f>
        <v>CONSTITUTED</v>
      </c>
    </row>
    <row r="75" customFormat="false" ht="15" hidden="false" customHeight="false" outlineLevel="0" collapsed="false">
      <c r="A75" s="9" t="s">
        <v>423</v>
      </c>
      <c r="B75" s="9" t="s">
        <v>326</v>
      </c>
      <c r="C75" s="9" t="s">
        <v>307</v>
      </c>
      <c r="D75" s="9" t="s">
        <v>418</v>
      </c>
      <c r="E75" s="9" t="s">
        <v>419</v>
      </c>
      <c r="F75" s="9" t="s">
        <v>322</v>
      </c>
      <c r="G75" s="9" t="s">
        <v>420</v>
      </c>
      <c r="H75" s="9" t="s">
        <v>421</v>
      </c>
      <c r="I75" s="31" t="n">
        <v>0.09</v>
      </c>
      <c r="J75" s="9" t="n">
        <v>5</v>
      </c>
      <c r="K75" s="9" t="n">
        <v>7</v>
      </c>
      <c r="L75" s="9" t="n">
        <v>2</v>
      </c>
      <c r="M75" s="9" t="n">
        <v>4</v>
      </c>
      <c r="N75" s="11" t="s">
        <v>58</v>
      </c>
      <c r="O75" s="11" t="s">
        <v>58</v>
      </c>
      <c r="P75" s="32" t="n">
        <f aca="false">Controls!B34</f>
        <v>0</v>
      </c>
      <c r="Q75" s="33" t="n">
        <f aca="false">Controls!B35</f>
        <v>0</v>
      </c>
      <c r="R75" s="33" t="n">
        <f aca="false">Controls!B36</f>
        <v>0</v>
      </c>
      <c r="S75" s="32" t="n">
        <f aca="false">Controls!B38</f>
        <v>0</v>
      </c>
      <c r="T75" s="32" t="str">
        <f aca="false">IF(P75=1,"AWARDED","CONSTITUTED")</f>
        <v>CONSTITUTED</v>
      </c>
    </row>
    <row r="76" customFormat="false" ht="15" hidden="false" customHeight="false" outlineLevel="0" collapsed="false">
      <c r="A76" s="9" t="s">
        <v>424</v>
      </c>
      <c r="B76" s="9" t="s">
        <v>329</v>
      </c>
      <c r="C76" s="9" t="s">
        <v>307</v>
      </c>
      <c r="D76" s="9" t="s">
        <v>418</v>
      </c>
      <c r="E76" s="9" t="s">
        <v>419</v>
      </c>
      <c r="F76" s="9" t="s">
        <v>322</v>
      </c>
      <c r="G76" s="9" t="s">
        <v>420</v>
      </c>
      <c r="H76" s="9" t="s">
        <v>421</v>
      </c>
      <c r="I76" s="31" t="n">
        <v>0.0666666666666667</v>
      </c>
      <c r="J76" s="9" t="n">
        <v>5</v>
      </c>
      <c r="K76" s="9" t="n">
        <v>7</v>
      </c>
      <c r="L76" s="9" t="n">
        <v>2</v>
      </c>
      <c r="M76" s="9" t="n">
        <v>4</v>
      </c>
      <c r="N76" s="11" t="s">
        <v>58</v>
      </c>
      <c r="O76" s="11" t="s">
        <v>58</v>
      </c>
      <c r="P76" s="32" t="n">
        <f aca="false">Controls!B34</f>
        <v>0</v>
      </c>
      <c r="Q76" s="33" t="n">
        <f aca="false">Controls!B35</f>
        <v>0</v>
      </c>
      <c r="R76" s="33" t="n">
        <f aca="false">Controls!B36</f>
        <v>0</v>
      </c>
      <c r="S76" s="32" t="n">
        <f aca="false">Controls!B38</f>
        <v>0</v>
      </c>
      <c r="T76" s="32" t="str">
        <f aca="false">IF(P76=1,"AWARDED","CONSTITUTED")</f>
        <v>CONSTITUTED</v>
      </c>
    </row>
    <row r="77" customFormat="false" ht="15" hidden="false" customHeight="false" outlineLevel="0" collapsed="false">
      <c r="A77" s="9" t="s">
        <v>425</v>
      </c>
      <c r="B77" s="9" t="s">
        <v>331</v>
      </c>
      <c r="C77" s="9" t="s">
        <v>307</v>
      </c>
      <c r="D77" s="9" t="s">
        <v>418</v>
      </c>
      <c r="E77" s="9" t="s">
        <v>419</v>
      </c>
      <c r="F77" s="9" t="s">
        <v>322</v>
      </c>
      <c r="G77" s="9" t="s">
        <v>420</v>
      </c>
      <c r="H77" s="9" t="s">
        <v>421</v>
      </c>
      <c r="I77" s="31" t="n">
        <v>0.0633333333333333</v>
      </c>
      <c r="J77" s="9" t="n">
        <v>5</v>
      </c>
      <c r="K77" s="9" t="n">
        <v>7</v>
      </c>
      <c r="L77" s="9" t="n">
        <v>2</v>
      </c>
      <c r="M77" s="9" t="n">
        <v>4</v>
      </c>
      <c r="N77" s="11" t="s">
        <v>58</v>
      </c>
      <c r="O77" s="11" t="s">
        <v>58</v>
      </c>
      <c r="P77" s="32" t="n">
        <f aca="false">Controls!B34</f>
        <v>0</v>
      </c>
      <c r="Q77" s="33" t="n">
        <f aca="false">Controls!B35</f>
        <v>0</v>
      </c>
      <c r="R77" s="33" t="n">
        <f aca="false">Controls!B36</f>
        <v>0</v>
      </c>
      <c r="S77" s="32" t="n">
        <f aca="false">Controls!B38</f>
        <v>0</v>
      </c>
      <c r="T77" s="32" t="str">
        <f aca="false">IF(P77=1,"AWARDED","CONSTITUTED")</f>
        <v>CONSTITUTED</v>
      </c>
    </row>
    <row r="78" customFormat="false" ht="15" hidden="false" customHeight="false" outlineLevel="0" collapsed="false">
      <c r="A78" s="9" t="s">
        <v>426</v>
      </c>
      <c r="B78" s="9" t="s">
        <v>319</v>
      </c>
      <c r="C78" s="9" t="s">
        <v>307</v>
      </c>
      <c r="D78" s="9" t="s">
        <v>418</v>
      </c>
      <c r="E78" s="9" t="s">
        <v>419</v>
      </c>
      <c r="F78" s="9" t="s">
        <v>333</v>
      </c>
      <c r="G78" s="9" t="s">
        <v>427</v>
      </c>
      <c r="H78" s="9" t="s">
        <v>428</v>
      </c>
      <c r="I78" s="31" t="n">
        <v>0.316666666666667</v>
      </c>
      <c r="J78" s="9" t="n">
        <v>5</v>
      </c>
      <c r="K78" s="9" t="n">
        <v>7</v>
      </c>
      <c r="L78" s="9" t="n">
        <v>2</v>
      </c>
      <c r="M78" s="9" t="n">
        <v>4</v>
      </c>
      <c r="N78" s="11" t="s">
        <v>58</v>
      </c>
      <c r="O78" s="11" t="s">
        <v>58</v>
      </c>
      <c r="P78" s="32" t="n">
        <f aca="false">Controls!B34</f>
        <v>0</v>
      </c>
      <c r="Q78" s="33" t="n">
        <f aca="false">Controls!B35</f>
        <v>0</v>
      </c>
      <c r="R78" s="33" t="n">
        <f aca="false">Controls!B36</f>
        <v>0</v>
      </c>
      <c r="S78" s="32" t="n">
        <f aca="false">Controls!B38</f>
        <v>0</v>
      </c>
      <c r="T78" s="32" t="str">
        <f aca="false">IF(P78=1,"AWARDED","CONSTITUTED")</f>
        <v>CONSTITUTED</v>
      </c>
    </row>
    <row r="79" customFormat="false" ht="15" hidden="false" customHeight="false" outlineLevel="0" collapsed="false">
      <c r="A79" s="9" t="s">
        <v>429</v>
      </c>
      <c r="B79" s="9" t="s">
        <v>326</v>
      </c>
      <c r="C79" s="9" t="s">
        <v>307</v>
      </c>
      <c r="D79" s="9" t="s">
        <v>418</v>
      </c>
      <c r="E79" s="9" t="s">
        <v>419</v>
      </c>
      <c r="F79" s="9" t="s">
        <v>333</v>
      </c>
      <c r="G79" s="9" t="s">
        <v>427</v>
      </c>
      <c r="H79" s="9" t="s">
        <v>428</v>
      </c>
      <c r="I79" s="31" t="n">
        <v>0.09</v>
      </c>
      <c r="J79" s="9" t="n">
        <v>5</v>
      </c>
      <c r="K79" s="9" t="n">
        <v>7</v>
      </c>
      <c r="L79" s="9" t="n">
        <v>2</v>
      </c>
      <c r="M79" s="9" t="n">
        <v>4</v>
      </c>
      <c r="N79" s="11" t="s">
        <v>58</v>
      </c>
      <c r="O79" s="11" t="s">
        <v>58</v>
      </c>
      <c r="P79" s="32" t="n">
        <f aca="false">Controls!B34</f>
        <v>0</v>
      </c>
      <c r="Q79" s="33" t="n">
        <f aca="false">Controls!B35</f>
        <v>0</v>
      </c>
      <c r="R79" s="33" t="n">
        <f aca="false">Controls!B36</f>
        <v>0</v>
      </c>
      <c r="S79" s="32" t="n">
        <f aca="false">Controls!B38</f>
        <v>0</v>
      </c>
      <c r="T79" s="32" t="str">
        <f aca="false">IF(P79=1,"AWARDED","CONSTITUTED")</f>
        <v>CONSTITUTED</v>
      </c>
    </row>
    <row r="80" customFormat="false" ht="15" hidden="false" customHeight="false" outlineLevel="0" collapsed="false">
      <c r="A80" s="9" t="s">
        <v>430</v>
      </c>
      <c r="B80" s="9" t="s">
        <v>326</v>
      </c>
      <c r="C80" s="9" t="s">
        <v>307</v>
      </c>
      <c r="D80" s="9" t="s">
        <v>418</v>
      </c>
      <c r="E80" s="9" t="s">
        <v>419</v>
      </c>
      <c r="F80" s="9" t="s">
        <v>333</v>
      </c>
      <c r="G80" s="9" t="s">
        <v>427</v>
      </c>
      <c r="H80" s="9" t="s">
        <v>428</v>
      </c>
      <c r="I80" s="31" t="n">
        <v>0.09</v>
      </c>
      <c r="J80" s="9" t="n">
        <v>5</v>
      </c>
      <c r="K80" s="9" t="n">
        <v>7</v>
      </c>
      <c r="L80" s="9" t="n">
        <v>2</v>
      </c>
      <c r="M80" s="9" t="n">
        <v>4</v>
      </c>
      <c r="N80" s="11" t="s">
        <v>58</v>
      </c>
      <c r="O80" s="11" t="s">
        <v>58</v>
      </c>
      <c r="P80" s="32" t="n">
        <f aca="false">Controls!B34</f>
        <v>0</v>
      </c>
      <c r="Q80" s="33" t="n">
        <f aca="false">Controls!B35</f>
        <v>0</v>
      </c>
      <c r="R80" s="33" t="n">
        <f aca="false">Controls!B36</f>
        <v>0</v>
      </c>
      <c r="S80" s="32" t="n">
        <f aca="false">Controls!B38</f>
        <v>0</v>
      </c>
      <c r="T80" s="32" t="str">
        <f aca="false">IF(P80=1,"AWARDED","CONSTITUTED")</f>
        <v>CONSTITUTED</v>
      </c>
    </row>
    <row r="81" customFormat="false" ht="15" hidden="false" customHeight="false" outlineLevel="0" collapsed="false">
      <c r="A81" s="9" t="s">
        <v>431</v>
      </c>
      <c r="B81" s="9" t="s">
        <v>329</v>
      </c>
      <c r="C81" s="9" t="s">
        <v>307</v>
      </c>
      <c r="D81" s="9" t="s">
        <v>418</v>
      </c>
      <c r="E81" s="9" t="s">
        <v>419</v>
      </c>
      <c r="F81" s="9" t="s">
        <v>333</v>
      </c>
      <c r="G81" s="9" t="s">
        <v>427</v>
      </c>
      <c r="H81" s="9" t="s">
        <v>428</v>
      </c>
      <c r="I81" s="31" t="n">
        <v>0.0666666666666667</v>
      </c>
      <c r="J81" s="9" t="n">
        <v>5</v>
      </c>
      <c r="K81" s="9" t="n">
        <v>7</v>
      </c>
      <c r="L81" s="9" t="n">
        <v>2</v>
      </c>
      <c r="M81" s="9" t="n">
        <v>4</v>
      </c>
      <c r="N81" s="11" t="s">
        <v>58</v>
      </c>
      <c r="O81" s="11" t="s">
        <v>58</v>
      </c>
      <c r="P81" s="32" t="n">
        <f aca="false">Controls!B34</f>
        <v>0</v>
      </c>
      <c r="Q81" s="33" t="n">
        <f aca="false">Controls!B35</f>
        <v>0</v>
      </c>
      <c r="R81" s="33" t="n">
        <f aca="false">Controls!B36</f>
        <v>0</v>
      </c>
      <c r="S81" s="32" t="n">
        <f aca="false">Controls!B38</f>
        <v>0</v>
      </c>
      <c r="T81" s="32" t="str">
        <f aca="false">IF(P81=1,"AWARDED","CONSTITUTED")</f>
        <v>CONSTITUTED</v>
      </c>
    </row>
    <row r="82" customFormat="false" ht="15" hidden="false" customHeight="false" outlineLevel="0" collapsed="false">
      <c r="A82" s="9" t="s">
        <v>432</v>
      </c>
      <c r="B82" s="9" t="s">
        <v>331</v>
      </c>
      <c r="C82" s="9" t="s">
        <v>307</v>
      </c>
      <c r="D82" s="9" t="s">
        <v>418</v>
      </c>
      <c r="E82" s="9" t="s">
        <v>419</v>
      </c>
      <c r="F82" s="9" t="s">
        <v>333</v>
      </c>
      <c r="G82" s="9" t="s">
        <v>427</v>
      </c>
      <c r="H82" s="9" t="s">
        <v>428</v>
      </c>
      <c r="I82" s="31" t="n">
        <v>0.0633333333333333</v>
      </c>
      <c r="J82" s="9" t="n">
        <v>5</v>
      </c>
      <c r="K82" s="9" t="n">
        <v>7</v>
      </c>
      <c r="L82" s="9" t="n">
        <v>2</v>
      </c>
      <c r="M82" s="9" t="n">
        <v>4</v>
      </c>
      <c r="N82" s="11" t="s">
        <v>58</v>
      </c>
      <c r="O82" s="11" t="s">
        <v>58</v>
      </c>
      <c r="P82" s="32" t="n">
        <f aca="false">Controls!B34</f>
        <v>0</v>
      </c>
      <c r="Q82" s="33" t="n">
        <f aca="false">Controls!B35</f>
        <v>0</v>
      </c>
      <c r="R82" s="33" t="n">
        <f aca="false">Controls!B36</f>
        <v>0</v>
      </c>
      <c r="S82" s="32" t="n">
        <f aca="false">Controls!B38</f>
        <v>0</v>
      </c>
      <c r="T82" s="32" t="str">
        <f aca="false">IF(P82=1,"AWARDED","CONSTITUTED")</f>
        <v>CONSTITUTED</v>
      </c>
    </row>
    <row r="83" customFormat="false" ht="15" hidden="false" customHeight="false" outlineLevel="0" collapsed="false">
      <c r="A83" s="9" t="s">
        <v>433</v>
      </c>
      <c r="B83" s="9" t="s">
        <v>319</v>
      </c>
      <c r="C83" s="9" t="s">
        <v>307</v>
      </c>
      <c r="D83" s="9" t="s">
        <v>418</v>
      </c>
      <c r="E83" s="9" t="s">
        <v>419</v>
      </c>
      <c r="F83" s="9" t="s">
        <v>341</v>
      </c>
      <c r="G83" s="9" t="s">
        <v>434</v>
      </c>
      <c r="H83" s="9" t="s">
        <v>435</v>
      </c>
      <c r="I83" s="31" t="n">
        <v>0.316666666666667</v>
      </c>
      <c r="J83" s="9" t="n">
        <v>5</v>
      </c>
      <c r="K83" s="9" t="n">
        <v>7</v>
      </c>
      <c r="L83" s="9" t="n">
        <v>2</v>
      </c>
      <c r="M83" s="9" t="n">
        <v>4</v>
      </c>
      <c r="N83" s="11" t="s">
        <v>58</v>
      </c>
      <c r="O83" s="11" t="s">
        <v>58</v>
      </c>
      <c r="P83" s="32" t="n">
        <f aca="false">Controls!B34</f>
        <v>0</v>
      </c>
      <c r="Q83" s="33" t="n">
        <f aca="false">Controls!B35</f>
        <v>0</v>
      </c>
      <c r="R83" s="33" t="n">
        <f aca="false">Controls!B36</f>
        <v>0</v>
      </c>
      <c r="S83" s="32" t="n">
        <f aca="false">Controls!B38</f>
        <v>0</v>
      </c>
      <c r="T83" s="32" t="str">
        <f aca="false">IF(P83=1,"AWARDED","CONSTITUTED")</f>
        <v>CONSTITUTED</v>
      </c>
    </row>
    <row r="84" customFormat="false" ht="15" hidden="false" customHeight="false" outlineLevel="0" collapsed="false">
      <c r="A84" s="9" t="s">
        <v>436</v>
      </c>
      <c r="B84" s="9" t="s">
        <v>326</v>
      </c>
      <c r="C84" s="9" t="s">
        <v>307</v>
      </c>
      <c r="D84" s="9" t="s">
        <v>418</v>
      </c>
      <c r="E84" s="9" t="s">
        <v>419</v>
      </c>
      <c r="F84" s="9" t="s">
        <v>341</v>
      </c>
      <c r="G84" s="9" t="s">
        <v>434</v>
      </c>
      <c r="H84" s="9" t="s">
        <v>435</v>
      </c>
      <c r="I84" s="31" t="n">
        <v>0.09</v>
      </c>
      <c r="J84" s="9" t="n">
        <v>5</v>
      </c>
      <c r="K84" s="9" t="n">
        <v>7</v>
      </c>
      <c r="L84" s="9" t="n">
        <v>2</v>
      </c>
      <c r="M84" s="9" t="n">
        <v>4</v>
      </c>
      <c r="N84" s="11" t="s">
        <v>58</v>
      </c>
      <c r="O84" s="11" t="s">
        <v>58</v>
      </c>
      <c r="P84" s="32" t="n">
        <f aca="false">Controls!B34</f>
        <v>0</v>
      </c>
      <c r="Q84" s="33" t="n">
        <f aca="false">Controls!B35</f>
        <v>0</v>
      </c>
      <c r="R84" s="33" t="n">
        <f aca="false">Controls!B36</f>
        <v>0</v>
      </c>
      <c r="S84" s="32" t="n">
        <f aca="false">Controls!B38</f>
        <v>0</v>
      </c>
      <c r="T84" s="32" t="str">
        <f aca="false">IF(P84=1,"AWARDED","CONSTITUTED")</f>
        <v>CONSTITUTED</v>
      </c>
    </row>
    <row r="85" customFormat="false" ht="15" hidden="false" customHeight="false" outlineLevel="0" collapsed="false">
      <c r="A85" s="9" t="s">
        <v>437</v>
      </c>
      <c r="B85" s="9" t="s">
        <v>326</v>
      </c>
      <c r="C85" s="9" t="s">
        <v>307</v>
      </c>
      <c r="D85" s="9" t="s">
        <v>418</v>
      </c>
      <c r="E85" s="9" t="s">
        <v>419</v>
      </c>
      <c r="F85" s="9" t="s">
        <v>341</v>
      </c>
      <c r="G85" s="9" t="s">
        <v>434</v>
      </c>
      <c r="H85" s="9" t="s">
        <v>435</v>
      </c>
      <c r="I85" s="31" t="n">
        <v>0.09</v>
      </c>
      <c r="J85" s="9" t="n">
        <v>5</v>
      </c>
      <c r="K85" s="9" t="n">
        <v>7</v>
      </c>
      <c r="L85" s="9" t="n">
        <v>2</v>
      </c>
      <c r="M85" s="9" t="n">
        <v>4</v>
      </c>
      <c r="N85" s="11" t="s">
        <v>58</v>
      </c>
      <c r="O85" s="11" t="s">
        <v>58</v>
      </c>
      <c r="P85" s="32" t="n">
        <f aca="false">Controls!B34</f>
        <v>0</v>
      </c>
      <c r="Q85" s="33" t="n">
        <f aca="false">Controls!B35</f>
        <v>0</v>
      </c>
      <c r="R85" s="33" t="n">
        <f aca="false">Controls!B36</f>
        <v>0</v>
      </c>
      <c r="S85" s="32" t="n">
        <f aca="false">Controls!B38</f>
        <v>0</v>
      </c>
      <c r="T85" s="32" t="str">
        <f aca="false">IF(P85=1,"AWARDED","CONSTITUTED")</f>
        <v>CONSTITUTED</v>
      </c>
    </row>
    <row r="86" customFormat="false" ht="15" hidden="false" customHeight="false" outlineLevel="0" collapsed="false">
      <c r="A86" s="9" t="s">
        <v>438</v>
      </c>
      <c r="B86" s="9" t="s">
        <v>329</v>
      </c>
      <c r="C86" s="9" t="s">
        <v>307</v>
      </c>
      <c r="D86" s="9" t="s">
        <v>418</v>
      </c>
      <c r="E86" s="9" t="s">
        <v>419</v>
      </c>
      <c r="F86" s="9" t="s">
        <v>341</v>
      </c>
      <c r="G86" s="9" t="s">
        <v>434</v>
      </c>
      <c r="H86" s="9" t="s">
        <v>435</v>
      </c>
      <c r="I86" s="31" t="n">
        <v>0.0666666666666667</v>
      </c>
      <c r="J86" s="9" t="n">
        <v>5</v>
      </c>
      <c r="K86" s="9" t="n">
        <v>7</v>
      </c>
      <c r="L86" s="9" t="n">
        <v>2</v>
      </c>
      <c r="M86" s="9" t="n">
        <v>4</v>
      </c>
      <c r="N86" s="11" t="s">
        <v>58</v>
      </c>
      <c r="O86" s="11" t="s">
        <v>58</v>
      </c>
      <c r="P86" s="32" t="n">
        <f aca="false">Controls!B34</f>
        <v>0</v>
      </c>
      <c r="Q86" s="33" t="n">
        <f aca="false">Controls!B35</f>
        <v>0</v>
      </c>
      <c r="R86" s="33" t="n">
        <f aca="false">Controls!B36</f>
        <v>0</v>
      </c>
      <c r="S86" s="32" t="n">
        <f aca="false">Controls!B38</f>
        <v>0</v>
      </c>
      <c r="T86" s="32" t="str">
        <f aca="false">IF(P86=1,"AWARDED","CONSTITUTED")</f>
        <v>CONSTITUTED</v>
      </c>
    </row>
    <row r="87" customFormat="false" ht="15" hidden="false" customHeight="false" outlineLevel="0" collapsed="false">
      <c r="A87" s="9" t="s">
        <v>439</v>
      </c>
      <c r="B87" s="9" t="s">
        <v>331</v>
      </c>
      <c r="C87" s="9" t="s">
        <v>307</v>
      </c>
      <c r="D87" s="9" t="s">
        <v>418</v>
      </c>
      <c r="E87" s="9" t="s">
        <v>419</v>
      </c>
      <c r="F87" s="9" t="s">
        <v>341</v>
      </c>
      <c r="G87" s="9" t="s">
        <v>434</v>
      </c>
      <c r="H87" s="9" t="s">
        <v>435</v>
      </c>
      <c r="I87" s="31" t="n">
        <v>0.0633333333333333</v>
      </c>
      <c r="J87" s="9" t="n">
        <v>5</v>
      </c>
      <c r="K87" s="9" t="n">
        <v>7</v>
      </c>
      <c r="L87" s="9" t="n">
        <v>2</v>
      </c>
      <c r="M87" s="9" t="n">
        <v>4</v>
      </c>
      <c r="N87" s="11" t="s">
        <v>58</v>
      </c>
      <c r="O87" s="11" t="s">
        <v>58</v>
      </c>
      <c r="P87" s="32" t="n">
        <f aca="false">Controls!B34</f>
        <v>0</v>
      </c>
      <c r="Q87" s="33" t="n">
        <f aca="false">Controls!B35</f>
        <v>0</v>
      </c>
      <c r="R87" s="33" t="n">
        <f aca="false">Controls!B36</f>
        <v>0</v>
      </c>
      <c r="S87" s="32" t="n">
        <f aca="false">Controls!B38</f>
        <v>0</v>
      </c>
      <c r="T87" s="32" t="str">
        <f aca="false">IF(P87=1,"AWARDED","CONSTITUTED")</f>
        <v>CONSTITUTED</v>
      </c>
    </row>
    <row r="88" customFormat="false" ht="15" hidden="false" customHeight="false" outlineLevel="0" collapsed="false">
      <c r="A88" s="9" t="s">
        <v>440</v>
      </c>
      <c r="B88" s="9" t="s">
        <v>319</v>
      </c>
      <c r="C88" s="9" t="s">
        <v>307</v>
      </c>
      <c r="D88" s="9" t="s">
        <v>441</v>
      </c>
      <c r="E88" s="9" t="s">
        <v>442</v>
      </c>
      <c r="F88" s="9" t="s">
        <v>322</v>
      </c>
      <c r="G88" s="9" t="s">
        <v>443</v>
      </c>
      <c r="H88" s="9" t="s">
        <v>444</v>
      </c>
      <c r="I88" s="31" t="n">
        <v>0.316666666666667</v>
      </c>
      <c r="J88" s="9" t="n">
        <v>5</v>
      </c>
      <c r="K88" s="9" t="n">
        <v>7</v>
      </c>
      <c r="L88" s="9" t="n">
        <v>2</v>
      </c>
      <c r="M88" s="9" t="n">
        <v>4</v>
      </c>
      <c r="N88" s="11" t="s">
        <v>58</v>
      </c>
      <c r="O88" s="11" t="s">
        <v>58</v>
      </c>
      <c r="P88" s="32" t="n">
        <f aca="false">Controls!B34</f>
        <v>0</v>
      </c>
      <c r="Q88" s="33" t="n">
        <f aca="false">Controls!B35</f>
        <v>0</v>
      </c>
      <c r="R88" s="33" t="n">
        <f aca="false">Controls!B36</f>
        <v>0</v>
      </c>
      <c r="S88" s="32" t="n">
        <f aca="false">Controls!B38</f>
        <v>0</v>
      </c>
      <c r="T88" s="32" t="str">
        <f aca="false">IF(P88=1,"AWARDED","CONSTITUTED")</f>
        <v>CONSTITUTED</v>
      </c>
    </row>
    <row r="89" customFormat="false" ht="15" hidden="false" customHeight="false" outlineLevel="0" collapsed="false">
      <c r="A89" s="9" t="s">
        <v>445</v>
      </c>
      <c r="B89" s="9" t="s">
        <v>326</v>
      </c>
      <c r="C89" s="9" t="s">
        <v>307</v>
      </c>
      <c r="D89" s="9" t="s">
        <v>441</v>
      </c>
      <c r="E89" s="9" t="s">
        <v>442</v>
      </c>
      <c r="F89" s="9" t="s">
        <v>322</v>
      </c>
      <c r="G89" s="9" t="s">
        <v>443</v>
      </c>
      <c r="H89" s="9" t="s">
        <v>444</v>
      </c>
      <c r="I89" s="31" t="n">
        <v>0.09</v>
      </c>
      <c r="J89" s="9" t="n">
        <v>5</v>
      </c>
      <c r="K89" s="9" t="n">
        <v>7</v>
      </c>
      <c r="L89" s="9" t="n">
        <v>2</v>
      </c>
      <c r="M89" s="9" t="n">
        <v>4</v>
      </c>
      <c r="N89" s="11" t="s">
        <v>58</v>
      </c>
      <c r="O89" s="11" t="s">
        <v>58</v>
      </c>
      <c r="P89" s="32" t="n">
        <f aca="false">Controls!B34</f>
        <v>0</v>
      </c>
      <c r="Q89" s="33" t="n">
        <f aca="false">Controls!B35</f>
        <v>0</v>
      </c>
      <c r="R89" s="33" t="n">
        <f aca="false">Controls!B36</f>
        <v>0</v>
      </c>
      <c r="S89" s="32" t="n">
        <f aca="false">Controls!B38</f>
        <v>0</v>
      </c>
      <c r="T89" s="32" t="str">
        <f aca="false">IF(P89=1,"AWARDED","CONSTITUTED")</f>
        <v>CONSTITUTED</v>
      </c>
    </row>
    <row r="90" customFormat="false" ht="15" hidden="false" customHeight="false" outlineLevel="0" collapsed="false">
      <c r="A90" s="9" t="s">
        <v>446</v>
      </c>
      <c r="B90" s="9" t="s">
        <v>326</v>
      </c>
      <c r="C90" s="9" t="s">
        <v>307</v>
      </c>
      <c r="D90" s="9" t="s">
        <v>441</v>
      </c>
      <c r="E90" s="9" t="s">
        <v>442</v>
      </c>
      <c r="F90" s="9" t="s">
        <v>322</v>
      </c>
      <c r="G90" s="9" t="s">
        <v>443</v>
      </c>
      <c r="H90" s="9" t="s">
        <v>444</v>
      </c>
      <c r="I90" s="31" t="n">
        <v>0.09</v>
      </c>
      <c r="J90" s="9" t="n">
        <v>5</v>
      </c>
      <c r="K90" s="9" t="n">
        <v>7</v>
      </c>
      <c r="L90" s="9" t="n">
        <v>2</v>
      </c>
      <c r="M90" s="9" t="n">
        <v>4</v>
      </c>
      <c r="N90" s="11" t="s">
        <v>58</v>
      </c>
      <c r="O90" s="11" t="s">
        <v>58</v>
      </c>
      <c r="P90" s="32" t="n">
        <f aca="false">Controls!B34</f>
        <v>0</v>
      </c>
      <c r="Q90" s="33" t="n">
        <f aca="false">Controls!B35</f>
        <v>0</v>
      </c>
      <c r="R90" s="33" t="n">
        <f aca="false">Controls!B36</f>
        <v>0</v>
      </c>
      <c r="S90" s="32" t="n">
        <f aca="false">Controls!B38</f>
        <v>0</v>
      </c>
      <c r="T90" s="32" t="str">
        <f aca="false">IF(P90=1,"AWARDED","CONSTITUTED")</f>
        <v>CONSTITUTED</v>
      </c>
    </row>
    <row r="91" customFormat="false" ht="15" hidden="false" customHeight="false" outlineLevel="0" collapsed="false">
      <c r="A91" s="9" t="s">
        <v>447</v>
      </c>
      <c r="B91" s="9" t="s">
        <v>329</v>
      </c>
      <c r="C91" s="9" t="s">
        <v>307</v>
      </c>
      <c r="D91" s="9" t="s">
        <v>441</v>
      </c>
      <c r="E91" s="9" t="s">
        <v>442</v>
      </c>
      <c r="F91" s="9" t="s">
        <v>322</v>
      </c>
      <c r="G91" s="9" t="s">
        <v>443</v>
      </c>
      <c r="H91" s="9" t="s">
        <v>444</v>
      </c>
      <c r="I91" s="31" t="n">
        <v>0.0666666666666667</v>
      </c>
      <c r="J91" s="9" t="n">
        <v>5</v>
      </c>
      <c r="K91" s="9" t="n">
        <v>7</v>
      </c>
      <c r="L91" s="9" t="n">
        <v>2</v>
      </c>
      <c r="M91" s="9" t="n">
        <v>4</v>
      </c>
      <c r="N91" s="11" t="s">
        <v>58</v>
      </c>
      <c r="O91" s="11" t="s">
        <v>58</v>
      </c>
      <c r="P91" s="32" t="n">
        <f aca="false">Controls!B34</f>
        <v>0</v>
      </c>
      <c r="Q91" s="33" t="n">
        <f aca="false">Controls!B35</f>
        <v>0</v>
      </c>
      <c r="R91" s="33" t="n">
        <f aca="false">Controls!B36</f>
        <v>0</v>
      </c>
      <c r="S91" s="32" t="n">
        <f aca="false">Controls!B38</f>
        <v>0</v>
      </c>
      <c r="T91" s="32" t="str">
        <f aca="false">IF(P91=1,"AWARDED","CONSTITUTED")</f>
        <v>CONSTITUTED</v>
      </c>
    </row>
    <row r="92" customFormat="false" ht="15" hidden="false" customHeight="false" outlineLevel="0" collapsed="false">
      <c r="A92" s="9" t="s">
        <v>448</v>
      </c>
      <c r="B92" s="9" t="s">
        <v>331</v>
      </c>
      <c r="C92" s="9" t="s">
        <v>307</v>
      </c>
      <c r="D92" s="9" t="s">
        <v>441</v>
      </c>
      <c r="E92" s="9" t="s">
        <v>442</v>
      </c>
      <c r="F92" s="9" t="s">
        <v>322</v>
      </c>
      <c r="G92" s="9" t="s">
        <v>443</v>
      </c>
      <c r="H92" s="9" t="s">
        <v>444</v>
      </c>
      <c r="I92" s="31" t="n">
        <v>0.0633333333333333</v>
      </c>
      <c r="J92" s="9" t="n">
        <v>5</v>
      </c>
      <c r="K92" s="9" t="n">
        <v>7</v>
      </c>
      <c r="L92" s="9" t="n">
        <v>2</v>
      </c>
      <c r="M92" s="9" t="n">
        <v>4</v>
      </c>
      <c r="N92" s="11" t="s">
        <v>58</v>
      </c>
      <c r="O92" s="11" t="s">
        <v>58</v>
      </c>
      <c r="P92" s="32" t="n">
        <f aca="false">Controls!B34</f>
        <v>0</v>
      </c>
      <c r="Q92" s="33" t="n">
        <f aca="false">Controls!B35</f>
        <v>0</v>
      </c>
      <c r="R92" s="33" t="n">
        <f aca="false">Controls!B36</f>
        <v>0</v>
      </c>
      <c r="S92" s="32" t="n">
        <f aca="false">Controls!B38</f>
        <v>0</v>
      </c>
      <c r="T92" s="32" t="str">
        <f aca="false">IF(P92=1,"AWARDED","CONSTITUTED")</f>
        <v>CONSTITUTED</v>
      </c>
    </row>
    <row r="93" customFormat="false" ht="15" hidden="false" customHeight="false" outlineLevel="0" collapsed="false">
      <c r="A93" s="9" t="s">
        <v>449</v>
      </c>
      <c r="B93" s="9" t="s">
        <v>319</v>
      </c>
      <c r="C93" s="9" t="s">
        <v>307</v>
      </c>
      <c r="D93" s="9" t="s">
        <v>441</v>
      </c>
      <c r="E93" s="9" t="s">
        <v>442</v>
      </c>
      <c r="F93" s="9" t="s">
        <v>333</v>
      </c>
      <c r="G93" s="9" t="s">
        <v>450</v>
      </c>
      <c r="H93" s="9" t="s">
        <v>451</v>
      </c>
      <c r="I93" s="31" t="n">
        <v>0.316666666666667</v>
      </c>
      <c r="J93" s="9" t="n">
        <v>5</v>
      </c>
      <c r="K93" s="9" t="n">
        <v>7</v>
      </c>
      <c r="L93" s="9" t="n">
        <v>2</v>
      </c>
      <c r="M93" s="9" t="n">
        <v>4</v>
      </c>
      <c r="N93" s="11" t="s">
        <v>58</v>
      </c>
      <c r="O93" s="11" t="s">
        <v>58</v>
      </c>
      <c r="P93" s="32" t="n">
        <f aca="false">Controls!B34</f>
        <v>0</v>
      </c>
      <c r="Q93" s="33" t="n">
        <f aca="false">Controls!B35</f>
        <v>0</v>
      </c>
      <c r="R93" s="33" t="n">
        <f aca="false">Controls!B36</f>
        <v>0</v>
      </c>
      <c r="S93" s="32" t="n">
        <f aca="false">Controls!B38</f>
        <v>0</v>
      </c>
      <c r="T93" s="32" t="str">
        <f aca="false">IF(P93=1,"AWARDED","CONSTITUTED")</f>
        <v>CONSTITUTED</v>
      </c>
    </row>
    <row r="94" customFormat="false" ht="15" hidden="false" customHeight="false" outlineLevel="0" collapsed="false">
      <c r="A94" s="9" t="s">
        <v>452</v>
      </c>
      <c r="B94" s="9" t="s">
        <v>326</v>
      </c>
      <c r="C94" s="9" t="s">
        <v>307</v>
      </c>
      <c r="D94" s="9" t="s">
        <v>441</v>
      </c>
      <c r="E94" s="9" t="s">
        <v>442</v>
      </c>
      <c r="F94" s="9" t="s">
        <v>333</v>
      </c>
      <c r="G94" s="9" t="s">
        <v>450</v>
      </c>
      <c r="H94" s="9" t="s">
        <v>451</v>
      </c>
      <c r="I94" s="31" t="n">
        <v>0.09</v>
      </c>
      <c r="J94" s="9" t="n">
        <v>5</v>
      </c>
      <c r="K94" s="9" t="n">
        <v>7</v>
      </c>
      <c r="L94" s="9" t="n">
        <v>2</v>
      </c>
      <c r="M94" s="9" t="n">
        <v>4</v>
      </c>
      <c r="N94" s="11" t="s">
        <v>58</v>
      </c>
      <c r="O94" s="11" t="s">
        <v>58</v>
      </c>
      <c r="P94" s="32" t="n">
        <f aca="false">Controls!B34</f>
        <v>0</v>
      </c>
      <c r="Q94" s="33" t="n">
        <f aca="false">Controls!B35</f>
        <v>0</v>
      </c>
      <c r="R94" s="33" t="n">
        <f aca="false">Controls!B36</f>
        <v>0</v>
      </c>
      <c r="S94" s="32" t="n">
        <f aca="false">Controls!B38</f>
        <v>0</v>
      </c>
      <c r="T94" s="32" t="str">
        <f aca="false">IF(P94=1,"AWARDED","CONSTITUTED")</f>
        <v>CONSTITUTED</v>
      </c>
    </row>
    <row r="95" customFormat="false" ht="15" hidden="false" customHeight="false" outlineLevel="0" collapsed="false">
      <c r="A95" s="9" t="s">
        <v>453</v>
      </c>
      <c r="B95" s="9" t="s">
        <v>326</v>
      </c>
      <c r="C95" s="9" t="s">
        <v>307</v>
      </c>
      <c r="D95" s="9" t="s">
        <v>441</v>
      </c>
      <c r="E95" s="9" t="s">
        <v>442</v>
      </c>
      <c r="F95" s="9" t="s">
        <v>333</v>
      </c>
      <c r="G95" s="9" t="s">
        <v>450</v>
      </c>
      <c r="H95" s="9" t="s">
        <v>451</v>
      </c>
      <c r="I95" s="31" t="n">
        <v>0.09</v>
      </c>
      <c r="J95" s="9" t="n">
        <v>5</v>
      </c>
      <c r="K95" s="9" t="n">
        <v>7</v>
      </c>
      <c r="L95" s="9" t="n">
        <v>2</v>
      </c>
      <c r="M95" s="9" t="n">
        <v>4</v>
      </c>
      <c r="N95" s="11" t="s">
        <v>58</v>
      </c>
      <c r="O95" s="11" t="s">
        <v>58</v>
      </c>
      <c r="P95" s="32" t="n">
        <f aca="false">Controls!B34</f>
        <v>0</v>
      </c>
      <c r="Q95" s="33" t="n">
        <f aca="false">Controls!B35</f>
        <v>0</v>
      </c>
      <c r="R95" s="33" t="n">
        <f aca="false">Controls!B36</f>
        <v>0</v>
      </c>
      <c r="S95" s="32" t="n">
        <f aca="false">Controls!B38</f>
        <v>0</v>
      </c>
      <c r="T95" s="32" t="str">
        <f aca="false">IF(P95=1,"AWARDED","CONSTITUTED")</f>
        <v>CONSTITUTED</v>
      </c>
    </row>
    <row r="96" customFormat="false" ht="15" hidden="false" customHeight="false" outlineLevel="0" collapsed="false">
      <c r="A96" s="9" t="s">
        <v>454</v>
      </c>
      <c r="B96" s="9" t="s">
        <v>329</v>
      </c>
      <c r="C96" s="9" t="s">
        <v>307</v>
      </c>
      <c r="D96" s="9" t="s">
        <v>441</v>
      </c>
      <c r="E96" s="9" t="s">
        <v>442</v>
      </c>
      <c r="F96" s="9" t="s">
        <v>333</v>
      </c>
      <c r="G96" s="9" t="s">
        <v>450</v>
      </c>
      <c r="H96" s="9" t="s">
        <v>451</v>
      </c>
      <c r="I96" s="31" t="n">
        <v>0.0666666666666667</v>
      </c>
      <c r="J96" s="9" t="n">
        <v>5</v>
      </c>
      <c r="K96" s="9" t="n">
        <v>7</v>
      </c>
      <c r="L96" s="9" t="n">
        <v>2</v>
      </c>
      <c r="M96" s="9" t="n">
        <v>4</v>
      </c>
      <c r="N96" s="11" t="s">
        <v>58</v>
      </c>
      <c r="O96" s="11" t="s">
        <v>58</v>
      </c>
      <c r="P96" s="32" t="n">
        <f aca="false">Controls!B34</f>
        <v>0</v>
      </c>
      <c r="Q96" s="33" t="n">
        <f aca="false">Controls!B35</f>
        <v>0</v>
      </c>
      <c r="R96" s="33" t="n">
        <f aca="false">Controls!B36</f>
        <v>0</v>
      </c>
      <c r="S96" s="32" t="n">
        <f aca="false">Controls!B38</f>
        <v>0</v>
      </c>
      <c r="T96" s="32" t="str">
        <f aca="false">IF(P96=1,"AWARDED","CONSTITUTED")</f>
        <v>CONSTITUTED</v>
      </c>
    </row>
    <row r="97" customFormat="false" ht="15" hidden="false" customHeight="false" outlineLevel="0" collapsed="false">
      <c r="A97" s="9" t="s">
        <v>455</v>
      </c>
      <c r="B97" s="9" t="s">
        <v>331</v>
      </c>
      <c r="C97" s="9" t="s">
        <v>307</v>
      </c>
      <c r="D97" s="9" t="s">
        <v>441</v>
      </c>
      <c r="E97" s="9" t="s">
        <v>442</v>
      </c>
      <c r="F97" s="9" t="s">
        <v>333</v>
      </c>
      <c r="G97" s="9" t="s">
        <v>450</v>
      </c>
      <c r="H97" s="9" t="s">
        <v>451</v>
      </c>
      <c r="I97" s="31" t="n">
        <v>0.0633333333333333</v>
      </c>
      <c r="J97" s="9" t="n">
        <v>5</v>
      </c>
      <c r="K97" s="9" t="n">
        <v>7</v>
      </c>
      <c r="L97" s="9" t="n">
        <v>2</v>
      </c>
      <c r="M97" s="9" t="n">
        <v>4</v>
      </c>
      <c r="N97" s="11" t="s">
        <v>58</v>
      </c>
      <c r="O97" s="11" t="s">
        <v>58</v>
      </c>
      <c r="P97" s="32" t="n">
        <f aca="false">Controls!B34</f>
        <v>0</v>
      </c>
      <c r="Q97" s="33" t="n">
        <f aca="false">Controls!B35</f>
        <v>0</v>
      </c>
      <c r="R97" s="33" t="n">
        <f aca="false">Controls!B36</f>
        <v>0</v>
      </c>
      <c r="S97" s="32" t="n">
        <f aca="false">Controls!B38</f>
        <v>0</v>
      </c>
      <c r="T97" s="32" t="str">
        <f aca="false">IF(P97=1,"AWARDED","CONSTITUTED")</f>
        <v>CONSTITUTED</v>
      </c>
    </row>
    <row r="98" customFormat="false" ht="15" hidden="false" customHeight="false" outlineLevel="0" collapsed="false">
      <c r="A98" s="9" t="s">
        <v>456</v>
      </c>
      <c r="B98" s="9" t="s">
        <v>319</v>
      </c>
      <c r="C98" s="9" t="s">
        <v>307</v>
      </c>
      <c r="D98" s="9" t="s">
        <v>441</v>
      </c>
      <c r="E98" s="9" t="s">
        <v>442</v>
      </c>
      <c r="F98" s="9" t="s">
        <v>341</v>
      </c>
      <c r="G98" s="9" t="s">
        <v>457</v>
      </c>
      <c r="H98" s="9" t="s">
        <v>458</v>
      </c>
      <c r="I98" s="31" t="n">
        <v>0.316666666666667</v>
      </c>
      <c r="J98" s="9" t="n">
        <v>5</v>
      </c>
      <c r="K98" s="9" t="n">
        <v>7</v>
      </c>
      <c r="L98" s="9" t="n">
        <v>2</v>
      </c>
      <c r="M98" s="9" t="n">
        <v>4</v>
      </c>
      <c r="N98" s="11" t="s">
        <v>58</v>
      </c>
      <c r="O98" s="11" t="s">
        <v>58</v>
      </c>
      <c r="P98" s="32" t="n">
        <f aca="false">Controls!B34</f>
        <v>0</v>
      </c>
      <c r="Q98" s="33" t="n">
        <f aca="false">Controls!B35</f>
        <v>0</v>
      </c>
      <c r="R98" s="33" t="n">
        <f aca="false">Controls!B36</f>
        <v>0</v>
      </c>
      <c r="S98" s="32" t="n">
        <f aca="false">Controls!B38</f>
        <v>0</v>
      </c>
      <c r="T98" s="32" t="str">
        <f aca="false">IF(P98=1,"AWARDED","CONSTITUTED")</f>
        <v>CONSTITUTED</v>
      </c>
    </row>
    <row r="99" customFormat="false" ht="15" hidden="false" customHeight="false" outlineLevel="0" collapsed="false">
      <c r="A99" s="9" t="s">
        <v>459</v>
      </c>
      <c r="B99" s="9" t="s">
        <v>326</v>
      </c>
      <c r="C99" s="9" t="s">
        <v>307</v>
      </c>
      <c r="D99" s="9" t="s">
        <v>441</v>
      </c>
      <c r="E99" s="9" t="s">
        <v>442</v>
      </c>
      <c r="F99" s="9" t="s">
        <v>341</v>
      </c>
      <c r="G99" s="9" t="s">
        <v>457</v>
      </c>
      <c r="H99" s="9" t="s">
        <v>458</v>
      </c>
      <c r="I99" s="31" t="n">
        <v>0.09</v>
      </c>
      <c r="J99" s="9" t="n">
        <v>5</v>
      </c>
      <c r="K99" s="9" t="n">
        <v>7</v>
      </c>
      <c r="L99" s="9" t="n">
        <v>2</v>
      </c>
      <c r="M99" s="9" t="n">
        <v>4</v>
      </c>
      <c r="N99" s="11" t="s">
        <v>58</v>
      </c>
      <c r="O99" s="11" t="s">
        <v>58</v>
      </c>
      <c r="P99" s="32" t="n">
        <f aca="false">Controls!B34</f>
        <v>0</v>
      </c>
      <c r="Q99" s="33" t="n">
        <f aca="false">Controls!B35</f>
        <v>0</v>
      </c>
      <c r="R99" s="33" t="n">
        <f aca="false">Controls!B36</f>
        <v>0</v>
      </c>
      <c r="S99" s="32" t="n">
        <f aca="false">Controls!B38</f>
        <v>0</v>
      </c>
      <c r="T99" s="32" t="str">
        <f aca="false">IF(P99=1,"AWARDED","CONSTITUTED")</f>
        <v>CONSTITUTED</v>
      </c>
    </row>
    <row r="100" customFormat="false" ht="15" hidden="false" customHeight="false" outlineLevel="0" collapsed="false">
      <c r="A100" s="9" t="s">
        <v>460</v>
      </c>
      <c r="B100" s="9" t="s">
        <v>326</v>
      </c>
      <c r="C100" s="9" t="s">
        <v>307</v>
      </c>
      <c r="D100" s="9" t="s">
        <v>441</v>
      </c>
      <c r="E100" s="9" t="s">
        <v>442</v>
      </c>
      <c r="F100" s="9" t="s">
        <v>341</v>
      </c>
      <c r="G100" s="9" t="s">
        <v>457</v>
      </c>
      <c r="H100" s="9" t="s">
        <v>458</v>
      </c>
      <c r="I100" s="31" t="n">
        <v>0.09</v>
      </c>
      <c r="J100" s="9" t="n">
        <v>5</v>
      </c>
      <c r="K100" s="9" t="n">
        <v>7</v>
      </c>
      <c r="L100" s="9" t="n">
        <v>2</v>
      </c>
      <c r="M100" s="9" t="n">
        <v>4</v>
      </c>
      <c r="N100" s="11" t="s">
        <v>58</v>
      </c>
      <c r="O100" s="11" t="s">
        <v>58</v>
      </c>
      <c r="P100" s="32" t="n">
        <f aca="false">Controls!B34</f>
        <v>0</v>
      </c>
      <c r="Q100" s="33" t="n">
        <f aca="false">Controls!B35</f>
        <v>0</v>
      </c>
      <c r="R100" s="33" t="n">
        <f aca="false">Controls!B36</f>
        <v>0</v>
      </c>
      <c r="S100" s="32" t="n">
        <f aca="false">Controls!B38</f>
        <v>0</v>
      </c>
      <c r="T100" s="32" t="str">
        <f aca="false">IF(P100=1,"AWARDED","CONSTITUTED")</f>
        <v>CONSTITUTED</v>
      </c>
    </row>
    <row r="101" customFormat="false" ht="15" hidden="false" customHeight="false" outlineLevel="0" collapsed="false">
      <c r="A101" s="9" t="s">
        <v>461</v>
      </c>
      <c r="B101" s="9" t="s">
        <v>329</v>
      </c>
      <c r="C101" s="9" t="s">
        <v>307</v>
      </c>
      <c r="D101" s="9" t="s">
        <v>441</v>
      </c>
      <c r="E101" s="9" t="s">
        <v>442</v>
      </c>
      <c r="F101" s="9" t="s">
        <v>341</v>
      </c>
      <c r="G101" s="9" t="s">
        <v>457</v>
      </c>
      <c r="H101" s="9" t="s">
        <v>458</v>
      </c>
      <c r="I101" s="31" t="n">
        <v>0.0666666666666667</v>
      </c>
      <c r="J101" s="9" t="n">
        <v>5</v>
      </c>
      <c r="K101" s="9" t="n">
        <v>7</v>
      </c>
      <c r="L101" s="9" t="n">
        <v>2</v>
      </c>
      <c r="M101" s="9" t="n">
        <v>4</v>
      </c>
      <c r="N101" s="11" t="s">
        <v>58</v>
      </c>
      <c r="O101" s="11" t="s">
        <v>58</v>
      </c>
      <c r="P101" s="32" t="n">
        <f aca="false">Controls!B34</f>
        <v>0</v>
      </c>
      <c r="Q101" s="33" t="n">
        <f aca="false">Controls!B35</f>
        <v>0</v>
      </c>
      <c r="R101" s="33" t="n">
        <f aca="false">Controls!B36</f>
        <v>0</v>
      </c>
      <c r="S101" s="32" t="n">
        <f aca="false">Controls!B38</f>
        <v>0</v>
      </c>
      <c r="T101" s="32" t="str">
        <f aca="false">IF(P101=1,"AWARDED","CONSTITUTED")</f>
        <v>CONSTITUTED</v>
      </c>
    </row>
    <row r="102" customFormat="false" ht="15" hidden="false" customHeight="false" outlineLevel="0" collapsed="false">
      <c r="A102" s="9" t="s">
        <v>462</v>
      </c>
      <c r="B102" s="9" t="s">
        <v>331</v>
      </c>
      <c r="C102" s="9" t="s">
        <v>307</v>
      </c>
      <c r="D102" s="9" t="s">
        <v>441</v>
      </c>
      <c r="E102" s="9" t="s">
        <v>442</v>
      </c>
      <c r="F102" s="9" t="s">
        <v>341</v>
      </c>
      <c r="G102" s="9" t="s">
        <v>457</v>
      </c>
      <c r="H102" s="9" t="s">
        <v>458</v>
      </c>
      <c r="I102" s="31" t="n">
        <v>0.0633333333333333</v>
      </c>
      <c r="J102" s="9" t="n">
        <v>5</v>
      </c>
      <c r="K102" s="9" t="n">
        <v>7</v>
      </c>
      <c r="L102" s="9" t="n">
        <v>2</v>
      </c>
      <c r="M102" s="9" t="n">
        <v>4</v>
      </c>
      <c r="N102" s="11" t="s">
        <v>58</v>
      </c>
      <c r="O102" s="11" t="s">
        <v>58</v>
      </c>
      <c r="P102" s="32" t="n">
        <f aca="false">Controls!B34</f>
        <v>0</v>
      </c>
      <c r="Q102" s="33" t="n">
        <f aca="false">Controls!B35</f>
        <v>0</v>
      </c>
      <c r="R102" s="33" t="n">
        <f aca="false">Controls!B36</f>
        <v>0</v>
      </c>
      <c r="S102" s="32" t="n">
        <f aca="false">Controls!B38</f>
        <v>0</v>
      </c>
      <c r="T102" s="32" t="str">
        <f aca="false">IF(P102=1,"AWARDED","CONSTITUTED")</f>
        <v>CONSTITUTED</v>
      </c>
    </row>
    <row r="103" customFormat="false" ht="15" hidden="false" customHeight="false" outlineLevel="0" collapsed="false">
      <c r="A103" s="9" t="s">
        <v>463</v>
      </c>
      <c r="B103" s="9" t="s">
        <v>464</v>
      </c>
      <c r="C103" s="9" t="s">
        <v>465</v>
      </c>
      <c r="D103" s="9" t="s">
        <v>320</v>
      </c>
      <c r="E103" s="9" t="s">
        <v>321</v>
      </c>
      <c r="F103" s="9" t="s">
        <v>466</v>
      </c>
      <c r="G103" s="9" t="s">
        <v>467</v>
      </c>
      <c r="H103" s="9" t="s">
        <v>312</v>
      </c>
      <c r="I103" s="31" t="n">
        <v>0.50047461808185</v>
      </c>
      <c r="J103" s="9" t="n">
        <v>5</v>
      </c>
      <c r="K103" s="9" t="n">
        <v>7</v>
      </c>
      <c r="L103" s="9" t="n">
        <v>2</v>
      </c>
      <c r="M103" s="9" t="n">
        <v>4</v>
      </c>
      <c r="N103" s="11" t="s">
        <v>58</v>
      </c>
      <c r="O103" s="11" t="s">
        <v>58</v>
      </c>
      <c r="P103" s="32" t="n">
        <f aca="false">Controls!B34</f>
        <v>0</v>
      </c>
      <c r="Q103" s="33" t="n">
        <f aca="false">Controls!B35</f>
        <v>0</v>
      </c>
      <c r="R103" s="33" t="n">
        <f aca="false">Controls!B36</f>
        <v>0</v>
      </c>
      <c r="S103" s="32" t="n">
        <f aca="false">Controls!B38</f>
        <v>0</v>
      </c>
      <c r="T103" s="32" t="str">
        <f aca="false">IF(P103=1,"AWARDED","CONSTITUTED")</f>
        <v>CONSTITUTED</v>
      </c>
    </row>
    <row r="104" customFormat="false" ht="15" hidden="false" customHeight="false" outlineLevel="0" collapsed="false">
      <c r="A104" s="9" t="s">
        <v>468</v>
      </c>
      <c r="B104" s="9" t="s">
        <v>464</v>
      </c>
      <c r="C104" s="9" t="s">
        <v>465</v>
      </c>
      <c r="D104" s="9" t="s">
        <v>349</v>
      </c>
      <c r="E104" s="9" t="s">
        <v>350</v>
      </c>
      <c r="F104" s="9" t="s">
        <v>466</v>
      </c>
      <c r="G104" s="9" t="s">
        <v>469</v>
      </c>
      <c r="H104" s="9" t="s">
        <v>312</v>
      </c>
      <c r="I104" s="31" t="n">
        <v>0.51649348177396</v>
      </c>
      <c r="J104" s="9" t="n">
        <v>5</v>
      </c>
      <c r="K104" s="9" t="n">
        <v>7</v>
      </c>
      <c r="L104" s="9" t="n">
        <v>2</v>
      </c>
      <c r="M104" s="9" t="n">
        <v>4</v>
      </c>
      <c r="N104" s="11" t="s">
        <v>58</v>
      </c>
      <c r="O104" s="11" t="s">
        <v>58</v>
      </c>
      <c r="P104" s="32" t="n">
        <f aca="false">Controls!B34</f>
        <v>0</v>
      </c>
      <c r="Q104" s="33" t="n">
        <f aca="false">Controls!B35</f>
        <v>0</v>
      </c>
      <c r="R104" s="33" t="n">
        <f aca="false">Controls!B36</f>
        <v>0</v>
      </c>
      <c r="S104" s="32" t="n">
        <f aca="false">Controls!B38</f>
        <v>0</v>
      </c>
      <c r="T104" s="32" t="str">
        <f aca="false">IF(P104=1,"AWARDED","CONSTITUTED")</f>
        <v>CONSTITUTED</v>
      </c>
    </row>
    <row r="105" customFormat="false" ht="15" hidden="false" customHeight="false" outlineLevel="0" collapsed="false">
      <c r="A105" s="9" t="s">
        <v>470</v>
      </c>
      <c r="B105" s="9" t="s">
        <v>464</v>
      </c>
      <c r="C105" s="9" t="s">
        <v>465</v>
      </c>
      <c r="D105" s="9" t="s">
        <v>372</v>
      </c>
      <c r="E105" s="9" t="s">
        <v>373</v>
      </c>
      <c r="F105" s="9" t="s">
        <v>466</v>
      </c>
      <c r="G105" s="9" t="s">
        <v>471</v>
      </c>
      <c r="H105" s="9" t="s">
        <v>312</v>
      </c>
      <c r="I105" s="31" t="n">
        <v>0.307221654067133</v>
      </c>
      <c r="J105" s="9" t="n">
        <v>5</v>
      </c>
      <c r="K105" s="9" t="n">
        <v>7</v>
      </c>
      <c r="L105" s="9" t="n">
        <v>2</v>
      </c>
      <c r="M105" s="9" t="n">
        <v>4</v>
      </c>
      <c r="N105" s="11" t="s">
        <v>58</v>
      </c>
      <c r="O105" s="11" t="s">
        <v>58</v>
      </c>
      <c r="P105" s="32" t="n">
        <f aca="false">Controls!B34</f>
        <v>0</v>
      </c>
      <c r="Q105" s="33" t="n">
        <f aca="false">Controls!B35</f>
        <v>0</v>
      </c>
      <c r="R105" s="33" t="n">
        <f aca="false">Controls!B36</f>
        <v>0</v>
      </c>
      <c r="S105" s="32" t="n">
        <f aca="false">Controls!B38</f>
        <v>0</v>
      </c>
      <c r="T105" s="32" t="str">
        <f aca="false">IF(P105=1,"AWARDED","CONSTITUTED")</f>
        <v>CONSTITUTED</v>
      </c>
    </row>
    <row r="106" customFormat="false" ht="15" hidden="false" customHeight="false" outlineLevel="0" collapsed="false">
      <c r="A106" s="9" t="s">
        <v>472</v>
      </c>
      <c r="B106" s="9" t="s">
        <v>464</v>
      </c>
      <c r="C106" s="9" t="s">
        <v>465</v>
      </c>
      <c r="D106" s="9" t="s">
        <v>395</v>
      </c>
      <c r="E106" s="9" t="s">
        <v>396</v>
      </c>
      <c r="F106" s="9" t="s">
        <v>466</v>
      </c>
      <c r="G106" s="9" t="s">
        <v>473</v>
      </c>
      <c r="H106" s="9" t="s">
        <v>312</v>
      </c>
      <c r="I106" s="31" t="n">
        <v>0.899412819320565</v>
      </c>
      <c r="J106" s="9" t="n">
        <v>5</v>
      </c>
      <c r="K106" s="9" t="n">
        <v>7</v>
      </c>
      <c r="L106" s="9" t="n">
        <v>2</v>
      </c>
      <c r="M106" s="9" t="n">
        <v>4</v>
      </c>
      <c r="N106" s="11" t="s">
        <v>58</v>
      </c>
      <c r="O106" s="11" t="s">
        <v>58</v>
      </c>
      <c r="P106" s="32" t="n">
        <f aca="false">Controls!B34</f>
        <v>0</v>
      </c>
      <c r="Q106" s="33" t="n">
        <f aca="false">Controls!B35</f>
        <v>0</v>
      </c>
      <c r="R106" s="33" t="n">
        <f aca="false">Controls!B36</f>
        <v>0</v>
      </c>
      <c r="S106" s="32" t="n">
        <f aca="false">Controls!B38</f>
        <v>0</v>
      </c>
      <c r="T106" s="32" t="str">
        <f aca="false">IF(P106=1,"AWARDED","CONSTITUTED")</f>
        <v>CONSTITUTED</v>
      </c>
    </row>
    <row r="107" customFormat="false" ht="15" hidden="false" customHeight="false" outlineLevel="0" collapsed="false">
      <c r="A107" s="9" t="s">
        <v>474</v>
      </c>
      <c r="B107" s="9" t="s">
        <v>464</v>
      </c>
      <c r="C107" s="9" t="s">
        <v>465</v>
      </c>
      <c r="D107" s="9" t="s">
        <v>418</v>
      </c>
      <c r="E107" s="9" t="s">
        <v>419</v>
      </c>
      <c r="F107" s="9" t="s">
        <v>466</v>
      </c>
      <c r="G107" s="9" t="s">
        <v>475</v>
      </c>
      <c r="H107" s="9" t="s">
        <v>312</v>
      </c>
      <c r="I107" s="31" t="n">
        <v>0.860712452941095</v>
      </c>
      <c r="J107" s="9" t="n">
        <v>5</v>
      </c>
      <c r="K107" s="9" t="n">
        <v>7</v>
      </c>
      <c r="L107" s="9" t="n">
        <v>2</v>
      </c>
      <c r="M107" s="9" t="n">
        <v>4</v>
      </c>
      <c r="N107" s="11" t="s">
        <v>58</v>
      </c>
      <c r="O107" s="11" t="s">
        <v>58</v>
      </c>
      <c r="P107" s="32" t="n">
        <f aca="false">Controls!B34</f>
        <v>0</v>
      </c>
      <c r="Q107" s="33" t="n">
        <f aca="false">Controls!B35</f>
        <v>0</v>
      </c>
      <c r="R107" s="33" t="n">
        <f aca="false">Controls!B36</f>
        <v>0</v>
      </c>
      <c r="S107" s="32" t="n">
        <f aca="false">Controls!B38</f>
        <v>0</v>
      </c>
      <c r="T107" s="32" t="str">
        <f aca="false">IF(P107=1,"AWARDED","CONSTITUTED")</f>
        <v>CONSTITUTED</v>
      </c>
    </row>
    <row r="108" customFormat="false" ht="15" hidden="false" customHeight="false" outlineLevel="0" collapsed="false">
      <c r="A108" s="12" t="s">
        <v>476</v>
      </c>
      <c r="B108" s="12" t="s">
        <v>464</v>
      </c>
      <c r="C108" s="12" t="s">
        <v>465</v>
      </c>
      <c r="D108" s="12" t="s">
        <v>441</v>
      </c>
      <c r="E108" s="12" t="s">
        <v>442</v>
      </c>
      <c r="F108" s="12" t="s">
        <v>466</v>
      </c>
      <c r="G108" s="12" t="s">
        <v>477</v>
      </c>
      <c r="H108" s="12" t="s">
        <v>312</v>
      </c>
      <c r="I108" s="34" t="n">
        <v>0.502597793135963</v>
      </c>
      <c r="J108" s="12" t="n">
        <v>5</v>
      </c>
      <c r="K108" s="12" t="n">
        <v>7</v>
      </c>
      <c r="L108" s="12" t="n">
        <v>2</v>
      </c>
      <c r="M108" s="12" t="n">
        <v>4</v>
      </c>
      <c r="N108" s="14" t="s">
        <v>58</v>
      </c>
      <c r="O108" s="14" t="s">
        <v>58</v>
      </c>
      <c r="P108" s="35" t="n">
        <f aca="false">Controls!B34</f>
        <v>0</v>
      </c>
      <c r="Q108" s="36" t="n">
        <f aca="false">Controls!B35</f>
        <v>0</v>
      </c>
      <c r="R108" s="36" t="n">
        <f aca="false">Controls!B36</f>
        <v>0</v>
      </c>
      <c r="S108" s="35" t="n">
        <f aca="false">Controls!B38</f>
        <v>0</v>
      </c>
      <c r="T108" s="35" t="str">
        <f aca="false">IF(P108=1,"AWARDED","CONSTITUTED")</f>
        <v>CONSTITUTED</v>
      </c>
    </row>
  </sheetData>
  <mergeCells count="2">
    <mergeCell ref="A2:T2"/>
    <mergeCell ref="A4:T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64"/>
    <col collapsed="false" customWidth="true" hidden="false" outlineLevel="0" max="4" min="4" style="0" width="31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45"/>
  </cols>
  <sheetData>
    <row r="2" customFormat="false" ht="24" hidden="false" customHeight="true" outlineLevel="0" collapsed="false">
      <c r="A2" s="1" t="s">
        <v>478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479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480</v>
      </c>
      <c r="B6" s="6" t="s">
        <v>5</v>
      </c>
      <c r="C6" s="6" t="s">
        <v>481</v>
      </c>
      <c r="D6" s="6" t="s">
        <v>482</v>
      </c>
      <c r="E6" s="6" t="s">
        <v>483</v>
      </c>
      <c r="F6" s="6" t="s">
        <v>484</v>
      </c>
      <c r="G6" s="6" t="s">
        <v>485</v>
      </c>
      <c r="H6" s="7" t="s">
        <v>486</v>
      </c>
    </row>
    <row r="7" customFormat="false" ht="15" hidden="false" customHeight="false" outlineLevel="0" collapsed="false">
      <c r="A7" s="8" t="s">
        <v>487</v>
      </c>
      <c r="B7" s="8" t="s">
        <v>488</v>
      </c>
      <c r="C7" s="8" t="s">
        <v>489</v>
      </c>
      <c r="D7" s="8" t="s">
        <v>490</v>
      </c>
      <c r="E7" s="8" t="s">
        <v>491</v>
      </c>
      <c r="F7" s="8" t="s">
        <v>492</v>
      </c>
      <c r="G7" s="8" t="s">
        <v>488</v>
      </c>
      <c r="H7" s="8" t="s">
        <v>493</v>
      </c>
    </row>
    <row r="8" customFormat="false" ht="15" hidden="false" customHeight="false" outlineLevel="0" collapsed="false">
      <c r="A8" s="9" t="s">
        <v>494</v>
      </c>
      <c r="B8" s="9" t="s">
        <v>492</v>
      </c>
      <c r="C8" s="9" t="s">
        <v>495</v>
      </c>
      <c r="D8" s="9" t="s">
        <v>491</v>
      </c>
      <c r="E8" s="9" t="s">
        <v>496</v>
      </c>
      <c r="F8" s="9" t="s">
        <v>497</v>
      </c>
      <c r="G8" s="9" t="s">
        <v>498</v>
      </c>
      <c r="H8" s="9" t="s">
        <v>493</v>
      </c>
    </row>
    <row r="9" customFormat="false" ht="15" hidden="false" customHeight="false" outlineLevel="0" collapsed="false">
      <c r="A9" s="9" t="s">
        <v>499</v>
      </c>
      <c r="B9" s="9" t="s">
        <v>497</v>
      </c>
      <c r="C9" s="9" t="s">
        <v>500</v>
      </c>
      <c r="D9" s="9" t="s">
        <v>496</v>
      </c>
      <c r="E9" s="9" t="s">
        <v>501</v>
      </c>
      <c r="F9" s="9" t="s">
        <v>502</v>
      </c>
      <c r="G9" s="9" t="s">
        <v>503</v>
      </c>
      <c r="H9" s="9" t="s">
        <v>493</v>
      </c>
    </row>
    <row r="10" customFormat="false" ht="15" hidden="false" customHeight="false" outlineLevel="0" collapsed="false">
      <c r="A10" s="9" t="s">
        <v>504</v>
      </c>
      <c r="B10" s="9" t="s">
        <v>502</v>
      </c>
      <c r="C10" s="9" t="s">
        <v>505</v>
      </c>
      <c r="D10" s="9" t="s">
        <v>501</v>
      </c>
      <c r="E10" s="9" t="s">
        <v>506</v>
      </c>
      <c r="F10" s="9" t="s">
        <v>507</v>
      </c>
      <c r="G10" s="9" t="s">
        <v>508</v>
      </c>
      <c r="H10" s="9" t="s">
        <v>493</v>
      </c>
    </row>
    <row r="11" customFormat="false" ht="15" hidden="false" customHeight="false" outlineLevel="0" collapsed="false">
      <c r="A11" s="9" t="s">
        <v>509</v>
      </c>
      <c r="B11" s="9" t="s">
        <v>507</v>
      </c>
      <c r="C11" s="9" t="s">
        <v>510</v>
      </c>
      <c r="D11" s="9" t="s">
        <v>506</v>
      </c>
      <c r="E11" s="9" t="s">
        <v>511</v>
      </c>
      <c r="F11" s="9" t="s">
        <v>512</v>
      </c>
      <c r="G11" s="9" t="s">
        <v>513</v>
      </c>
      <c r="H11" s="9" t="s">
        <v>493</v>
      </c>
    </row>
    <row r="12" customFormat="false" ht="15" hidden="false" customHeight="false" outlineLevel="0" collapsed="false">
      <c r="A12" s="9" t="s">
        <v>514</v>
      </c>
      <c r="B12" s="9" t="s">
        <v>512</v>
      </c>
      <c r="C12" s="9" t="s">
        <v>515</v>
      </c>
      <c r="D12" s="9" t="s">
        <v>511</v>
      </c>
      <c r="E12" s="9" t="s">
        <v>516</v>
      </c>
      <c r="F12" s="9" t="s">
        <v>517</v>
      </c>
      <c r="G12" s="9" t="s">
        <v>518</v>
      </c>
      <c r="H12" s="9" t="s">
        <v>493</v>
      </c>
    </row>
    <row r="13" customFormat="false" ht="15" hidden="false" customHeight="false" outlineLevel="0" collapsed="false">
      <c r="A13" s="9" t="s">
        <v>519</v>
      </c>
      <c r="B13" s="9" t="s">
        <v>517</v>
      </c>
      <c r="C13" s="9" t="s">
        <v>520</v>
      </c>
      <c r="D13" s="9" t="s">
        <v>516</v>
      </c>
      <c r="E13" s="9" t="s">
        <v>521</v>
      </c>
      <c r="F13" s="9" t="s">
        <v>522</v>
      </c>
      <c r="G13" s="9" t="s">
        <v>58</v>
      </c>
      <c r="H13" s="9" t="s">
        <v>523</v>
      </c>
    </row>
    <row r="14" customFormat="false" ht="15" hidden="false" customHeight="false" outlineLevel="0" collapsed="false">
      <c r="A14" s="9" t="s">
        <v>524</v>
      </c>
      <c r="B14" s="9" t="s">
        <v>522</v>
      </c>
      <c r="C14" s="9" t="s">
        <v>525</v>
      </c>
      <c r="D14" s="9" t="s">
        <v>521</v>
      </c>
      <c r="E14" s="9" t="s">
        <v>526</v>
      </c>
      <c r="F14" s="9" t="s">
        <v>527</v>
      </c>
      <c r="G14" s="9" t="s">
        <v>58</v>
      </c>
      <c r="H14" s="9" t="s">
        <v>523</v>
      </c>
    </row>
    <row r="15" customFormat="false" ht="15" hidden="false" customHeight="false" outlineLevel="0" collapsed="false">
      <c r="A15" s="9" t="s">
        <v>528</v>
      </c>
      <c r="B15" s="9" t="s">
        <v>527</v>
      </c>
      <c r="C15" s="9" t="s">
        <v>529</v>
      </c>
      <c r="D15" s="9" t="s">
        <v>526</v>
      </c>
      <c r="E15" s="9" t="s">
        <v>530</v>
      </c>
      <c r="F15" s="9" t="s">
        <v>531</v>
      </c>
      <c r="G15" s="9" t="s">
        <v>58</v>
      </c>
      <c r="H15" s="9" t="s">
        <v>523</v>
      </c>
    </row>
    <row r="16" customFormat="false" ht="15" hidden="false" customHeight="false" outlineLevel="0" collapsed="false">
      <c r="A16" s="9" t="s">
        <v>532</v>
      </c>
      <c r="B16" s="9" t="s">
        <v>531</v>
      </c>
      <c r="C16" s="9" t="s">
        <v>533</v>
      </c>
      <c r="D16" s="9" t="s">
        <v>530</v>
      </c>
      <c r="E16" s="9" t="s">
        <v>534</v>
      </c>
      <c r="F16" s="9" t="s">
        <v>535</v>
      </c>
      <c r="G16" s="9" t="s">
        <v>48</v>
      </c>
      <c r="H16" s="9" t="s">
        <v>493</v>
      </c>
    </row>
    <row r="17" customFormat="false" ht="15" hidden="false" customHeight="false" outlineLevel="0" collapsed="false">
      <c r="A17" s="9" t="s">
        <v>536</v>
      </c>
      <c r="B17" s="9" t="s">
        <v>535</v>
      </c>
      <c r="C17" s="9" t="s">
        <v>537</v>
      </c>
      <c r="D17" s="9" t="s">
        <v>534</v>
      </c>
      <c r="E17" s="9" t="s">
        <v>538</v>
      </c>
      <c r="F17" s="9" t="s">
        <v>539</v>
      </c>
      <c r="G17" s="9" t="s">
        <v>58</v>
      </c>
      <c r="H17" s="9" t="s">
        <v>523</v>
      </c>
    </row>
    <row r="18" customFormat="false" ht="15" hidden="false" customHeight="false" outlineLevel="0" collapsed="false">
      <c r="A18" s="9" t="s">
        <v>540</v>
      </c>
      <c r="B18" s="9" t="s">
        <v>539</v>
      </c>
      <c r="C18" s="9" t="s">
        <v>541</v>
      </c>
      <c r="D18" s="9" t="s">
        <v>538</v>
      </c>
      <c r="E18" s="9" t="s">
        <v>542</v>
      </c>
      <c r="F18" s="9" t="s">
        <v>543</v>
      </c>
      <c r="G18" s="9" t="s">
        <v>81</v>
      </c>
      <c r="H18" s="9" t="s">
        <v>493</v>
      </c>
    </row>
    <row r="19" customFormat="false" ht="15" hidden="false" customHeight="false" outlineLevel="0" collapsed="false">
      <c r="A19" s="9" t="s">
        <v>544</v>
      </c>
      <c r="B19" s="9" t="s">
        <v>543</v>
      </c>
      <c r="C19" s="9" t="s">
        <v>545</v>
      </c>
      <c r="D19" s="9" t="s">
        <v>542</v>
      </c>
      <c r="E19" s="9" t="s">
        <v>542</v>
      </c>
      <c r="F19" s="9" t="s">
        <v>546</v>
      </c>
      <c r="G19" s="9" t="s">
        <v>81</v>
      </c>
      <c r="H19" s="9" t="s">
        <v>493</v>
      </c>
    </row>
    <row r="20" customFormat="false" ht="15" hidden="false" customHeight="false" outlineLevel="0" collapsed="false">
      <c r="A20" s="9" t="s">
        <v>547</v>
      </c>
      <c r="B20" s="9" t="s">
        <v>546</v>
      </c>
      <c r="C20" s="9" t="s">
        <v>548</v>
      </c>
      <c r="D20" s="9" t="s">
        <v>542</v>
      </c>
      <c r="E20" s="9" t="s">
        <v>549</v>
      </c>
      <c r="F20" s="9" t="s">
        <v>550</v>
      </c>
      <c r="G20" s="9" t="s">
        <v>81</v>
      </c>
      <c r="H20" s="9" t="s">
        <v>493</v>
      </c>
    </row>
    <row r="21" customFormat="false" ht="15" hidden="false" customHeight="false" outlineLevel="0" collapsed="false">
      <c r="A21" s="9" t="s">
        <v>551</v>
      </c>
      <c r="B21" s="9" t="s">
        <v>550</v>
      </c>
      <c r="C21" s="9" t="s">
        <v>552</v>
      </c>
      <c r="D21" s="9" t="s">
        <v>549</v>
      </c>
      <c r="E21" s="9" t="s">
        <v>553</v>
      </c>
      <c r="F21" s="9" t="s">
        <v>554</v>
      </c>
      <c r="G21" s="9" t="s">
        <v>58</v>
      </c>
      <c r="H21" s="9" t="s">
        <v>523</v>
      </c>
    </row>
    <row r="22" customFormat="false" ht="15" hidden="false" customHeight="false" outlineLevel="0" collapsed="false">
      <c r="A22" s="9" t="s">
        <v>555</v>
      </c>
      <c r="B22" s="9" t="s">
        <v>554</v>
      </c>
      <c r="C22" s="9" t="s">
        <v>556</v>
      </c>
      <c r="D22" s="9" t="s">
        <v>553</v>
      </c>
      <c r="E22" s="9" t="s">
        <v>557</v>
      </c>
      <c r="F22" s="9" t="s">
        <v>558</v>
      </c>
      <c r="G22" s="9" t="s">
        <v>26</v>
      </c>
      <c r="H22" s="9" t="s">
        <v>493</v>
      </c>
    </row>
    <row r="23" customFormat="false" ht="15" hidden="false" customHeight="false" outlineLevel="0" collapsed="false">
      <c r="A23" s="9" t="s">
        <v>559</v>
      </c>
      <c r="B23" s="9" t="s">
        <v>558</v>
      </c>
      <c r="C23" s="9" t="s">
        <v>560</v>
      </c>
      <c r="D23" s="9" t="s">
        <v>557</v>
      </c>
      <c r="E23" s="9" t="s">
        <v>549</v>
      </c>
      <c r="F23" s="9" t="s">
        <v>561</v>
      </c>
      <c r="G23" s="9" t="s">
        <v>81</v>
      </c>
      <c r="H23" s="9" t="s">
        <v>493</v>
      </c>
    </row>
    <row r="24" customFormat="false" ht="15" hidden="false" customHeight="false" outlineLevel="0" collapsed="false">
      <c r="A24" s="12" t="s">
        <v>562</v>
      </c>
      <c r="B24" s="12" t="s">
        <v>561</v>
      </c>
      <c r="C24" s="12" t="s">
        <v>563</v>
      </c>
      <c r="D24" s="12" t="s">
        <v>549</v>
      </c>
      <c r="E24" s="12" t="s">
        <v>491</v>
      </c>
      <c r="F24" s="12" t="s">
        <v>564</v>
      </c>
      <c r="G24" s="12" t="s">
        <v>81</v>
      </c>
      <c r="H24" s="12" t="s">
        <v>493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24"/>
    <col collapsed="false" customWidth="true" hidden="false" outlineLevel="0" max="5" min="5" style="0" width="19"/>
    <col collapsed="false" customWidth="true" hidden="false" outlineLevel="0" max="6" min="6" style="0" width="27"/>
    <col collapsed="false" customWidth="true" hidden="false" outlineLevel="0" max="7" min="7" style="0" width="25"/>
    <col collapsed="false" customWidth="true" hidden="false" outlineLevel="0" max="8" min="8" style="0" width="21"/>
    <col collapsed="false" customWidth="true" hidden="false" outlineLevel="0" max="9" min="9" style="0" width="18"/>
    <col collapsed="false" customWidth="true" hidden="false" outlineLevel="0" max="10" min="10" style="0" width="33"/>
  </cols>
  <sheetData>
    <row r="2" customFormat="false" ht="24" hidden="false" customHeight="true" outlineLevel="0" collapsed="false">
      <c r="A2" s="1" t="s">
        <v>565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566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567</v>
      </c>
      <c r="B6" s="6" t="s">
        <v>480</v>
      </c>
      <c r="C6" s="6" t="s">
        <v>5</v>
      </c>
      <c r="D6" s="6" t="s">
        <v>568</v>
      </c>
      <c r="E6" s="6" t="s">
        <v>569</v>
      </c>
      <c r="F6" s="6" t="s">
        <v>570</v>
      </c>
      <c r="G6" s="6" t="s">
        <v>571</v>
      </c>
      <c r="H6" s="6" t="s">
        <v>572</v>
      </c>
      <c r="I6" s="6" t="s">
        <v>573</v>
      </c>
      <c r="J6" s="7" t="s">
        <v>574</v>
      </c>
    </row>
    <row r="7" customFormat="false" ht="15" hidden="false" customHeight="false" outlineLevel="0" collapsed="false">
      <c r="A7" s="8" t="n">
        <v>1</v>
      </c>
      <c r="B7" s="8" t="s">
        <v>487</v>
      </c>
      <c r="C7" s="8" t="s">
        <v>488</v>
      </c>
      <c r="D7" s="28" t="s">
        <v>488</v>
      </c>
      <c r="E7" s="28" t="s">
        <v>37</v>
      </c>
      <c r="F7" s="28" t="s">
        <v>575</v>
      </c>
      <c r="G7" s="28" t="s">
        <v>492</v>
      </c>
      <c r="H7" s="28" t="s">
        <v>576</v>
      </c>
      <c r="I7" s="28" t="n">
        <v>0</v>
      </c>
      <c r="J7" s="8" t="s">
        <v>577</v>
      </c>
    </row>
    <row r="8" customFormat="false" ht="15" hidden="false" customHeight="false" outlineLevel="0" collapsed="false">
      <c r="A8" s="9" t="n">
        <v>2</v>
      </c>
      <c r="B8" s="9" t="s">
        <v>494</v>
      </c>
      <c r="C8" s="9" t="s">
        <v>492</v>
      </c>
      <c r="D8" s="11" t="s">
        <v>498</v>
      </c>
      <c r="E8" s="11" t="s">
        <v>578</v>
      </c>
      <c r="F8" s="11" t="s">
        <v>488</v>
      </c>
      <c r="G8" s="11" t="s">
        <v>497</v>
      </c>
      <c r="H8" s="11" t="s">
        <v>576</v>
      </c>
      <c r="I8" s="11" t="n">
        <v>0</v>
      </c>
      <c r="J8" s="9" t="s">
        <v>577</v>
      </c>
    </row>
    <row r="9" customFormat="false" ht="15" hidden="false" customHeight="false" outlineLevel="0" collapsed="false">
      <c r="A9" s="9" t="n">
        <v>3</v>
      </c>
      <c r="B9" s="9" t="s">
        <v>499</v>
      </c>
      <c r="C9" s="9" t="s">
        <v>497</v>
      </c>
      <c r="D9" s="11" t="s">
        <v>503</v>
      </c>
      <c r="E9" s="11" t="s">
        <v>578</v>
      </c>
      <c r="F9" s="11" t="s">
        <v>492</v>
      </c>
      <c r="G9" s="11" t="s">
        <v>502</v>
      </c>
      <c r="H9" s="11" t="s">
        <v>576</v>
      </c>
      <c r="I9" s="11" t="n">
        <v>0</v>
      </c>
      <c r="J9" s="9" t="s">
        <v>577</v>
      </c>
    </row>
    <row r="10" customFormat="false" ht="15" hidden="false" customHeight="false" outlineLevel="0" collapsed="false">
      <c r="A10" s="9" t="n">
        <v>4</v>
      </c>
      <c r="B10" s="9" t="s">
        <v>504</v>
      </c>
      <c r="C10" s="9" t="s">
        <v>502</v>
      </c>
      <c r="D10" s="11" t="s">
        <v>508</v>
      </c>
      <c r="E10" s="11" t="s">
        <v>578</v>
      </c>
      <c r="F10" s="11" t="s">
        <v>497</v>
      </c>
      <c r="G10" s="11" t="s">
        <v>507</v>
      </c>
      <c r="H10" s="11" t="s">
        <v>576</v>
      </c>
      <c r="I10" s="11" t="n">
        <v>0</v>
      </c>
      <c r="J10" s="9" t="s">
        <v>577</v>
      </c>
    </row>
    <row r="11" customFormat="false" ht="15" hidden="false" customHeight="false" outlineLevel="0" collapsed="false">
      <c r="A11" s="9" t="n">
        <v>5</v>
      </c>
      <c r="B11" s="9" t="s">
        <v>509</v>
      </c>
      <c r="C11" s="9" t="s">
        <v>507</v>
      </c>
      <c r="D11" s="11" t="s">
        <v>513</v>
      </c>
      <c r="E11" s="11" t="s">
        <v>578</v>
      </c>
      <c r="F11" s="11" t="s">
        <v>502</v>
      </c>
      <c r="G11" s="11" t="s">
        <v>512</v>
      </c>
      <c r="H11" s="11" t="s">
        <v>576</v>
      </c>
      <c r="I11" s="11" t="n">
        <v>0</v>
      </c>
      <c r="J11" s="9" t="s">
        <v>577</v>
      </c>
    </row>
    <row r="12" customFormat="false" ht="15" hidden="false" customHeight="false" outlineLevel="0" collapsed="false">
      <c r="A12" s="9" t="n">
        <v>6</v>
      </c>
      <c r="B12" s="9" t="s">
        <v>514</v>
      </c>
      <c r="C12" s="9" t="s">
        <v>512</v>
      </c>
      <c r="D12" s="11" t="s">
        <v>518</v>
      </c>
      <c r="E12" s="11" t="s">
        <v>578</v>
      </c>
      <c r="F12" s="11" t="s">
        <v>507</v>
      </c>
      <c r="G12" s="11" t="s">
        <v>517</v>
      </c>
      <c r="H12" s="11" t="s">
        <v>576</v>
      </c>
      <c r="I12" s="11" t="n">
        <v>0</v>
      </c>
      <c r="J12" s="9" t="s">
        <v>577</v>
      </c>
    </row>
    <row r="13" customFormat="false" ht="15" hidden="false" customHeight="false" outlineLevel="0" collapsed="false">
      <c r="A13" s="9" t="n">
        <v>7</v>
      </c>
      <c r="B13" s="9" t="s">
        <v>519</v>
      </c>
      <c r="C13" s="9" t="s">
        <v>517</v>
      </c>
      <c r="D13" s="11" t="s">
        <v>58</v>
      </c>
      <c r="E13" s="11" t="s">
        <v>578</v>
      </c>
      <c r="F13" s="11" t="s">
        <v>512</v>
      </c>
      <c r="G13" s="11" t="s">
        <v>522</v>
      </c>
      <c r="H13" s="11" t="s">
        <v>576</v>
      </c>
      <c r="I13" s="11" t="n">
        <v>0</v>
      </c>
      <c r="J13" s="9" t="s">
        <v>577</v>
      </c>
    </row>
    <row r="14" customFormat="false" ht="15" hidden="false" customHeight="false" outlineLevel="0" collapsed="false">
      <c r="A14" s="9" t="n">
        <v>8</v>
      </c>
      <c r="B14" s="9" t="s">
        <v>524</v>
      </c>
      <c r="C14" s="9" t="s">
        <v>522</v>
      </c>
      <c r="D14" s="11" t="s">
        <v>58</v>
      </c>
      <c r="E14" s="11" t="s">
        <v>578</v>
      </c>
      <c r="F14" s="11" t="s">
        <v>517</v>
      </c>
      <c r="G14" s="11" t="s">
        <v>527</v>
      </c>
      <c r="H14" s="11" t="s">
        <v>576</v>
      </c>
      <c r="I14" s="11" t="n">
        <v>0</v>
      </c>
      <c r="J14" s="9" t="s">
        <v>577</v>
      </c>
    </row>
    <row r="15" customFormat="false" ht="15" hidden="false" customHeight="false" outlineLevel="0" collapsed="false">
      <c r="A15" s="9" t="n">
        <v>9</v>
      </c>
      <c r="B15" s="9" t="s">
        <v>528</v>
      </c>
      <c r="C15" s="9" t="s">
        <v>527</v>
      </c>
      <c r="D15" s="11" t="s">
        <v>58</v>
      </c>
      <c r="E15" s="11" t="s">
        <v>578</v>
      </c>
      <c r="F15" s="11" t="s">
        <v>522</v>
      </c>
      <c r="G15" s="11" t="s">
        <v>531</v>
      </c>
      <c r="H15" s="11" t="s">
        <v>576</v>
      </c>
      <c r="I15" s="11" t="n">
        <v>0</v>
      </c>
      <c r="J15" s="9" t="s">
        <v>577</v>
      </c>
    </row>
    <row r="16" customFormat="false" ht="15" hidden="false" customHeight="false" outlineLevel="0" collapsed="false">
      <c r="A16" s="9" t="n">
        <v>10</v>
      </c>
      <c r="B16" s="9" t="s">
        <v>532</v>
      </c>
      <c r="C16" s="9" t="s">
        <v>531</v>
      </c>
      <c r="D16" s="11" t="s">
        <v>48</v>
      </c>
      <c r="E16" s="11" t="s">
        <v>578</v>
      </c>
      <c r="F16" s="11" t="s">
        <v>527</v>
      </c>
      <c r="G16" s="11" t="s">
        <v>535</v>
      </c>
      <c r="H16" s="11" t="s">
        <v>576</v>
      </c>
      <c r="I16" s="11" t="n">
        <v>0</v>
      </c>
      <c r="J16" s="9" t="s">
        <v>577</v>
      </c>
    </row>
    <row r="17" customFormat="false" ht="15" hidden="false" customHeight="false" outlineLevel="0" collapsed="false">
      <c r="A17" s="9" t="n">
        <v>11</v>
      </c>
      <c r="B17" s="9" t="s">
        <v>536</v>
      </c>
      <c r="C17" s="9" t="s">
        <v>535</v>
      </c>
      <c r="D17" s="11" t="s">
        <v>58</v>
      </c>
      <c r="E17" s="11" t="s">
        <v>578</v>
      </c>
      <c r="F17" s="11" t="s">
        <v>531</v>
      </c>
      <c r="G17" s="11" t="s">
        <v>539</v>
      </c>
      <c r="H17" s="11" t="s">
        <v>576</v>
      </c>
      <c r="I17" s="11" t="n">
        <v>0</v>
      </c>
      <c r="J17" s="9" t="s">
        <v>577</v>
      </c>
    </row>
    <row r="18" customFormat="false" ht="15" hidden="false" customHeight="false" outlineLevel="0" collapsed="false">
      <c r="A18" s="9" t="n">
        <v>12</v>
      </c>
      <c r="B18" s="9" t="s">
        <v>540</v>
      </c>
      <c r="C18" s="9" t="s">
        <v>539</v>
      </c>
      <c r="D18" s="11" t="s">
        <v>81</v>
      </c>
      <c r="E18" s="11" t="s">
        <v>578</v>
      </c>
      <c r="F18" s="11" t="s">
        <v>535</v>
      </c>
      <c r="G18" s="11" t="s">
        <v>543</v>
      </c>
      <c r="H18" s="11" t="s">
        <v>576</v>
      </c>
      <c r="I18" s="11" t="n">
        <v>0</v>
      </c>
      <c r="J18" s="9" t="s">
        <v>577</v>
      </c>
    </row>
    <row r="19" customFormat="false" ht="15" hidden="false" customHeight="false" outlineLevel="0" collapsed="false">
      <c r="A19" s="9" t="n">
        <v>13</v>
      </c>
      <c r="B19" s="9" t="s">
        <v>544</v>
      </c>
      <c r="C19" s="9" t="s">
        <v>543</v>
      </c>
      <c r="D19" s="11" t="s">
        <v>81</v>
      </c>
      <c r="E19" s="11" t="s">
        <v>578</v>
      </c>
      <c r="F19" s="11" t="s">
        <v>539</v>
      </c>
      <c r="G19" s="11" t="s">
        <v>546</v>
      </c>
      <c r="H19" s="11" t="s">
        <v>576</v>
      </c>
      <c r="I19" s="11" t="n">
        <v>0</v>
      </c>
      <c r="J19" s="9" t="s">
        <v>577</v>
      </c>
    </row>
    <row r="20" customFormat="false" ht="15" hidden="false" customHeight="false" outlineLevel="0" collapsed="false">
      <c r="A20" s="9" t="n">
        <v>14</v>
      </c>
      <c r="B20" s="9" t="s">
        <v>547</v>
      </c>
      <c r="C20" s="9" t="s">
        <v>546</v>
      </c>
      <c r="D20" s="11" t="s">
        <v>81</v>
      </c>
      <c r="E20" s="11" t="s">
        <v>578</v>
      </c>
      <c r="F20" s="11" t="s">
        <v>543</v>
      </c>
      <c r="G20" s="11" t="s">
        <v>550</v>
      </c>
      <c r="H20" s="11" t="s">
        <v>576</v>
      </c>
      <c r="I20" s="11" t="n">
        <v>0</v>
      </c>
      <c r="J20" s="9" t="s">
        <v>577</v>
      </c>
    </row>
    <row r="21" customFormat="false" ht="15" hidden="false" customHeight="false" outlineLevel="0" collapsed="false">
      <c r="A21" s="9" t="n">
        <v>15</v>
      </c>
      <c r="B21" s="9" t="s">
        <v>551</v>
      </c>
      <c r="C21" s="9" t="s">
        <v>550</v>
      </c>
      <c r="D21" s="11" t="s">
        <v>58</v>
      </c>
      <c r="E21" s="11" t="s">
        <v>578</v>
      </c>
      <c r="F21" s="11" t="s">
        <v>546</v>
      </c>
      <c r="G21" s="11" t="s">
        <v>554</v>
      </c>
      <c r="H21" s="11" t="s">
        <v>576</v>
      </c>
      <c r="I21" s="11" t="n">
        <v>0</v>
      </c>
      <c r="J21" s="9" t="s">
        <v>577</v>
      </c>
    </row>
    <row r="22" customFormat="false" ht="15" hidden="false" customHeight="false" outlineLevel="0" collapsed="false">
      <c r="A22" s="9" t="n">
        <v>16</v>
      </c>
      <c r="B22" s="9" t="s">
        <v>555</v>
      </c>
      <c r="C22" s="9" t="s">
        <v>554</v>
      </c>
      <c r="D22" s="11" t="s">
        <v>26</v>
      </c>
      <c r="E22" s="11" t="s">
        <v>578</v>
      </c>
      <c r="F22" s="11" t="s">
        <v>550</v>
      </c>
      <c r="G22" s="11" t="s">
        <v>558</v>
      </c>
      <c r="H22" s="11" t="s">
        <v>576</v>
      </c>
      <c r="I22" s="11" t="n">
        <v>0</v>
      </c>
      <c r="J22" s="9" t="s">
        <v>577</v>
      </c>
    </row>
    <row r="23" customFormat="false" ht="15" hidden="false" customHeight="false" outlineLevel="0" collapsed="false">
      <c r="A23" s="9" t="n">
        <v>17</v>
      </c>
      <c r="B23" s="9" t="s">
        <v>559</v>
      </c>
      <c r="C23" s="9" t="s">
        <v>558</v>
      </c>
      <c r="D23" s="11" t="s">
        <v>81</v>
      </c>
      <c r="E23" s="11" t="s">
        <v>578</v>
      </c>
      <c r="F23" s="11" t="s">
        <v>554</v>
      </c>
      <c r="G23" s="11" t="s">
        <v>561</v>
      </c>
      <c r="H23" s="11" t="s">
        <v>576</v>
      </c>
      <c r="I23" s="11" t="n">
        <v>0</v>
      </c>
      <c r="J23" s="9" t="s">
        <v>577</v>
      </c>
    </row>
    <row r="24" customFormat="false" ht="15" hidden="false" customHeight="false" outlineLevel="0" collapsed="false">
      <c r="A24" s="12" t="n">
        <v>18</v>
      </c>
      <c r="B24" s="12" t="s">
        <v>562</v>
      </c>
      <c r="C24" s="12" t="s">
        <v>561</v>
      </c>
      <c r="D24" s="14" t="s">
        <v>81</v>
      </c>
      <c r="E24" s="14" t="s">
        <v>578</v>
      </c>
      <c r="F24" s="14" t="s">
        <v>558</v>
      </c>
      <c r="G24" s="14" t="s">
        <v>564</v>
      </c>
      <c r="H24" s="14" t="s">
        <v>576</v>
      </c>
      <c r="I24" s="14" t="n">
        <v>0</v>
      </c>
      <c r="J24" s="12" t="s">
        <v>577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4"/>
    <col collapsed="false" customWidth="true" hidden="false" outlineLevel="0" max="4" min="4" style="0" width="62"/>
    <col collapsed="false" customWidth="true" hidden="false" outlineLevel="0" max="5" min="5" style="0" width="43"/>
    <col collapsed="false" customWidth="true" hidden="false" outlineLevel="0" max="6" min="6" style="0" width="52"/>
    <col collapsed="false" customWidth="true" hidden="false" outlineLevel="0" max="7" min="7" style="0" width="24"/>
    <col collapsed="false" customWidth="true" hidden="false" outlineLevel="0" max="8" min="8" style="0" width="14"/>
  </cols>
  <sheetData>
    <row r="2" customFormat="false" ht="24" hidden="false" customHeight="true" outlineLevel="0" collapsed="false">
      <c r="A2" s="1" t="s">
        <v>579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580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581</v>
      </c>
      <c r="B6" s="6" t="s">
        <v>582</v>
      </c>
      <c r="C6" s="6" t="s">
        <v>583</v>
      </c>
      <c r="D6" s="6" t="s">
        <v>584</v>
      </c>
      <c r="E6" s="6" t="s">
        <v>585</v>
      </c>
      <c r="F6" s="6" t="s">
        <v>586</v>
      </c>
      <c r="G6" s="6" t="s">
        <v>587</v>
      </c>
      <c r="H6" s="7" t="s">
        <v>5</v>
      </c>
    </row>
    <row r="7" customFormat="false" ht="15" hidden="false" customHeight="false" outlineLevel="0" collapsed="false">
      <c r="A7" s="8" t="s">
        <v>588</v>
      </c>
      <c r="B7" s="8" t="s">
        <v>488</v>
      </c>
      <c r="C7" s="8" t="s">
        <v>492</v>
      </c>
      <c r="D7" s="8" t="s">
        <v>489</v>
      </c>
      <c r="E7" s="8" t="s">
        <v>589</v>
      </c>
      <c r="F7" s="8" t="s">
        <v>590</v>
      </c>
      <c r="G7" s="8" t="s">
        <v>488</v>
      </c>
      <c r="H7" s="8" t="s">
        <v>20</v>
      </c>
    </row>
    <row r="8" customFormat="false" ht="15" hidden="false" customHeight="false" outlineLevel="0" collapsed="false">
      <c r="A8" s="9" t="s">
        <v>591</v>
      </c>
      <c r="B8" s="9" t="s">
        <v>492</v>
      </c>
      <c r="C8" s="9" t="s">
        <v>497</v>
      </c>
      <c r="D8" s="9" t="s">
        <v>495</v>
      </c>
      <c r="E8" s="9" t="s">
        <v>592</v>
      </c>
      <c r="F8" s="9" t="s">
        <v>593</v>
      </c>
      <c r="G8" s="9" t="s">
        <v>492</v>
      </c>
      <c r="H8" s="9" t="s">
        <v>20</v>
      </c>
    </row>
    <row r="9" customFormat="false" ht="15" hidden="false" customHeight="false" outlineLevel="0" collapsed="false">
      <c r="A9" s="9" t="s">
        <v>594</v>
      </c>
      <c r="B9" s="9" t="s">
        <v>497</v>
      </c>
      <c r="C9" s="9" t="s">
        <v>502</v>
      </c>
      <c r="D9" s="9" t="s">
        <v>500</v>
      </c>
      <c r="E9" s="9" t="s">
        <v>595</v>
      </c>
      <c r="F9" s="9" t="s">
        <v>596</v>
      </c>
      <c r="G9" s="9" t="s">
        <v>497</v>
      </c>
      <c r="H9" s="9" t="s">
        <v>20</v>
      </c>
    </row>
    <row r="10" customFormat="false" ht="15" hidden="false" customHeight="false" outlineLevel="0" collapsed="false">
      <c r="A10" s="9" t="s">
        <v>597</v>
      </c>
      <c r="B10" s="9" t="s">
        <v>502</v>
      </c>
      <c r="C10" s="9" t="s">
        <v>507</v>
      </c>
      <c r="D10" s="9" t="s">
        <v>505</v>
      </c>
      <c r="E10" s="9" t="s">
        <v>598</v>
      </c>
      <c r="F10" s="9" t="s">
        <v>599</v>
      </c>
      <c r="G10" s="9" t="s">
        <v>502</v>
      </c>
      <c r="H10" s="9" t="s">
        <v>20</v>
      </c>
    </row>
    <row r="11" customFormat="false" ht="15" hidden="false" customHeight="false" outlineLevel="0" collapsed="false">
      <c r="A11" s="9" t="s">
        <v>600</v>
      </c>
      <c r="B11" s="9" t="s">
        <v>507</v>
      </c>
      <c r="C11" s="9" t="s">
        <v>512</v>
      </c>
      <c r="D11" s="9" t="s">
        <v>510</v>
      </c>
      <c r="E11" s="9" t="s">
        <v>601</v>
      </c>
      <c r="F11" s="9" t="s">
        <v>602</v>
      </c>
      <c r="G11" s="9" t="s">
        <v>507</v>
      </c>
      <c r="H11" s="9" t="s">
        <v>20</v>
      </c>
    </row>
    <row r="12" customFormat="false" ht="15" hidden="false" customHeight="false" outlineLevel="0" collapsed="false">
      <c r="A12" s="9" t="s">
        <v>603</v>
      </c>
      <c r="B12" s="9" t="s">
        <v>512</v>
      </c>
      <c r="C12" s="9" t="s">
        <v>517</v>
      </c>
      <c r="D12" s="9" t="s">
        <v>515</v>
      </c>
      <c r="E12" s="9" t="s">
        <v>604</v>
      </c>
      <c r="F12" s="9" t="s">
        <v>605</v>
      </c>
      <c r="G12" s="9" t="s">
        <v>512</v>
      </c>
      <c r="H12" s="9" t="s">
        <v>20</v>
      </c>
    </row>
    <row r="13" customFormat="false" ht="15" hidden="false" customHeight="false" outlineLevel="0" collapsed="false">
      <c r="A13" s="9" t="s">
        <v>606</v>
      </c>
      <c r="B13" s="9" t="s">
        <v>517</v>
      </c>
      <c r="C13" s="9" t="s">
        <v>522</v>
      </c>
      <c r="D13" s="9" t="s">
        <v>520</v>
      </c>
      <c r="E13" s="9" t="s">
        <v>607</v>
      </c>
      <c r="F13" s="9" t="s">
        <v>608</v>
      </c>
      <c r="G13" s="9" t="s">
        <v>517</v>
      </c>
      <c r="H13" s="9" t="s">
        <v>81</v>
      </c>
    </row>
    <row r="14" customFormat="false" ht="15" hidden="false" customHeight="false" outlineLevel="0" collapsed="false">
      <c r="A14" s="9" t="s">
        <v>609</v>
      </c>
      <c r="B14" s="9" t="s">
        <v>522</v>
      </c>
      <c r="C14" s="9" t="s">
        <v>527</v>
      </c>
      <c r="D14" s="9" t="s">
        <v>525</v>
      </c>
      <c r="E14" s="9" t="s">
        <v>610</v>
      </c>
      <c r="F14" s="9" t="s">
        <v>611</v>
      </c>
      <c r="G14" s="9" t="s">
        <v>522</v>
      </c>
      <c r="H14" s="9" t="s">
        <v>81</v>
      </c>
    </row>
    <row r="15" customFormat="false" ht="15" hidden="false" customHeight="false" outlineLevel="0" collapsed="false">
      <c r="A15" s="9" t="s">
        <v>612</v>
      </c>
      <c r="B15" s="9" t="s">
        <v>527</v>
      </c>
      <c r="C15" s="9" t="s">
        <v>531</v>
      </c>
      <c r="D15" s="9" t="s">
        <v>529</v>
      </c>
      <c r="E15" s="9" t="s">
        <v>613</v>
      </c>
      <c r="F15" s="9" t="s">
        <v>614</v>
      </c>
      <c r="G15" s="9" t="s">
        <v>527</v>
      </c>
      <c r="H15" s="9" t="s">
        <v>81</v>
      </c>
    </row>
    <row r="16" customFormat="false" ht="15" hidden="false" customHeight="false" outlineLevel="0" collapsed="false">
      <c r="A16" s="9" t="s">
        <v>615</v>
      </c>
      <c r="B16" s="9" t="s">
        <v>531</v>
      </c>
      <c r="C16" s="9" t="s">
        <v>535</v>
      </c>
      <c r="D16" s="9" t="s">
        <v>533</v>
      </c>
      <c r="E16" s="9" t="s">
        <v>616</v>
      </c>
      <c r="F16" s="9" t="s">
        <v>617</v>
      </c>
      <c r="G16" s="9" t="s">
        <v>531</v>
      </c>
      <c r="H16" s="9" t="s">
        <v>81</v>
      </c>
    </row>
    <row r="17" customFormat="false" ht="15" hidden="false" customHeight="false" outlineLevel="0" collapsed="false">
      <c r="A17" s="9" t="s">
        <v>618</v>
      </c>
      <c r="B17" s="9" t="s">
        <v>535</v>
      </c>
      <c r="C17" s="9" t="s">
        <v>539</v>
      </c>
      <c r="D17" s="9" t="s">
        <v>537</v>
      </c>
      <c r="E17" s="9" t="s">
        <v>619</v>
      </c>
      <c r="F17" s="9" t="s">
        <v>620</v>
      </c>
      <c r="G17" s="9" t="s">
        <v>535</v>
      </c>
      <c r="H17" s="9" t="s">
        <v>81</v>
      </c>
    </row>
    <row r="18" customFormat="false" ht="15" hidden="false" customHeight="false" outlineLevel="0" collapsed="false">
      <c r="A18" s="9" t="s">
        <v>621</v>
      </c>
      <c r="B18" s="9" t="s">
        <v>539</v>
      </c>
      <c r="C18" s="9" t="s">
        <v>543</v>
      </c>
      <c r="D18" s="9" t="s">
        <v>541</v>
      </c>
      <c r="E18" s="9" t="s">
        <v>622</v>
      </c>
      <c r="F18" s="9" t="s">
        <v>623</v>
      </c>
      <c r="G18" s="9" t="s">
        <v>539</v>
      </c>
      <c r="H18" s="9" t="s">
        <v>81</v>
      </c>
    </row>
    <row r="19" customFormat="false" ht="15" hidden="false" customHeight="false" outlineLevel="0" collapsed="false">
      <c r="A19" s="9" t="s">
        <v>624</v>
      </c>
      <c r="B19" s="9" t="s">
        <v>543</v>
      </c>
      <c r="C19" s="9" t="s">
        <v>546</v>
      </c>
      <c r="D19" s="9" t="s">
        <v>545</v>
      </c>
      <c r="E19" s="9" t="s">
        <v>625</v>
      </c>
      <c r="F19" s="9" t="s">
        <v>626</v>
      </c>
      <c r="G19" s="9" t="s">
        <v>543</v>
      </c>
      <c r="H19" s="9" t="s">
        <v>81</v>
      </c>
    </row>
    <row r="20" customFormat="false" ht="15" hidden="false" customHeight="false" outlineLevel="0" collapsed="false">
      <c r="A20" s="9" t="s">
        <v>627</v>
      </c>
      <c r="B20" s="9" t="s">
        <v>546</v>
      </c>
      <c r="C20" s="9" t="s">
        <v>550</v>
      </c>
      <c r="D20" s="9" t="s">
        <v>548</v>
      </c>
      <c r="E20" s="9" t="s">
        <v>628</v>
      </c>
      <c r="F20" s="9" t="s">
        <v>629</v>
      </c>
      <c r="G20" s="9" t="s">
        <v>546</v>
      </c>
      <c r="H20" s="9" t="s">
        <v>81</v>
      </c>
    </row>
    <row r="21" customFormat="false" ht="15" hidden="false" customHeight="false" outlineLevel="0" collapsed="false">
      <c r="A21" s="9" t="s">
        <v>630</v>
      </c>
      <c r="B21" s="9" t="s">
        <v>550</v>
      </c>
      <c r="C21" s="9" t="s">
        <v>554</v>
      </c>
      <c r="D21" s="9" t="s">
        <v>552</v>
      </c>
      <c r="E21" s="9" t="s">
        <v>631</v>
      </c>
      <c r="F21" s="9" t="s">
        <v>632</v>
      </c>
      <c r="G21" s="9" t="s">
        <v>550</v>
      </c>
      <c r="H21" s="9" t="s">
        <v>81</v>
      </c>
    </row>
    <row r="22" customFormat="false" ht="15" hidden="false" customHeight="false" outlineLevel="0" collapsed="false">
      <c r="A22" s="9" t="s">
        <v>633</v>
      </c>
      <c r="B22" s="9" t="s">
        <v>554</v>
      </c>
      <c r="C22" s="9" t="s">
        <v>558</v>
      </c>
      <c r="D22" s="9" t="s">
        <v>556</v>
      </c>
      <c r="E22" s="9" t="s">
        <v>634</v>
      </c>
      <c r="F22" s="9" t="s">
        <v>635</v>
      </c>
      <c r="G22" s="9" t="s">
        <v>554</v>
      </c>
      <c r="H22" s="9" t="s">
        <v>81</v>
      </c>
    </row>
    <row r="23" customFormat="false" ht="15" hidden="false" customHeight="false" outlineLevel="0" collapsed="false">
      <c r="A23" s="12" t="s">
        <v>636</v>
      </c>
      <c r="B23" s="12" t="s">
        <v>558</v>
      </c>
      <c r="C23" s="12" t="s">
        <v>561</v>
      </c>
      <c r="D23" s="12" t="s">
        <v>560</v>
      </c>
      <c r="E23" s="12" t="s">
        <v>637</v>
      </c>
      <c r="F23" s="12" t="s">
        <v>638</v>
      </c>
      <c r="G23" s="12" t="s">
        <v>558</v>
      </c>
      <c r="H23" s="12" t="s">
        <v>81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9" min="2" style="0" width="13"/>
    <col collapsed="false" customWidth="true" hidden="false" outlineLevel="0" max="20" min="20" style="0" width="16"/>
  </cols>
  <sheetData>
    <row r="2" customFormat="false" ht="24" hidden="false" customHeight="true" outlineLevel="0" collapsed="false">
      <c r="A2" s="1" t="s">
        <v>639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3" t="s">
        <v>640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3" hidden="false" customHeight="true" outlineLevel="0" collapsed="false">
      <c r="A6" s="5" t="s">
        <v>113</v>
      </c>
      <c r="B6" s="6" t="s">
        <v>487</v>
      </c>
      <c r="C6" s="6" t="s">
        <v>494</v>
      </c>
      <c r="D6" s="6" t="s">
        <v>499</v>
      </c>
      <c r="E6" s="6" t="s">
        <v>504</v>
      </c>
      <c r="F6" s="6" t="s">
        <v>509</v>
      </c>
      <c r="G6" s="6" t="s">
        <v>514</v>
      </c>
      <c r="H6" s="6" t="s">
        <v>519</v>
      </c>
      <c r="I6" s="6" t="s">
        <v>524</v>
      </c>
      <c r="J6" s="6" t="s">
        <v>528</v>
      </c>
      <c r="K6" s="6" t="s">
        <v>532</v>
      </c>
      <c r="L6" s="6" t="s">
        <v>536</v>
      </c>
      <c r="M6" s="6" t="s">
        <v>540</v>
      </c>
      <c r="N6" s="6" t="s">
        <v>544</v>
      </c>
      <c r="O6" s="6" t="s">
        <v>547</v>
      </c>
      <c r="P6" s="6" t="s">
        <v>551</v>
      </c>
      <c r="Q6" s="6" t="s">
        <v>555</v>
      </c>
      <c r="R6" s="6" t="s">
        <v>559</v>
      </c>
      <c r="S6" s="6" t="s">
        <v>562</v>
      </c>
      <c r="T6" s="7" t="s">
        <v>641</v>
      </c>
    </row>
    <row r="7" customFormat="false" ht="15" hidden="false" customHeight="false" outlineLevel="0" collapsed="false">
      <c r="A7" s="8" t="s">
        <v>490</v>
      </c>
      <c r="B7" s="8" t="s">
        <v>642</v>
      </c>
      <c r="C7" s="8" t="s">
        <v>643</v>
      </c>
      <c r="D7" s="8" t="s">
        <v>643</v>
      </c>
      <c r="E7" s="8" t="s">
        <v>643</v>
      </c>
      <c r="F7" s="8" t="s">
        <v>643</v>
      </c>
      <c r="G7" s="8" t="s">
        <v>643</v>
      </c>
      <c r="H7" s="8" t="s">
        <v>643</v>
      </c>
      <c r="I7" s="8" t="s">
        <v>643</v>
      </c>
      <c r="J7" s="8" t="s">
        <v>643</v>
      </c>
      <c r="K7" s="8" t="s">
        <v>643</v>
      </c>
      <c r="L7" s="8" t="s">
        <v>643</v>
      </c>
      <c r="M7" s="8" t="s">
        <v>643</v>
      </c>
      <c r="N7" s="8" t="s">
        <v>643</v>
      </c>
      <c r="O7" s="8" t="s">
        <v>643</v>
      </c>
      <c r="P7" s="8" t="s">
        <v>643</v>
      </c>
      <c r="Q7" s="8" t="s">
        <v>643</v>
      </c>
      <c r="R7" s="8" t="s">
        <v>643</v>
      </c>
      <c r="S7" s="8" t="s">
        <v>643</v>
      </c>
      <c r="T7" s="18" t="n">
        <f aca="false">COUNTIF(B7:S7,"CREATE")</f>
        <v>1</v>
      </c>
    </row>
    <row r="8" customFormat="false" ht="15" hidden="false" customHeight="false" outlineLevel="0" collapsed="false">
      <c r="A8" s="9" t="s">
        <v>491</v>
      </c>
      <c r="B8" s="9" t="s">
        <v>644</v>
      </c>
      <c r="C8" s="9" t="s">
        <v>642</v>
      </c>
      <c r="D8" s="9" t="s">
        <v>643</v>
      </c>
      <c r="E8" s="9" t="s">
        <v>643</v>
      </c>
      <c r="F8" s="9" t="s">
        <v>643</v>
      </c>
      <c r="G8" s="9" t="s">
        <v>643</v>
      </c>
      <c r="H8" s="9" t="s">
        <v>643</v>
      </c>
      <c r="I8" s="9" t="s">
        <v>643</v>
      </c>
      <c r="J8" s="9" t="s">
        <v>643</v>
      </c>
      <c r="K8" s="9" t="s">
        <v>643</v>
      </c>
      <c r="L8" s="9" t="s">
        <v>643</v>
      </c>
      <c r="M8" s="9" t="s">
        <v>643</v>
      </c>
      <c r="N8" s="9" t="s">
        <v>643</v>
      </c>
      <c r="O8" s="9" t="s">
        <v>643</v>
      </c>
      <c r="P8" s="9" t="s">
        <v>643</v>
      </c>
      <c r="Q8" s="9" t="s">
        <v>643</v>
      </c>
      <c r="R8" s="9" t="s">
        <v>643</v>
      </c>
      <c r="S8" s="9" t="s">
        <v>644</v>
      </c>
      <c r="T8" s="19" t="n">
        <f aca="false">COUNTIF(B8:S8,"CREATE")</f>
        <v>1</v>
      </c>
    </row>
    <row r="9" customFormat="false" ht="15" hidden="false" customHeight="false" outlineLevel="0" collapsed="false">
      <c r="A9" s="9" t="s">
        <v>496</v>
      </c>
      <c r="B9" s="9" t="s">
        <v>643</v>
      </c>
      <c r="C9" s="9" t="s">
        <v>644</v>
      </c>
      <c r="D9" s="9" t="s">
        <v>642</v>
      </c>
      <c r="E9" s="9" t="s">
        <v>643</v>
      </c>
      <c r="F9" s="9" t="s">
        <v>643</v>
      </c>
      <c r="G9" s="9" t="s">
        <v>643</v>
      </c>
      <c r="H9" s="9" t="s">
        <v>643</v>
      </c>
      <c r="I9" s="9" t="s">
        <v>643</v>
      </c>
      <c r="J9" s="9" t="s">
        <v>643</v>
      </c>
      <c r="K9" s="9" t="s">
        <v>643</v>
      </c>
      <c r="L9" s="9" t="s">
        <v>643</v>
      </c>
      <c r="M9" s="9" t="s">
        <v>643</v>
      </c>
      <c r="N9" s="9" t="s">
        <v>643</v>
      </c>
      <c r="O9" s="9" t="s">
        <v>643</v>
      </c>
      <c r="P9" s="9" t="s">
        <v>643</v>
      </c>
      <c r="Q9" s="9" t="s">
        <v>643</v>
      </c>
      <c r="R9" s="9" t="s">
        <v>643</v>
      </c>
      <c r="S9" s="9" t="s">
        <v>643</v>
      </c>
      <c r="T9" s="19" t="n">
        <f aca="false">COUNTIF(B9:S9,"CREATE")</f>
        <v>1</v>
      </c>
    </row>
    <row r="10" customFormat="false" ht="15" hidden="false" customHeight="false" outlineLevel="0" collapsed="false">
      <c r="A10" s="9" t="s">
        <v>501</v>
      </c>
      <c r="B10" s="9" t="s">
        <v>643</v>
      </c>
      <c r="C10" s="9" t="s">
        <v>643</v>
      </c>
      <c r="D10" s="9" t="s">
        <v>644</v>
      </c>
      <c r="E10" s="9" t="s">
        <v>642</v>
      </c>
      <c r="F10" s="9" t="s">
        <v>643</v>
      </c>
      <c r="G10" s="9" t="s">
        <v>643</v>
      </c>
      <c r="H10" s="9" t="s">
        <v>643</v>
      </c>
      <c r="I10" s="9" t="s">
        <v>643</v>
      </c>
      <c r="J10" s="9" t="s">
        <v>643</v>
      </c>
      <c r="K10" s="9" t="s">
        <v>643</v>
      </c>
      <c r="L10" s="9" t="s">
        <v>643</v>
      </c>
      <c r="M10" s="9" t="s">
        <v>643</v>
      </c>
      <c r="N10" s="9" t="s">
        <v>643</v>
      </c>
      <c r="O10" s="9" t="s">
        <v>643</v>
      </c>
      <c r="P10" s="9" t="s">
        <v>643</v>
      </c>
      <c r="Q10" s="9" t="s">
        <v>643</v>
      </c>
      <c r="R10" s="9" t="s">
        <v>643</v>
      </c>
      <c r="S10" s="9" t="s">
        <v>643</v>
      </c>
      <c r="T10" s="19" t="n">
        <f aca="false">COUNTIF(B10:S10,"CREATE")</f>
        <v>1</v>
      </c>
    </row>
    <row r="11" customFormat="false" ht="15" hidden="false" customHeight="false" outlineLevel="0" collapsed="false">
      <c r="A11" s="9" t="s">
        <v>506</v>
      </c>
      <c r="B11" s="9" t="s">
        <v>643</v>
      </c>
      <c r="C11" s="9" t="s">
        <v>643</v>
      </c>
      <c r="D11" s="9" t="s">
        <v>643</v>
      </c>
      <c r="E11" s="9" t="s">
        <v>644</v>
      </c>
      <c r="F11" s="9" t="s">
        <v>642</v>
      </c>
      <c r="G11" s="9" t="s">
        <v>643</v>
      </c>
      <c r="H11" s="9" t="s">
        <v>643</v>
      </c>
      <c r="I11" s="9" t="s">
        <v>643</v>
      </c>
      <c r="J11" s="9" t="s">
        <v>643</v>
      </c>
      <c r="K11" s="9" t="s">
        <v>643</v>
      </c>
      <c r="L11" s="9" t="s">
        <v>643</v>
      </c>
      <c r="M11" s="9" t="s">
        <v>643</v>
      </c>
      <c r="N11" s="9" t="s">
        <v>643</v>
      </c>
      <c r="O11" s="9" t="s">
        <v>643</v>
      </c>
      <c r="P11" s="9" t="s">
        <v>643</v>
      </c>
      <c r="Q11" s="9" t="s">
        <v>643</v>
      </c>
      <c r="R11" s="9" t="s">
        <v>643</v>
      </c>
      <c r="S11" s="9" t="s">
        <v>643</v>
      </c>
      <c r="T11" s="19" t="n">
        <f aca="false">COUNTIF(B11:S11,"CREATE")</f>
        <v>1</v>
      </c>
    </row>
    <row r="12" customFormat="false" ht="15" hidden="false" customHeight="false" outlineLevel="0" collapsed="false">
      <c r="A12" s="9" t="s">
        <v>511</v>
      </c>
      <c r="B12" s="9" t="s">
        <v>643</v>
      </c>
      <c r="C12" s="9" t="s">
        <v>643</v>
      </c>
      <c r="D12" s="9" t="s">
        <v>643</v>
      </c>
      <c r="E12" s="9" t="s">
        <v>643</v>
      </c>
      <c r="F12" s="9" t="s">
        <v>644</v>
      </c>
      <c r="G12" s="9" t="s">
        <v>642</v>
      </c>
      <c r="H12" s="9" t="s">
        <v>643</v>
      </c>
      <c r="I12" s="9" t="s">
        <v>643</v>
      </c>
      <c r="J12" s="9" t="s">
        <v>643</v>
      </c>
      <c r="K12" s="9" t="s">
        <v>643</v>
      </c>
      <c r="L12" s="9" t="s">
        <v>643</v>
      </c>
      <c r="M12" s="9" t="s">
        <v>643</v>
      </c>
      <c r="N12" s="9" t="s">
        <v>643</v>
      </c>
      <c r="O12" s="9" t="s">
        <v>643</v>
      </c>
      <c r="P12" s="9" t="s">
        <v>643</v>
      </c>
      <c r="Q12" s="9" t="s">
        <v>643</v>
      </c>
      <c r="R12" s="9" t="s">
        <v>643</v>
      </c>
      <c r="S12" s="9" t="s">
        <v>643</v>
      </c>
      <c r="T12" s="19" t="n">
        <f aca="false">COUNTIF(B12:S12,"CREATE")</f>
        <v>1</v>
      </c>
    </row>
    <row r="13" customFormat="false" ht="15" hidden="false" customHeight="false" outlineLevel="0" collapsed="false">
      <c r="A13" s="9" t="s">
        <v>516</v>
      </c>
      <c r="B13" s="9" t="s">
        <v>643</v>
      </c>
      <c r="C13" s="9" t="s">
        <v>643</v>
      </c>
      <c r="D13" s="9" t="s">
        <v>643</v>
      </c>
      <c r="E13" s="9" t="s">
        <v>643</v>
      </c>
      <c r="F13" s="9" t="s">
        <v>643</v>
      </c>
      <c r="G13" s="9" t="s">
        <v>644</v>
      </c>
      <c r="H13" s="9" t="s">
        <v>642</v>
      </c>
      <c r="I13" s="9" t="s">
        <v>643</v>
      </c>
      <c r="J13" s="9" t="s">
        <v>643</v>
      </c>
      <c r="K13" s="9" t="s">
        <v>643</v>
      </c>
      <c r="L13" s="9" t="s">
        <v>643</v>
      </c>
      <c r="M13" s="9" t="s">
        <v>643</v>
      </c>
      <c r="N13" s="9" t="s">
        <v>643</v>
      </c>
      <c r="O13" s="9" t="s">
        <v>643</v>
      </c>
      <c r="P13" s="9" t="s">
        <v>643</v>
      </c>
      <c r="Q13" s="9" t="s">
        <v>643</v>
      </c>
      <c r="R13" s="9" t="s">
        <v>643</v>
      </c>
      <c r="S13" s="9" t="s">
        <v>643</v>
      </c>
      <c r="T13" s="19" t="n">
        <f aca="false">COUNTIF(B13:S13,"CREATE")</f>
        <v>1</v>
      </c>
    </row>
    <row r="14" customFormat="false" ht="15" hidden="false" customHeight="false" outlineLevel="0" collapsed="false">
      <c r="A14" s="9" t="s">
        <v>521</v>
      </c>
      <c r="B14" s="9" t="s">
        <v>643</v>
      </c>
      <c r="C14" s="9" t="s">
        <v>643</v>
      </c>
      <c r="D14" s="9" t="s">
        <v>643</v>
      </c>
      <c r="E14" s="9" t="s">
        <v>643</v>
      </c>
      <c r="F14" s="9" t="s">
        <v>643</v>
      </c>
      <c r="G14" s="9" t="s">
        <v>643</v>
      </c>
      <c r="H14" s="9" t="s">
        <v>644</v>
      </c>
      <c r="I14" s="9" t="s">
        <v>642</v>
      </c>
      <c r="J14" s="9" t="s">
        <v>643</v>
      </c>
      <c r="K14" s="9" t="s">
        <v>643</v>
      </c>
      <c r="L14" s="9" t="s">
        <v>643</v>
      </c>
      <c r="M14" s="9" t="s">
        <v>643</v>
      </c>
      <c r="N14" s="9" t="s">
        <v>643</v>
      </c>
      <c r="O14" s="9" t="s">
        <v>643</v>
      </c>
      <c r="P14" s="9" t="s">
        <v>643</v>
      </c>
      <c r="Q14" s="9" t="s">
        <v>643</v>
      </c>
      <c r="R14" s="9" t="s">
        <v>643</v>
      </c>
      <c r="S14" s="9" t="s">
        <v>643</v>
      </c>
      <c r="T14" s="19" t="n">
        <f aca="false">COUNTIF(B14:S14,"CREATE")</f>
        <v>1</v>
      </c>
    </row>
    <row r="15" customFormat="false" ht="15" hidden="false" customHeight="false" outlineLevel="0" collapsed="false">
      <c r="A15" s="9" t="s">
        <v>526</v>
      </c>
      <c r="B15" s="9" t="s">
        <v>643</v>
      </c>
      <c r="C15" s="9" t="s">
        <v>643</v>
      </c>
      <c r="D15" s="9" t="s">
        <v>643</v>
      </c>
      <c r="E15" s="9" t="s">
        <v>643</v>
      </c>
      <c r="F15" s="9" t="s">
        <v>643</v>
      </c>
      <c r="G15" s="9" t="s">
        <v>643</v>
      </c>
      <c r="H15" s="9" t="s">
        <v>643</v>
      </c>
      <c r="I15" s="9" t="s">
        <v>644</v>
      </c>
      <c r="J15" s="9" t="s">
        <v>642</v>
      </c>
      <c r="K15" s="9" t="s">
        <v>643</v>
      </c>
      <c r="L15" s="9" t="s">
        <v>643</v>
      </c>
      <c r="M15" s="9" t="s">
        <v>643</v>
      </c>
      <c r="N15" s="9" t="s">
        <v>643</v>
      </c>
      <c r="O15" s="9" t="s">
        <v>643</v>
      </c>
      <c r="P15" s="9" t="s">
        <v>643</v>
      </c>
      <c r="Q15" s="9" t="s">
        <v>643</v>
      </c>
      <c r="R15" s="9" t="s">
        <v>643</v>
      </c>
      <c r="S15" s="9" t="s">
        <v>643</v>
      </c>
      <c r="T15" s="19" t="n">
        <f aca="false">COUNTIF(B15:S15,"CREATE")</f>
        <v>1</v>
      </c>
    </row>
    <row r="16" customFormat="false" ht="15" hidden="false" customHeight="false" outlineLevel="0" collapsed="false">
      <c r="A16" s="9" t="s">
        <v>530</v>
      </c>
      <c r="B16" s="9" t="s">
        <v>643</v>
      </c>
      <c r="C16" s="9" t="s">
        <v>643</v>
      </c>
      <c r="D16" s="9" t="s">
        <v>643</v>
      </c>
      <c r="E16" s="9" t="s">
        <v>643</v>
      </c>
      <c r="F16" s="9" t="s">
        <v>643</v>
      </c>
      <c r="G16" s="9" t="s">
        <v>643</v>
      </c>
      <c r="H16" s="9" t="s">
        <v>643</v>
      </c>
      <c r="I16" s="9" t="s">
        <v>643</v>
      </c>
      <c r="J16" s="9" t="s">
        <v>644</v>
      </c>
      <c r="K16" s="9" t="s">
        <v>642</v>
      </c>
      <c r="L16" s="9" t="s">
        <v>643</v>
      </c>
      <c r="M16" s="9" t="s">
        <v>643</v>
      </c>
      <c r="N16" s="9" t="s">
        <v>643</v>
      </c>
      <c r="O16" s="9" t="s">
        <v>643</v>
      </c>
      <c r="P16" s="9" t="s">
        <v>643</v>
      </c>
      <c r="Q16" s="9" t="s">
        <v>643</v>
      </c>
      <c r="R16" s="9" t="s">
        <v>643</v>
      </c>
      <c r="S16" s="9" t="s">
        <v>643</v>
      </c>
      <c r="T16" s="19" t="n">
        <f aca="false">COUNTIF(B16:S16,"CREATE")</f>
        <v>1</v>
      </c>
    </row>
    <row r="17" customFormat="false" ht="15" hidden="false" customHeight="false" outlineLevel="0" collapsed="false">
      <c r="A17" s="9" t="s">
        <v>534</v>
      </c>
      <c r="B17" s="9" t="s">
        <v>643</v>
      </c>
      <c r="C17" s="9" t="s">
        <v>643</v>
      </c>
      <c r="D17" s="9" t="s">
        <v>643</v>
      </c>
      <c r="E17" s="9" t="s">
        <v>643</v>
      </c>
      <c r="F17" s="9" t="s">
        <v>643</v>
      </c>
      <c r="G17" s="9" t="s">
        <v>643</v>
      </c>
      <c r="H17" s="9" t="s">
        <v>643</v>
      </c>
      <c r="I17" s="9" t="s">
        <v>643</v>
      </c>
      <c r="J17" s="9" t="s">
        <v>643</v>
      </c>
      <c r="K17" s="9" t="s">
        <v>644</v>
      </c>
      <c r="L17" s="9" t="s">
        <v>642</v>
      </c>
      <c r="M17" s="9" t="s">
        <v>643</v>
      </c>
      <c r="N17" s="9" t="s">
        <v>643</v>
      </c>
      <c r="O17" s="9" t="s">
        <v>643</v>
      </c>
      <c r="P17" s="9" t="s">
        <v>643</v>
      </c>
      <c r="Q17" s="9" t="s">
        <v>643</v>
      </c>
      <c r="R17" s="9" t="s">
        <v>643</v>
      </c>
      <c r="S17" s="9" t="s">
        <v>643</v>
      </c>
      <c r="T17" s="19" t="n">
        <f aca="false">COUNTIF(B17:S17,"CREATE")</f>
        <v>1</v>
      </c>
    </row>
    <row r="18" customFormat="false" ht="15" hidden="false" customHeight="false" outlineLevel="0" collapsed="false">
      <c r="A18" s="9" t="s">
        <v>538</v>
      </c>
      <c r="B18" s="9" t="s">
        <v>643</v>
      </c>
      <c r="C18" s="9" t="s">
        <v>643</v>
      </c>
      <c r="D18" s="9" t="s">
        <v>643</v>
      </c>
      <c r="E18" s="9" t="s">
        <v>643</v>
      </c>
      <c r="F18" s="9" t="s">
        <v>643</v>
      </c>
      <c r="G18" s="9" t="s">
        <v>643</v>
      </c>
      <c r="H18" s="9" t="s">
        <v>643</v>
      </c>
      <c r="I18" s="9" t="s">
        <v>643</v>
      </c>
      <c r="J18" s="9" t="s">
        <v>643</v>
      </c>
      <c r="K18" s="9" t="s">
        <v>643</v>
      </c>
      <c r="L18" s="9" t="s">
        <v>644</v>
      </c>
      <c r="M18" s="9" t="s">
        <v>642</v>
      </c>
      <c r="N18" s="9" t="s">
        <v>643</v>
      </c>
      <c r="O18" s="9" t="s">
        <v>643</v>
      </c>
      <c r="P18" s="9" t="s">
        <v>643</v>
      </c>
      <c r="Q18" s="9" t="s">
        <v>643</v>
      </c>
      <c r="R18" s="9" t="s">
        <v>643</v>
      </c>
      <c r="S18" s="9" t="s">
        <v>643</v>
      </c>
      <c r="T18" s="19" t="n">
        <f aca="false">COUNTIF(B18:S18,"CREATE")</f>
        <v>1</v>
      </c>
    </row>
    <row r="19" customFormat="false" ht="15" hidden="false" customHeight="false" outlineLevel="0" collapsed="false">
      <c r="A19" s="9" t="s">
        <v>542</v>
      </c>
      <c r="B19" s="9" t="s">
        <v>643</v>
      </c>
      <c r="C19" s="9" t="s">
        <v>643</v>
      </c>
      <c r="D19" s="9" t="s">
        <v>643</v>
      </c>
      <c r="E19" s="9" t="s">
        <v>643</v>
      </c>
      <c r="F19" s="9" t="s">
        <v>643</v>
      </c>
      <c r="G19" s="9" t="s">
        <v>643</v>
      </c>
      <c r="H19" s="9" t="s">
        <v>643</v>
      </c>
      <c r="I19" s="9" t="s">
        <v>643</v>
      </c>
      <c r="J19" s="9" t="s">
        <v>643</v>
      </c>
      <c r="K19" s="9" t="s">
        <v>643</v>
      </c>
      <c r="L19" s="9" t="s">
        <v>643</v>
      </c>
      <c r="M19" s="9" t="s">
        <v>644</v>
      </c>
      <c r="N19" s="9" t="s">
        <v>642</v>
      </c>
      <c r="O19" s="9" t="s">
        <v>642</v>
      </c>
      <c r="P19" s="9" t="s">
        <v>643</v>
      </c>
      <c r="Q19" s="9" t="s">
        <v>643</v>
      </c>
      <c r="R19" s="9" t="s">
        <v>643</v>
      </c>
      <c r="S19" s="9" t="s">
        <v>643</v>
      </c>
      <c r="T19" s="19" t="n">
        <f aca="false">COUNTIF(B19:S19,"CREATE")</f>
        <v>2</v>
      </c>
    </row>
    <row r="20" customFormat="false" ht="15" hidden="false" customHeight="false" outlineLevel="0" collapsed="false">
      <c r="A20" s="9" t="s">
        <v>549</v>
      </c>
      <c r="B20" s="9" t="s">
        <v>643</v>
      </c>
      <c r="C20" s="9" t="s">
        <v>643</v>
      </c>
      <c r="D20" s="9" t="s">
        <v>643</v>
      </c>
      <c r="E20" s="9" t="s">
        <v>643</v>
      </c>
      <c r="F20" s="9" t="s">
        <v>643</v>
      </c>
      <c r="G20" s="9" t="s">
        <v>643</v>
      </c>
      <c r="H20" s="9" t="s">
        <v>643</v>
      </c>
      <c r="I20" s="9" t="s">
        <v>643</v>
      </c>
      <c r="J20" s="9" t="s">
        <v>643</v>
      </c>
      <c r="K20" s="9" t="s">
        <v>643</v>
      </c>
      <c r="L20" s="9" t="s">
        <v>643</v>
      </c>
      <c r="M20" s="9" t="s">
        <v>643</v>
      </c>
      <c r="N20" s="9" t="s">
        <v>643</v>
      </c>
      <c r="O20" s="9" t="s">
        <v>644</v>
      </c>
      <c r="P20" s="9" t="s">
        <v>642</v>
      </c>
      <c r="Q20" s="9" t="s">
        <v>643</v>
      </c>
      <c r="R20" s="9" t="s">
        <v>644</v>
      </c>
      <c r="S20" s="9" t="s">
        <v>642</v>
      </c>
      <c r="T20" s="19" t="n">
        <f aca="false">COUNTIF(B20:S20,"CREATE")</f>
        <v>2</v>
      </c>
    </row>
    <row r="21" customFormat="false" ht="15" hidden="false" customHeight="false" outlineLevel="0" collapsed="false">
      <c r="A21" s="9" t="s">
        <v>553</v>
      </c>
      <c r="B21" s="9" t="s">
        <v>643</v>
      </c>
      <c r="C21" s="9" t="s">
        <v>643</v>
      </c>
      <c r="D21" s="9" t="s">
        <v>643</v>
      </c>
      <c r="E21" s="9" t="s">
        <v>643</v>
      </c>
      <c r="F21" s="9" t="s">
        <v>643</v>
      </c>
      <c r="G21" s="9" t="s">
        <v>643</v>
      </c>
      <c r="H21" s="9" t="s">
        <v>643</v>
      </c>
      <c r="I21" s="9" t="s">
        <v>643</v>
      </c>
      <c r="J21" s="9" t="s">
        <v>643</v>
      </c>
      <c r="K21" s="9" t="s">
        <v>643</v>
      </c>
      <c r="L21" s="9" t="s">
        <v>643</v>
      </c>
      <c r="M21" s="9" t="s">
        <v>643</v>
      </c>
      <c r="N21" s="9" t="s">
        <v>643</v>
      </c>
      <c r="O21" s="9" t="s">
        <v>643</v>
      </c>
      <c r="P21" s="9" t="s">
        <v>644</v>
      </c>
      <c r="Q21" s="9" t="s">
        <v>642</v>
      </c>
      <c r="R21" s="9" t="s">
        <v>643</v>
      </c>
      <c r="S21" s="9" t="s">
        <v>643</v>
      </c>
      <c r="T21" s="19" t="n">
        <f aca="false">COUNTIF(B21:S21,"CREATE")</f>
        <v>1</v>
      </c>
    </row>
    <row r="22" customFormat="false" ht="15" hidden="false" customHeight="false" outlineLevel="0" collapsed="false">
      <c r="A22" s="12" t="s">
        <v>557</v>
      </c>
      <c r="B22" s="12" t="s">
        <v>643</v>
      </c>
      <c r="C22" s="12" t="s">
        <v>643</v>
      </c>
      <c r="D22" s="12" t="s">
        <v>643</v>
      </c>
      <c r="E22" s="12" t="s">
        <v>643</v>
      </c>
      <c r="F22" s="12" t="s">
        <v>643</v>
      </c>
      <c r="G22" s="12" t="s">
        <v>643</v>
      </c>
      <c r="H22" s="12" t="s">
        <v>643</v>
      </c>
      <c r="I22" s="12" t="s">
        <v>643</v>
      </c>
      <c r="J22" s="12" t="s">
        <v>643</v>
      </c>
      <c r="K22" s="12" t="s">
        <v>643</v>
      </c>
      <c r="L22" s="12" t="s">
        <v>643</v>
      </c>
      <c r="M22" s="12" t="s">
        <v>643</v>
      </c>
      <c r="N22" s="12" t="s">
        <v>643</v>
      </c>
      <c r="O22" s="12" t="s">
        <v>643</v>
      </c>
      <c r="P22" s="12" t="s">
        <v>643</v>
      </c>
      <c r="Q22" s="12" t="s">
        <v>644</v>
      </c>
      <c r="R22" s="12" t="s">
        <v>642</v>
      </c>
      <c r="S22" s="12" t="s">
        <v>643</v>
      </c>
      <c r="T22" s="20" t="n">
        <f aca="false">COUNTIF(B22:S22,"CREATE")</f>
        <v>1</v>
      </c>
    </row>
  </sheetData>
  <mergeCells count="2">
    <mergeCell ref="A2:T2"/>
    <mergeCell ref="A4:T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5" min="4" style="0" width="31"/>
    <col collapsed="false" customWidth="true" hidden="false" outlineLevel="0" max="6" min="6" style="0" width="14"/>
  </cols>
  <sheetData>
    <row r="2" customFormat="false" ht="24" hidden="false" customHeight="true" outlineLevel="0" collapsed="false">
      <c r="A2" s="1" t="s">
        <v>645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646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231</v>
      </c>
      <c r="B6" s="6" t="s">
        <v>647</v>
      </c>
      <c r="C6" s="6" t="s">
        <v>648</v>
      </c>
      <c r="D6" s="6" t="s">
        <v>649</v>
      </c>
      <c r="E6" s="6" t="s">
        <v>650</v>
      </c>
      <c r="F6" s="7" t="s">
        <v>5</v>
      </c>
    </row>
    <row r="7" customFormat="false" ht="15" hidden="false" customHeight="false" outlineLevel="0" collapsed="false">
      <c r="A7" s="8" t="s">
        <v>651</v>
      </c>
      <c r="B7" s="8" t="s">
        <v>652</v>
      </c>
      <c r="C7" s="8" t="s">
        <v>653</v>
      </c>
      <c r="D7" s="8" t="s">
        <v>554</v>
      </c>
      <c r="E7" s="8" t="s">
        <v>654</v>
      </c>
      <c r="F7" s="8" t="s">
        <v>20</v>
      </c>
    </row>
    <row r="8" customFormat="false" ht="15" hidden="false" customHeight="false" outlineLevel="0" collapsed="false">
      <c r="A8" s="9" t="s">
        <v>655</v>
      </c>
      <c r="B8" s="9" t="s">
        <v>656</v>
      </c>
      <c r="C8" s="9" t="s">
        <v>657</v>
      </c>
      <c r="D8" s="9" t="s">
        <v>550</v>
      </c>
      <c r="E8" s="9" t="s">
        <v>658</v>
      </c>
      <c r="F8" s="9" t="s">
        <v>20</v>
      </c>
    </row>
    <row r="9" customFormat="false" ht="15" hidden="false" customHeight="false" outlineLevel="0" collapsed="false">
      <c r="A9" s="9" t="s">
        <v>659</v>
      </c>
      <c r="B9" s="9" t="s">
        <v>660</v>
      </c>
      <c r="C9" s="9" t="s">
        <v>661</v>
      </c>
      <c r="D9" s="9" t="s">
        <v>546</v>
      </c>
      <c r="E9" s="9" t="s">
        <v>658</v>
      </c>
      <c r="F9" s="9" t="s">
        <v>20</v>
      </c>
    </row>
    <row r="10" customFormat="false" ht="15" hidden="false" customHeight="false" outlineLevel="0" collapsed="false">
      <c r="A10" s="9" t="s">
        <v>662</v>
      </c>
      <c r="B10" s="9" t="s">
        <v>663</v>
      </c>
      <c r="C10" s="9" t="s">
        <v>664</v>
      </c>
      <c r="D10" s="9" t="s">
        <v>539</v>
      </c>
      <c r="E10" s="9" t="s">
        <v>658</v>
      </c>
      <c r="F10" s="9" t="s">
        <v>20</v>
      </c>
    </row>
    <row r="11" customFormat="false" ht="15" hidden="false" customHeight="false" outlineLevel="0" collapsed="false">
      <c r="A11" s="9" t="s">
        <v>665</v>
      </c>
      <c r="B11" s="9" t="s">
        <v>666</v>
      </c>
      <c r="C11" s="9" t="s">
        <v>667</v>
      </c>
      <c r="D11" s="9" t="s">
        <v>517</v>
      </c>
      <c r="E11" s="9" t="s">
        <v>658</v>
      </c>
      <c r="F11" s="9" t="s">
        <v>20</v>
      </c>
    </row>
    <row r="12" customFormat="false" ht="15" hidden="false" customHeight="false" outlineLevel="0" collapsed="false">
      <c r="A12" s="9" t="s">
        <v>668</v>
      </c>
      <c r="B12" s="9" t="s">
        <v>669</v>
      </c>
      <c r="C12" s="9" t="s">
        <v>670</v>
      </c>
      <c r="D12" s="9" t="s">
        <v>517</v>
      </c>
      <c r="E12" s="9" t="s">
        <v>671</v>
      </c>
      <c r="F12" s="9" t="s">
        <v>20</v>
      </c>
    </row>
    <row r="13" customFormat="false" ht="15" hidden="false" customHeight="false" outlineLevel="0" collapsed="false">
      <c r="A13" s="9" t="s">
        <v>672</v>
      </c>
      <c r="B13" s="9" t="s">
        <v>673</v>
      </c>
      <c r="C13" s="9" t="s">
        <v>674</v>
      </c>
      <c r="D13" s="9" t="s">
        <v>522</v>
      </c>
      <c r="E13" s="9" t="s">
        <v>658</v>
      </c>
      <c r="F13" s="9" t="s">
        <v>20</v>
      </c>
    </row>
    <row r="14" customFormat="false" ht="15" hidden="false" customHeight="false" outlineLevel="0" collapsed="false">
      <c r="A14" s="9" t="s">
        <v>675</v>
      </c>
      <c r="B14" s="9" t="s">
        <v>676</v>
      </c>
      <c r="C14" s="9" t="s">
        <v>677</v>
      </c>
      <c r="D14" s="9" t="s">
        <v>531</v>
      </c>
      <c r="E14" s="9" t="s">
        <v>678</v>
      </c>
      <c r="F14" s="9" t="s">
        <v>20</v>
      </c>
    </row>
    <row r="15" customFormat="false" ht="15" hidden="false" customHeight="false" outlineLevel="0" collapsed="false">
      <c r="A15" s="9" t="s">
        <v>679</v>
      </c>
      <c r="B15" s="9" t="s">
        <v>680</v>
      </c>
      <c r="C15" s="9" t="s">
        <v>681</v>
      </c>
      <c r="D15" s="9" t="s">
        <v>535</v>
      </c>
      <c r="E15" s="9" t="s">
        <v>682</v>
      </c>
      <c r="F15" s="9" t="s">
        <v>20</v>
      </c>
    </row>
    <row r="16" customFormat="false" ht="15" hidden="false" customHeight="false" outlineLevel="0" collapsed="false">
      <c r="A16" s="9" t="s">
        <v>683</v>
      </c>
      <c r="B16" s="9" t="s">
        <v>684</v>
      </c>
      <c r="C16" s="9" t="s">
        <v>685</v>
      </c>
      <c r="D16" s="9" t="s">
        <v>539</v>
      </c>
      <c r="E16" s="9" t="s">
        <v>686</v>
      </c>
      <c r="F16" s="9" t="s">
        <v>20</v>
      </c>
    </row>
    <row r="17" customFormat="false" ht="15" hidden="false" customHeight="false" outlineLevel="0" collapsed="false">
      <c r="A17" s="9" t="s">
        <v>687</v>
      </c>
      <c r="B17" s="9" t="s">
        <v>688</v>
      </c>
      <c r="C17" s="9" t="s">
        <v>689</v>
      </c>
      <c r="D17" s="9" t="s">
        <v>690</v>
      </c>
      <c r="E17" s="9" t="s">
        <v>691</v>
      </c>
      <c r="F17" s="9" t="s">
        <v>20</v>
      </c>
    </row>
    <row r="18" customFormat="false" ht="15" hidden="false" customHeight="false" outlineLevel="0" collapsed="false">
      <c r="A18" s="9" t="s">
        <v>692</v>
      </c>
      <c r="B18" s="9" t="s">
        <v>693</v>
      </c>
      <c r="C18" s="9" t="s">
        <v>694</v>
      </c>
      <c r="D18" s="9" t="s">
        <v>550</v>
      </c>
      <c r="E18" s="9" t="s">
        <v>695</v>
      </c>
      <c r="F18" s="9" t="s">
        <v>20</v>
      </c>
    </row>
    <row r="19" customFormat="false" ht="15" hidden="false" customHeight="false" outlineLevel="0" collapsed="false">
      <c r="A19" s="9" t="s">
        <v>696</v>
      </c>
      <c r="B19" s="9" t="s">
        <v>697</v>
      </c>
      <c r="C19" s="9" t="s">
        <v>698</v>
      </c>
      <c r="D19" s="9" t="s">
        <v>554</v>
      </c>
      <c r="E19" s="9" t="s">
        <v>699</v>
      </c>
      <c r="F19" s="9" t="s">
        <v>20</v>
      </c>
    </row>
    <row r="20" customFormat="false" ht="15" hidden="false" customHeight="false" outlineLevel="0" collapsed="false">
      <c r="A20" s="9" t="s">
        <v>700</v>
      </c>
      <c r="B20" s="9" t="s">
        <v>701</v>
      </c>
      <c r="C20" s="9" t="s">
        <v>702</v>
      </c>
      <c r="D20" s="9" t="s">
        <v>554</v>
      </c>
      <c r="E20" s="9" t="s">
        <v>703</v>
      </c>
      <c r="F20" s="9" t="s">
        <v>20</v>
      </c>
    </row>
    <row r="21" customFormat="false" ht="15" hidden="false" customHeight="false" outlineLevel="0" collapsed="false">
      <c r="A21" s="9" t="s">
        <v>704</v>
      </c>
      <c r="B21" s="9" t="s">
        <v>705</v>
      </c>
      <c r="C21" s="9" t="s">
        <v>706</v>
      </c>
      <c r="D21" s="9" t="s">
        <v>550</v>
      </c>
      <c r="E21" s="9" t="s">
        <v>707</v>
      </c>
      <c r="F21" s="9" t="s">
        <v>20</v>
      </c>
    </row>
    <row r="22" customFormat="false" ht="15" hidden="false" customHeight="false" outlineLevel="0" collapsed="false">
      <c r="A22" s="9" t="s">
        <v>708</v>
      </c>
      <c r="B22" s="9" t="s">
        <v>709</v>
      </c>
      <c r="C22" s="9" t="s">
        <v>710</v>
      </c>
      <c r="D22" s="9" t="s">
        <v>561</v>
      </c>
      <c r="E22" s="9" t="s">
        <v>711</v>
      </c>
      <c r="F22" s="9" t="s">
        <v>20</v>
      </c>
    </row>
    <row r="23" customFormat="false" ht="15" hidden="false" customHeight="false" outlineLevel="0" collapsed="false">
      <c r="A23" s="9" t="s">
        <v>712</v>
      </c>
      <c r="B23" s="9" t="s">
        <v>713</v>
      </c>
      <c r="C23" s="9" t="s">
        <v>714</v>
      </c>
      <c r="D23" s="9" t="s">
        <v>715</v>
      </c>
      <c r="E23" s="9" t="s">
        <v>716</v>
      </c>
      <c r="F23" s="9" t="s">
        <v>20</v>
      </c>
    </row>
    <row r="24" customFormat="false" ht="15" hidden="false" customHeight="false" outlineLevel="0" collapsed="false">
      <c r="A24" s="12" t="s">
        <v>717</v>
      </c>
      <c r="B24" s="12" t="s">
        <v>718</v>
      </c>
      <c r="C24" s="12" t="s">
        <v>719</v>
      </c>
      <c r="D24" s="12" t="s">
        <v>564</v>
      </c>
      <c r="E24" s="12" t="s">
        <v>720</v>
      </c>
      <c r="F24" s="12" t="s">
        <v>20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721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722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723</v>
      </c>
      <c r="B6" s="6" t="s">
        <v>286</v>
      </c>
      <c r="C6" s="6" t="s">
        <v>287</v>
      </c>
      <c r="D6" s="6" t="s">
        <v>289</v>
      </c>
      <c r="E6" s="6" t="s">
        <v>290</v>
      </c>
      <c r="F6" s="6" t="s">
        <v>291</v>
      </c>
      <c r="G6" s="6" t="s">
        <v>724</v>
      </c>
      <c r="H6" s="6" t="s">
        <v>725</v>
      </c>
      <c r="I6" s="6" t="s">
        <v>726</v>
      </c>
      <c r="J6" s="6" t="s">
        <v>727</v>
      </c>
      <c r="K6" s="7" t="s">
        <v>5</v>
      </c>
    </row>
    <row r="7" customFormat="false" ht="15" hidden="false" customHeight="false" outlineLevel="0" collapsed="false">
      <c r="A7" s="18" t="str">
        <f aca="false">"PKT-"&amp;B7&amp;"-CONFIGURATION"</f>
        <v>PKT-SUB-01-CONFIGURATION</v>
      </c>
      <c r="B7" s="18" t="str">
        <f aca="false">'Object Crosswalk'!A7</f>
        <v>SUB-01</v>
      </c>
      <c r="C7" s="18" t="str">
        <f aca="false">'Object Crosswalk'!B7</f>
        <v>Civil substrate</v>
      </c>
      <c r="D7" s="18" t="str">
        <f aca="false">'Object Crosswalk'!D7</f>
        <v>MULTI</v>
      </c>
      <c r="E7" s="18" t="str">
        <f aca="false">'Object Crosswalk'!E7</f>
        <v>—</v>
      </c>
      <c r="F7" s="18" t="str">
        <f aca="false">'Object Crosswalk'!F7</f>
        <v>ROTATED</v>
      </c>
      <c r="G7" s="8" t="s">
        <v>728</v>
      </c>
      <c r="H7" s="28" t="s">
        <v>58</v>
      </c>
      <c r="I7" s="29" t="n">
        <f aca="false">0</f>
        <v>0</v>
      </c>
      <c r="J7" s="28" t="s">
        <v>576</v>
      </c>
      <c r="K7" s="29" t="str">
        <f aca="false">IF(I7=1,"ACCEPTED","OPEN")</f>
        <v>OPEN</v>
      </c>
    </row>
    <row r="8" customFormat="false" ht="15" hidden="false" customHeight="false" outlineLevel="0" collapsed="false">
      <c r="A8" s="19" t="str">
        <f aca="false">"PKT-"&amp;B8&amp;"-CONTROL"</f>
        <v>PKT-SUB-01-CONTROL</v>
      </c>
      <c r="B8" s="19" t="str">
        <f aca="false">'Object Crosswalk'!A7</f>
        <v>SUB-01</v>
      </c>
      <c r="C8" s="19" t="str">
        <f aca="false">'Object Crosswalk'!B7</f>
        <v>Civil substrate</v>
      </c>
      <c r="D8" s="19" t="str">
        <f aca="false">'Object Crosswalk'!D7</f>
        <v>MULTI</v>
      </c>
      <c r="E8" s="19" t="str">
        <f aca="false">'Object Crosswalk'!E7</f>
        <v>—</v>
      </c>
      <c r="F8" s="19" t="str">
        <f aca="false">'Object Crosswalk'!F7</f>
        <v>ROTATED</v>
      </c>
      <c r="G8" s="9" t="s">
        <v>333</v>
      </c>
      <c r="H8" s="11" t="s">
        <v>58</v>
      </c>
      <c r="I8" s="32" t="n">
        <f aca="false">0</f>
        <v>0</v>
      </c>
      <c r="J8" s="11" t="s">
        <v>576</v>
      </c>
      <c r="K8" s="32" t="str">
        <f aca="false">IF(I8=1,"ACCEPTED","OPEN")</f>
        <v>OPEN</v>
      </c>
    </row>
    <row r="9" customFormat="false" ht="15" hidden="false" customHeight="false" outlineLevel="0" collapsed="false">
      <c r="A9" s="19" t="str">
        <f aca="false">"PKT-"&amp;B9&amp;"-METROLOGY"</f>
        <v>PKT-SUB-01-METROLOGY</v>
      </c>
      <c r="B9" s="19" t="str">
        <f aca="false">'Object Crosswalk'!A7</f>
        <v>SUB-01</v>
      </c>
      <c r="C9" s="19" t="str">
        <f aca="false">'Object Crosswalk'!B7</f>
        <v>Civil substrate</v>
      </c>
      <c r="D9" s="19" t="str">
        <f aca="false">'Object Crosswalk'!D7</f>
        <v>MULTI</v>
      </c>
      <c r="E9" s="19" t="str">
        <f aca="false">'Object Crosswalk'!E7</f>
        <v>—</v>
      </c>
      <c r="F9" s="19" t="str">
        <f aca="false">'Object Crosswalk'!F7</f>
        <v>ROTATED</v>
      </c>
      <c r="G9" s="9" t="s">
        <v>729</v>
      </c>
      <c r="H9" s="11" t="s">
        <v>58</v>
      </c>
      <c r="I9" s="32" t="n">
        <f aca="false">0</f>
        <v>0</v>
      </c>
      <c r="J9" s="11" t="s">
        <v>576</v>
      </c>
      <c r="K9" s="32" t="str">
        <f aca="false">IF(I9=1,"ACCEPTED","OPEN")</f>
        <v>OPEN</v>
      </c>
    </row>
    <row r="10" customFormat="false" ht="15" hidden="false" customHeight="false" outlineLevel="0" collapsed="false">
      <c r="A10" s="19" t="str">
        <f aca="false">"PKT-"&amp;B10&amp;"-SAFETY"</f>
        <v>PKT-SUB-01-SAFETY</v>
      </c>
      <c r="B10" s="19" t="str">
        <f aca="false">'Object Crosswalk'!A7</f>
        <v>SUB-01</v>
      </c>
      <c r="C10" s="19" t="str">
        <f aca="false">'Object Crosswalk'!B7</f>
        <v>Civil substrate</v>
      </c>
      <c r="D10" s="19" t="str">
        <f aca="false">'Object Crosswalk'!D7</f>
        <v>MULTI</v>
      </c>
      <c r="E10" s="19" t="str">
        <f aca="false">'Object Crosswalk'!E7</f>
        <v>—</v>
      </c>
      <c r="F10" s="19" t="str">
        <f aca="false">'Object Crosswalk'!F7</f>
        <v>ROTATED</v>
      </c>
      <c r="G10" s="9" t="s">
        <v>730</v>
      </c>
      <c r="H10" s="11" t="s">
        <v>58</v>
      </c>
      <c r="I10" s="32" t="n">
        <f aca="false">0</f>
        <v>0</v>
      </c>
      <c r="J10" s="11" t="s">
        <v>576</v>
      </c>
      <c r="K10" s="32" t="str">
        <f aca="false">IF(I10=1,"ACCEPTED","OPEN")</f>
        <v>OPEN</v>
      </c>
    </row>
    <row r="11" customFormat="false" ht="15" hidden="false" customHeight="false" outlineLevel="0" collapsed="false">
      <c r="A11" s="19" t="str">
        <f aca="false">"PKT-"&amp;B11&amp;"-RECONSTRUCTION"</f>
        <v>PKT-SUB-01-RECONSTRUCTION</v>
      </c>
      <c r="B11" s="19" t="str">
        <f aca="false">'Object Crosswalk'!A7</f>
        <v>SUB-01</v>
      </c>
      <c r="C11" s="19" t="str">
        <f aca="false">'Object Crosswalk'!B7</f>
        <v>Civil substrate</v>
      </c>
      <c r="D11" s="19" t="str">
        <f aca="false">'Object Crosswalk'!D7</f>
        <v>MULTI</v>
      </c>
      <c r="E11" s="19" t="str">
        <f aca="false">'Object Crosswalk'!E7</f>
        <v>—</v>
      </c>
      <c r="F11" s="19" t="str">
        <f aca="false">'Object Crosswalk'!F7</f>
        <v>ROTATED</v>
      </c>
      <c r="G11" s="9" t="s">
        <v>341</v>
      </c>
      <c r="H11" s="11" t="s">
        <v>58</v>
      </c>
      <c r="I11" s="32" t="n">
        <f aca="false">0</f>
        <v>0</v>
      </c>
      <c r="J11" s="11" t="s">
        <v>576</v>
      </c>
      <c r="K11" s="32" t="str">
        <f aca="false">IF(I11=1,"ACCEPTED","OPEN")</f>
        <v>OPEN</v>
      </c>
    </row>
    <row r="12" customFormat="false" ht="15" hidden="false" customHeight="false" outlineLevel="0" collapsed="false">
      <c r="A12" s="19" t="str">
        <f aca="false">"PKT-"&amp;B12&amp;"-CONFIGURATION"</f>
        <v>PKT-SUB-02-CONFIGURATION</v>
      </c>
      <c r="B12" s="19" t="str">
        <f aca="false">'Object Crosswalk'!A8</f>
        <v>SUB-02</v>
      </c>
      <c r="C12" s="19" t="str">
        <f aca="false">'Object Crosswalk'!B8</f>
        <v>Civil substrate</v>
      </c>
      <c r="D12" s="19" t="str">
        <f aca="false">'Object Crosswalk'!D8</f>
        <v>MULTI</v>
      </c>
      <c r="E12" s="19" t="str">
        <f aca="false">'Object Crosswalk'!E8</f>
        <v>—</v>
      </c>
      <c r="F12" s="19" t="str">
        <f aca="false">'Object Crosswalk'!F8</f>
        <v>ROTATED</v>
      </c>
      <c r="G12" s="9" t="s">
        <v>728</v>
      </c>
      <c r="H12" s="11" t="s">
        <v>58</v>
      </c>
      <c r="I12" s="32" t="n">
        <f aca="false">0</f>
        <v>0</v>
      </c>
      <c r="J12" s="11" t="s">
        <v>576</v>
      </c>
      <c r="K12" s="32" t="str">
        <f aca="false">IF(I12=1,"ACCEPTED","OPEN")</f>
        <v>OPEN</v>
      </c>
    </row>
    <row r="13" customFormat="false" ht="15" hidden="false" customHeight="false" outlineLevel="0" collapsed="false">
      <c r="A13" s="19" t="str">
        <f aca="false">"PKT-"&amp;B13&amp;"-CONTROL"</f>
        <v>PKT-SUB-02-CONTROL</v>
      </c>
      <c r="B13" s="19" t="str">
        <f aca="false">'Object Crosswalk'!A8</f>
        <v>SUB-02</v>
      </c>
      <c r="C13" s="19" t="str">
        <f aca="false">'Object Crosswalk'!B8</f>
        <v>Civil substrate</v>
      </c>
      <c r="D13" s="19" t="str">
        <f aca="false">'Object Crosswalk'!D8</f>
        <v>MULTI</v>
      </c>
      <c r="E13" s="19" t="str">
        <f aca="false">'Object Crosswalk'!E8</f>
        <v>—</v>
      </c>
      <c r="F13" s="19" t="str">
        <f aca="false">'Object Crosswalk'!F8</f>
        <v>ROTATED</v>
      </c>
      <c r="G13" s="9" t="s">
        <v>333</v>
      </c>
      <c r="H13" s="11" t="s">
        <v>58</v>
      </c>
      <c r="I13" s="32" t="n">
        <f aca="false">0</f>
        <v>0</v>
      </c>
      <c r="J13" s="11" t="s">
        <v>576</v>
      </c>
      <c r="K13" s="32" t="str">
        <f aca="false">IF(I13=1,"ACCEPTED","OPEN")</f>
        <v>OPEN</v>
      </c>
    </row>
    <row r="14" customFormat="false" ht="15" hidden="false" customHeight="false" outlineLevel="0" collapsed="false">
      <c r="A14" s="19" t="str">
        <f aca="false">"PKT-"&amp;B14&amp;"-METROLOGY"</f>
        <v>PKT-SUB-02-METROLOGY</v>
      </c>
      <c r="B14" s="19" t="str">
        <f aca="false">'Object Crosswalk'!A8</f>
        <v>SUB-02</v>
      </c>
      <c r="C14" s="19" t="str">
        <f aca="false">'Object Crosswalk'!B8</f>
        <v>Civil substrate</v>
      </c>
      <c r="D14" s="19" t="str">
        <f aca="false">'Object Crosswalk'!D8</f>
        <v>MULTI</v>
      </c>
      <c r="E14" s="19" t="str">
        <f aca="false">'Object Crosswalk'!E8</f>
        <v>—</v>
      </c>
      <c r="F14" s="19" t="str">
        <f aca="false">'Object Crosswalk'!F8</f>
        <v>ROTATED</v>
      </c>
      <c r="G14" s="9" t="s">
        <v>729</v>
      </c>
      <c r="H14" s="11" t="s">
        <v>58</v>
      </c>
      <c r="I14" s="32" t="n">
        <f aca="false">0</f>
        <v>0</v>
      </c>
      <c r="J14" s="11" t="s">
        <v>576</v>
      </c>
      <c r="K14" s="32" t="str">
        <f aca="false">IF(I14=1,"ACCEPTED","OPEN")</f>
        <v>OPEN</v>
      </c>
    </row>
    <row r="15" customFormat="false" ht="15" hidden="false" customHeight="false" outlineLevel="0" collapsed="false">
      <c r="A15" s="19" t="str">
        <f aca="false">"PKT-"&amp;B15&amp;"-SAFETY"</f>
        <v>PKT-SUB-02-SAFETY</v>
      </c>
      <c r="B15" s="19" t="str">
        <f aca="false">'Object Crosswalk'!A8</f>
        <v>SUB-02</v>
      </c>
      <c r="C15" s="19" t="str">
        <f aca="false">'Object Crosswalk'!B8</f>
        <v>Civil substrate</v>
      </c>
      <c r="D15" s="19" t="str">
        <f aca="false">'Object Crosswalk'!D8</f>
        <v>MULTI</v>
      </c>
      <c r="E15" s="19" t="str">
        <f aca="false">'Object Crosswalk'!E8</f>
        <v>—</v>
      </c>
      <c r="F15" s="19" t="str">
        <f aca="false">'Object Crosswalk'!F8</f>
        <v>ROTATED</v>
      </c>
      <c r="G15" s="9" t="s">
        <v>730</v>
      </c>
      <c r="H15" s="11" t="s">
        <v>58</v>
      </c>
      <c r="I15" s="32" t="n">
        <f aca="false">0</f>
        <v>0</v>
      </c>
      <c r="J15" s="11" t="s">
        <v>576</v>
      </c>
      <c r="K15" s="32" t="str">
        <f aca="false">IF(I15=1,"ACCEPTED","OPEN")</f>
        <v>OPEN</v>
      </c>
    </row>
    <row r="16" customFormat="false" ht="15" hidden="false" customHeight="false" outlineLevel="0" collapsed="false">
      <c r="A16" s="19" t="str">
        <f aca="false">"PKT-"&amp;B16&amp;"-RECONSTRUCTION"</f>
        <v>PKT-SUB-02-RECONSTRUCTION</v>
      </c>
      <c r="B16" s="19" t="str">
        <f aca="false">'Object Crosswalk'!A8</f>
        <v>SUB-02</v>
      </c>
      <c r="C16" s="19" t="str">
        <f aca="false">'Object Crosswalk'!B8</f>
        <v>Civil substrate</v>
      </c>
      <c r="D16" s="19" t="str">
        <f aca="false">'Object Crosswalk'!D8</f>
        <v>MULTI</v>
      </c>
      <c r="E16" s="19" t="str">
        <f aca="false">'Object Crosswalk'!E8</f>
        <v>—</v>
      </c>
      <c r="F16" s="19" t="str">
        <f aca="false">'Object Crosswalk'!F8</f>
        <v>ROTATED</v>
      </c>
      <c r="G16" s="9" t="s">
        <v>341</v>
      </c>
      <c r="H16" s="11" t="s">
        <v>58</v>
      </c>
      <c r="I16" s="32" t="n">
        <f aca="false">0</f>
        <v>0</v>
      </c>
      <c r="J16" s="11" t="s">
        <v>576</v>
      </c>
      <c r="K16" s="32" t="str">
        <f aca="false">IF(I16=1,"ACCEPTED","OPEN")</f>
        <v>OPEN</v>
      </c>
    </row>
    <row r="17" customFormat="false" ht="15" hidden="false" customHeight="false" outlineLevel="0" collapsed="false">
      <c r="A17" s="19" t="str">
        <f aca="false">"PKT-"&amp;B17&amp;"-CONFIGURATION"</f>
        <v>PKT-SUB-03-CONFIGURATION</v>
      </c>
      <c r="B17" s="19" t="str">
        <f aca="false">'Object Crosswalk'!A9</f>
        <v>SUB-03</v>
      </c>
      <c r="C17" s="19" t="str">
        <f aca="false">'Object Crosswalk'!B9</f>
        <v>Civil substrate</v>
      </c>
      <c r="D17" s="19" t="str">
        <f aca="false">'Object Crosswalk'!D9</f>
        <v>MULTI</v>
      </c>
      <c r="E17" s="19" t="str">
        <f aca="false">'Object Crosswalk'!E9</f>
        <v>—</v>
      </c>
      <c r="F17" s="19" t="str">
        <f aca="false">'Object Crosswalk'!F9</f>
        <v>ROTATED</v>
      </c>
      <c r="G17" s="9" t="s">
        <v>728</v>
      </c>
      <c r="H17" s="11" t="s">
        <v>58</v>
      </c>
      <c r="I17" s="32" t="n">
        <f aca="false">0</f>
        <v>0</v>
      </c>
      <c r="J17" s="11" t="s">
        <v>576</v>
      </c>
      <c r="K17" s="32" t="str">
        <f aca="false">IF(I17=1,"ACCEPTED","OPEN")</f>
        <v>OPEN</v>
      </c>
    </row>
    <row r="18" customFormat="false" ht="15" hidden="false" customHeight="false" outlineLevel="0" collapsed="false">
      <c r="A18" s="19" t="str">
        <f aca="false">"PKT-"&amp;B18&amp;"-CONTROL"</f>
        <v>PKT-SUB-03-CONTROL</v>
      </c>
      <c r="B18" s="19" t="str">
        <f aca="false">'Object Crosswalk'!A9</f>
        <v>SUB-03</v>
      </c>
      <c r="C18" s="19" t="str">
        <f aca="false">'Object Crosswalk'!B9</f>
        <v>Civil substrate</v>
      </c>
      <c r="D18" s="19" t="str">
        <f aca="false">'Object Crosswalk'!D9</f>
        <v>MULTI</v>
      </c>
      <c r="E18" s="19" t="str">
        <f aca="false">'Object Crosswalk'!E9</f>
        <v>—</v>
      </c>
      <c r="F18" s="19" t="str">
        <f aca="false">'Object Crosswalk'!F9</f>
        <v>ROTATED</v>
      </c>
      <c r="G18" s="9" t="s">
        <v>333</v>
      </c>
      <c r="H18" s="11" t="s">
        <v>58</v>
      </c>
      <c r="I18" s="32" t="n">
        <f aca="false">0</f>
        <v>0</v>
      </c>
      <c r="J18" s="11" t="s">
        <v>576</v>
      </c>
      <c r="K18" s="32" t="str">
        <f aca="false">IF(I18=1,"ACCEPTED","OPEN")</f>
        <v>OPEN</v>
      </c>
    </row>
    <row r="19" customFormat="false" ht="15" hidden="false" customHeight="false" outlineLevel="0" collapsed="false">
      <c r="A19" s="19" t="str">
        <f aca="false">"PKT-"&amp;B19&amp;"-METROLOGY"</f>
        <v>PKT-SUB-03-METROLOGY</v>
      </c>
      <c r="B19" s="19" t="str">
        <f aca="false">'Object Crosswalk'!A9</f>
        <v>SUB-03</v>
      </c>
      <c r="C19" s="19" t="str">
        <f aca="false">'Object Crosswalk'!B9</f>
        <v>Civil substrate</v>
      </c>
      <c r="D19" s="19" t="str">
        <f aca="false">'Object Crosswalk'!D9</f>
        <v>MULTI</v>
      </c>
      <c r="E19" s="19" t="str">
        <f aca="false">'Object Crosswalk'!E9</f>
        <v>—</v>
      </c>
      <c r="F19" s="19" t="str">
        <f aca="false">'Object Crosswalk'!F9</f>
        <v>ROTATED</v>
      </c>
      <c r="G19" s="9" t="s">
        <v>729</v>
      </c>
      <c r="H19" s="11" t="s">
        <v>58</v>
      </c>
      <c r="I19" s="32" t="n">
        <f aca="false">0</f>
        <v>0</v>
      </c>
      <c r="J19" s="11" t="s">
        <v>576</v>
      </c>
      <c r="K19" s="32" t="str">
        <f aca="false">IF(I19=1,"ACCEPTED","OPEN")</f>
        <v>OPEN</v>
      </c>
    </row>
    <row r="20" customFormat="false" ht="15" hidden="false" customHeight="false" outlineLevel="0" collapsed="false">
      <c r="A20" s="19" t="str">
        <f aca="false">"PKT-"&amp;B20&amp;"-SAFETY"</f>
        <v>PKT-SUB-03-SAFETY</v>
      </c>
      <c r="B20" s="19" t="str">
        <f aca="false">'Object Crosswalk'!A9</f>
        <v>SUB-03</v>
      </c>
      <c r="C20" s="19" t="str">
        <f aca="false">'Object Crosswalk'!B9</f>
        <v>Civil substrate</v>
      </c>
      <c r="D20" s="19" t="str">
        <f aca="false">'Object Crosswalk'!D9</f>
        <v>MULTI</v>
      </c>
      <c r="E20" s="19" t="str">
        <f aca="false">'Object Crosswalk'!E9</f>
        <v>—</v>
      </c>
      <c r="F20" s="19" t="str">
        <f aca="false">'Object Crosswalk'!F9</f>
        <v>ROTATED</v>
      </c>
      <c r="G20" s="9" t="s">
        <v>730</v>
      </c>
      <c r="H20" s="11" t="s">
        <v>58</v>
      </c>
      <c r="I20" s="32" t="n">
        <f aca="false">0</f>
        <v>0</v>
      </c>
      <c r="J20" s="11" t="s">
        <v>576</v>
      </c>
      <c r="K20" s="32" t="str">
        <f aca="false">IF(I20=1,"ACCEPTED","OPEN")</f>
        <v>OPEN</v>
      </c>
    </row>
    <row r="21" customFormat="false" ht="15" hidden="false" customHeight="false" outlineLevel="0" collapsed="false">
      <c r="A21" s="19" t="str">
        <f aca="false">"PKT-"&amp;B21&amp;"-RECONSTRUCTION"</f>
        <v>PKT-SUB-03-RECONSTRUCTION</v>
      </c>
      <c r="B21" s="19" t="str">
        <f aca="false">'Object Crosswalk'!A9</f>
        <v>SUB-03</v>
      </c>
      <c r="C21" s="19" t="str">
        <f aca="false">'Object Crosswalk'!B9</f>
        <v>Civil substrate</v>
      </c>
      <c r="D21" s="19" t="str">
        <f aca="false">'Object Crosswalk'!D9</f>
        <v>MULTI</v>
      </c>
      <c r="E21" s="19" t="str">
        <f aca="false">'Object Crosswalk'!E9</f>
        <v>—</v>
      </c>
      <c r="F21" s="19" t="str">
        <f aca="false">'Object Crosswalk'!F9</f>
        <v>ROTATED</v>
      </c>
      <c r="G21" s="9" t="s">
        <v>341</v>
      </c>
      <c r="H21" s="11" t="s">
        <v>58</v>
      </c>
      <c r="I21" s="32" t="n">
        <f aca="false">0</f>
        <v>0</v>
      </c>
      <c r="J21" s="11" t="s">
        <v>576</v>
      </c>
      <c r="K21" s="32" t="str">
        <f aca="false">IF(I21=1,"ACCEPTED","OPEN")</f>
        <v>OPEN</v>
      </c>
    </row>
    <row r="22" customFormat="false" ht="15" hidden="false" customHeight="false" outlineLevel="0" collapsed="false">
      <c r="A22" s="19" t="str">
        <f aca="false">"PKT-"&amp;B22&amp;"-CONFIGURATION"</f>
        <v>PKT-SUB-04-CONFIGURATION</v>
      </c>
      <c r="B22" s="19" t="str">
        <f aca="false">'Object Crosswalk'!A10</f>
        <v>SUB-04</v>
      </c>
      <c r="C22" s="19" t="str">
        <f aca="false">'Object Crosswalk'!B10</f>
        <v>Civil substrate</v>
      </c>
      <c r="D22" s="19" t="str">
        <f aca="false">'Object Crosswalk'!D10</f>
        <v>MULTI</v>
      </c>
      <c r="E22" s="19" t="str">
        <f aca="false">'Object Crosswalk'!E10</f>
        <v>—</v>
      </c>
      <c r="F22" s="19" t="str">
        <f aca="false">'Object Crosswalk'!F10</f>
        <v>ROTATED</v>
      </c>
      <c r="G22" s="9" t="s">
        <v>728</v>
      </c>
      <c r="H22" s="11" t="s">
        <v>58</v>
      </c>
      <c r="I22" s="32" t="n">
        <f aca="false">0</f>
        <v>0</v>
      </c>
      <c r="J22" s="11" t="s">
        <v>576</v>
      </c>
      <c r="K22" s="32" t="str">
        <f aca="false">IF(I22=1,"ACCEPTED","OPEN")</f>
        <v>OPEN</v>
      </c>
    </row>
    <row r="23" customFormat="false" ht="15" hidden="false" customHeight="false" outlineLevel="0" collapsed="false">
      <c r="A23" s="19" t="str">
        <f aca="false">"PKT-"&amp;B23&amp;"-CONTROL"</f>
        <v>PKT-SUB-04-CONTROL</v>
      </c>
      <c r="B23" s="19" t="str">
        <f aca="false">'Object Crosswalk'!A10</f>
        <v>SUB-04</v>
      </c>
      <c r="C23" s="19" t="str">
        <f aca="false">'Object Crosswalk'!B10</f>
        <v>Civil substrate</v>
      </c>
      <c r="D23" s="19" t="str">
        <f aca="false">'Object Crosswalk'!D10</f>
        <v>MULTI</v>
      </c>
      <c r="E23" s="19" t="str">
        <f aca="false">'Object Crosswalk'!E10</f>
        <v>—</v>
      </c>
      <c r="F23" s="19" t="str">
        <f aca="false">'Object Crosswalk'!F10</f>
        <v>ROTATED</v>
      </c>
      <c r="G23" s="9" t="s">
        <v>333</v>
      </c>
      <c r="H23" s="11" t="s">
        <v>58</v>
      </c>
      <c r="I23" s="32" t="n">
        <f aca="false">0</f>
        <v>0</v>
      </c>
      <c r="J23" s="11" t="s">
        <v>576</v>
      </c>
      <c r="K23" s="32" t="str">
        <f aca="false">IF(I23=1,"ACCEPTED","OPEN")</f>
        <v>OPEN</v>
      </c>
    </row>
    <row r="24" customFormat="false" ht="15" hidden="false" customHeight="false" outlineLevel="0" collapsed="false">
      <c r="A24" s="19" t="str">
        <f aca="false">"PKT-"&amp;B24&amp;"-METROLOGY"</f>
        <v>PKT-SUB-04-METROLOGY</v>
      </c>
      <c r="B24" s="19" t="str">
        <f aca="false">'Object Crosswalk'!A10</f>
        <v>SUB-04</v>
      </c>
      <c r="C24" s="19" t="str">
        <f aca="false">'Object Crosswalk'!B10</f>
        <v>Civil substrate</v>
      </c>
      <c r="D24" s="19" t="str">
        <f aca="false">'Object Crosswalk'!D10</f>
        <v>MULTI</v>
      </c>
      <c r="E24" s="19" t="str">
        <f aca="false">'Object Crosswalk'!E10</f>
        <v>—</v>
      </c>
      <c r="F24" s="19" t="str">
        <f aca="false">'Object Crosswalk'!F10</f>
        <v>ROTATED</v>
      </c>
      <c r="G24" s="9" t="s">
        <v>729</v>
      </c>
      <c r="H24" s="11" t="s">
        <v>58</v>
      </c>
      <c r="I24" s="32" t="n">
        <f aca="false">0</f>
        <v>0</v>
      </c>
      <c r="J24" s="11" t="s">
        <v>576</v>
      </c>
      <c r="K24" s="32" t="str">
        <f aca="false">IF(I24=1,"ACCEPTED","OPEN")</f>
        <v>OPEN</v>
      </c>
    </row>
    <row r="25" customFormat="false" ht="15" hidden="false" customHeight="false" outlineLevel="0" collapsed="false">
      <c r="A25" s="19" t="str">
        <f aca="false">"PKT-"&amp;B25&amp;"-SAFETY"</f>
        <v>PKT-SUB-04-SAFETY</v>
      </c>
      <c r="B25" s="19" t="str">
        <f aca="false">'Object Crosswalk'!A10</f>
        <v>SUB-04</v>
      </c>
      <c r="C25" s="19" t="str">
        <f aca="false">'Object Crosswalk'!B10</f>
        <v>Civil substrate</v>
      </c>
      <c r="D25" s="19" t="str">
        <f aca="false">'Object Crosswalk'!D10</f>
        <v>MULTI</v>
      </c>
      <c r="E25" s="19" t="str">
        <f aca="false">'Object Crosswalk'!E10</f>
        <v>—</v>
      </c>
      <c r="F25" s="19" t="str">
        <f aca="false">'Object Crosswalk'!F10</f>
        <v>ROTATED</v>
      </c>
      <c r="G25" s="9" t="s">
        <v>730</v>
      </c>
      <c r="H25" s="11" t="s">
        <v>58</v>
      </c>
      <c r="I25" s="32" t="n">
        <f aca="false">0</f>
        <v>0</v>
      </c>
      <c r="J25" s="11" t="s">
        <v>576</v>
      </c>
      <c r="K25" s="32" t="str">
        <f aca="false">IF(I25=1,"ACCEPTED","OPEN")</f>
        <v>OPEN</v>
      </c>
    </row>
    <row r="26" customFormat="false" ht="15" hidden="false" customHeight="false" outlineLevel="0" collapsed="false">
      <c r="A26" s="19" t="str">
        <f aca="false">"PKT-"&amp;B26&amp;"-RECONSTRUCTION"</f>
        <v>PKT-SUB-04-RECONSTRUCTION</v>
      </c>
      <c r="B26" s="19" t="str">
        <f aca="false">'Object Crosswalk'!A10</f>
        <v>SUB-04</v>
      </c>
      <c r="C26" s="19" t="str">
        <f aca="false">'Object Crosswalk'!B10</f>
        <v>Civil substrate</v>
      </c>
      <c r="D26" s="19" t="str">
        <f aca="false">'Object Crosswalk'!D10</f>
        <v>MULTI</v>
      </c>
      <c r="E26" s="19" t="str">
        <f aca="false">'Object Crosswalk'!E10</f>
        <v>—</v>
      </c>
      <c r="F26" s="19" t="str">
        <f aca="false">'Object Crosswalk'!F10</f>
        <v>ROTATED</v>
      </c>
      <c r="G26" s="9" t="s">
        <v>341</v>
      </c>
      <c r="H26" s="11" t="s">
        <v>58</v>
      </c>
      <c r="I26" s="32" t="n">
        <f aca="false">0</f>
        <v>0</v>
      </c>
      <c r="J26" s="11" t="s">
        <v>576</v>
      </c>
      <c r="K26" s="32" t="str">
        <f aca="false">IF(I26=1,"ACCEPTED","OPEN")</f>
        <v>OPEN</v>
      </c>
    </row>
    <row r="27" customFormat="false" ht="15" hidden="false" customHeight="false" outlineLevel="0" collapsed="false">
      <c r="A27" s="19" t="str">
        <f aca="false">"PKT-"&amp;B27&amp;"-CONFIGURATION"</f>
        <v>PKT-SUB-05-CONFIGURATION</v>
      </c>
      <c r="B27" s="19" t="str">
        <f aca="false">'Object Crosswalk'!A11</f>
        <v>SUB-05</v>
      </c>
      <c r="C27" s="19" t="str">
        <f aca="false">'Object Crosswalk'!B11</f>
        <v>Civil substrate</v>
      </c>
      <c r="D27" s="19" t="str">
        <f aca="false">'Object Crosswalk'!D11</f>
        <v>MULTI</v>
      </c>
      <c r="E27" s="19" t="str">
        <f aca="false">'Object Crosswalk'!E11</f>
        <v>—</v>
      </c>
      <c r="F27" s="19" t="str">
        <f aca="false">'Object Crosswalk'!F11</f>
        <v>ROTATED</v>
      </c>
      <c r="G27" s="9" t="s">
        <v>728</v>
      </c>
      <c r="H27" s="11" t="s">
        <v>58</v>
      </c>
      <c r="I27" s="32" t="n">
        <f aca="false">0</f>
        <v>0</v>
      </c>
      <c r="J27" s="11" t="s">
        <v>576</v>
      </c>
      <c r="K27" s="32" t="str">
        <f aca="false">IF(I27=1,"ACCEPTED","OPEN")</f>
        <v>OPEN</v>
      </c>
    </row>
    <row r="28" customFormat="false" ht="15" hidden="false" customHeight="false" outlineLevel="0" collapsed="false">
      <c r="A28" s="19" t="str">
        <f aca="false">"PKT-"&amp;B28&amp;"-CONTROL"</f>
        <v>PKT-SUB-05-CONTROL</v>
      </c>
      <c r="B28" s="19" t="str">
        <f aca="false">'Object Crosswalk'!A11</f>
        <v>SUB-05</v>
      </c>
      <c r="C28" s="19" t="str">
        <f aca="false">'Object Crosswalk'!B11</f>
        <v>Civil substrate</v>
      </c>
      <c r="D28" s="19" t="str">
        <f aca="false">'Object Crosswalk'!D11</f>
        <v>MULTI</v>
      </c>
      <c r="E28" s="19" t="str">
        <f aca="false">'Object Crosswalk'!E11</f>
        <v>—</v>
      </c>
      <c r="F28" s="19" t="str">
        <f aca="false">'Object Crosswalk'!F11</f>
        <v>ROTATED</v>
      </c>
      <c r="G28" s="9" t="s">
        <v>333</v>
      </c>
      <c r="H28" s="11" t="s">
        <v>58</v>
      </c>
      <c r="I28" s="32" t="n">
        <f aca="false">0</f>
        <v>0</v>
      </c>
      <c r="J28" s="11" t="s">
        <v>576</v>
      </c>
      <c r="K28" s="32" t="str">
        <f aca="false">IF(I28=1,"ACCEPTED","OPEN")</f>
        <v>OPEN</v>
      </c>
    </row>
    <row r="29" customFormat="false" ht="15" hidden="false" customHeight="false" outlineLevel="0" collapsed="false">
      <c r="A29" s="19" t="str">
        <f aca="false">"PKT-"&amp;B29&amp;"-METROLOGY"</f>
        <v>PKT-SUB-05-METROLOGY</v>
      </c>
      <c r="B29" s="19" t="str">
        <f aca="false">'Object Crosswalk'!A11</f>
        <v>SUB-05</v>
      </c>
      <c r="C29" s="19" t="str">
        <f aca="false">'Object Crosswalk'!B11</f>
        <v>Civil substrate</v>
      </c>
      <c r="D29" s="19" t="str">
        <f aca="false">'Object Crosswalk'!D11</f>
        <v>MULTI</v>
      </c>
      <c r="E29" s="19" t="str">
        <f aca="false">'Object Crosswalk'!E11</f>
        <v>—</v>
      </c>
      <c r="F29" s="19" t="str">
        <f aca="false">'Object Crosswalk'!F11</f>
        <v>ROTATED</v>
      </c>
      <c r="G29" s="9" t="s">
        <v>729</v>
      </c>
      <c r="H29" s="11" t="s">
        <v>58</v>
      </c>
      <c r="I29" s="32" t="n">
        <f aca="false">0</f>
        <v>0</v>
      </c>
      <c r="J29" s="11" t="s">
        <v>576</v>
      </c>
      <c r="K29" s="32" t="str">
        <f aca="false">IF(I29=1,"ACCEPTED","OPEN")</f>
        <v>OPEN</v>
      </c>
    </row>
    <row r="30" customFormat="false" ht="15" hidden="false" customHeight="false" outlineLevel="0" collapsed="false">
      <c r="A30" s="19" t="str">
        <f aca="false">"PKT-"&amp;B30&amp;"-SAFETY"</f>
        <v>PKT-SUB-05-SAFETY</v>
      </c>
      <c r="B30" s="19" t="str">
        <f aca="false">'Object Crosswalk'!A11</f>
        <v>SUB-05</v>
      </c>
      <c r="C30" s="19" t="str">
        <f aca="false">'Object Crosswalk'!B11</f>
        <v>Civil substrate</v>
      </c>
      <c r="D30" s="19" t="str">
        <f aca="false">'Object Crosswalk'!D11</f>
        <v>MULTI</v>
      </c>
      <c r="E30" s="19" t="str">
        <f aca="false">'Object Crosswalk'!E11</f>
        <v>—</v>
      </c>
      <c r="F30" s="19" t="str">
        <f aca="false">'Object Crosswalk'!F11</f>
        <v>ROTATED</v>
      </c>
      <c r="G30" s="9" t="s">
        <v>730</v>
      </c>
      <c r="H30" s="11" t="s">
        <v>58</v>
      </c>
      <c r="I30" s="32" t="n">
        <f aca="false">0</f>
        <v>0</v>
      </c>
      <c r="J30" s="11" t="s">
        <v>576</v>
      </c>
      <c r="K30" s="32" t="str">
        <f aca="false">IF(I30=1,"ACCEPTED","OPEN")</f>
        <v>OPEN</v>
      </c>
    </row>
    <row r="31" customFormat="false" ht="15" hidden="false" customHeight="false" outlineLevel="0" collapsed="false">
      <c r="A31" s="19" t="str">
        <f aca="false">"PKT-"&amp;B31&amp;"-RECONSTRUCTION"</f>
        <v>PKT-SUB-05-RECONSTRUCTION</v>
      </c>
      <c r="B31" s="19" t="str">
        <f aca="false">'Object Crosswalk'!A11</f>
        <v>SUB-05</v>
      </c>
      <c r="C31" s="19" t="str">
        <f aca="false">'Object Crosswalk'!B11</f>
        <v>Civil substrate</v>
      </c>
      <c r="D31" s="19" t="str">
        <f aca="false">'Object Crosswalk'!D11</f>
        <v>MULTI</v>
      </c>
      <c r="E31" s="19" t="str">
        <f aca="false">'Object Crosswalk'!E11</f>
        <v>—</v>
      </c>
      <c r="F31" s="19" t="str">
        <f aca="false">'Object Crosswalk'!F11</f>
        <v>ROTATED</v>
      </c>
      <c r="G31" s="9" t="s">
        <v>341</v>
      </c>
      <c r="H31" s="11" t="s">
        <v>58</v>
      </c>
      <c r="I31" s="32" t="n">
        <f aca="false">0</f>
        <v>0</v>
      </c>
      <c r="J31" s="11" t="s">
        <v>576</v>
      </c>
      <c r="K31" s="32" t="str">
        <f aca="false">IF(I31=1,"ACCEPTED","OPEN")</f>
        <v>OPEN</v>
      </c>
    </row>
    <row r="32" customFormat="false" ht="15" hidden="false" customHeight="false" outlineLevel="0" collapsed="false">
      <c r="A32" s="19" t="str">
        <f aca="false">"PKT-"&amp;B32&amp;"-CONFIGURATION"</f>
        <v>PKT-SUB-06-CONFIGURATION</v>
      </c>
      <c r="B32" s="19" t="str">
        <f aca="false">'Object Crosswalk'!A12</f>
        <v>SUB-06</v>
      </c>
      <c r="C32" s="19" t="str">
        <f aca="false">'Object Crosswalk'!B12</f>
        <v>Civil substrate</v>
      </c>
      <c r="D32" s="19" t="str">
        <f aca="false">'Object Crosswalk'!D12</f>
        <v>MULTI</v>
      </c>
      <c r="E32" s="19" t="str">
        <f aca="false">'Object Crosswalk'!E12</f>
        <v>—</v>
      </c>
      <c r="F32" s="19" t="str">
        <f aca="false">'Object Crosswalk'!F12</f>
        <v>ROTATED</v>
      </c>
      <c r="G32" s="9" t="s">
        <v>728</v>
      </c>
      <c r="H32" s="11" t="s">
        <v>58</v>
      </c>
      <c r="I32" s="32" t="n">
        <f aca="false">0</f>
        <v>0</v>
      </c>
      <c r="J32" s="11" t="s">
        <v>576</v>
      </c>
      <c r="K32" s="32" t="str">
        <f aca="false">IF(I32=1,"ACCEPTED","OPEN")</f>
        <v>OPEN</v>
      </c>
    </row>
    <row r="33" customFormat="false" ht="15" hidden="false" customHeight="false" outlineLevel="0" collapsed="false">
      <c r="A33" s="19" t="str">
        <f aca="false">"PKT-"&amp;B33&amp;"-CONTROL"</f>
        <v>PKT-SUB-06-CONTROL</v>
      </c>
      <c r="B33" s="19" t="str">
        <f aca="false">'Object Crosswalk'!A12</f>
        <v>SUB-06</v>
      </c>
      <c r="C33" s="19" t="str">
        <f aca="false">'Object Crosswalk'!B12</f>
        <v>Civil substrate</v>
      </c>
      <c r="D33" s="19" t="str">
        <f aca="false">'Object Crosswalk'!D12</f>
        <v>MULTI</v>
      </c>
      <c r="E33" s="19" t="str">
        <f aca="false">'Object Crosswalk'!E12</f>
        <v>—</v>
      </c>
      <c r="F33" s="19" t="str">
        <f aca="false">'Object Crosswalk'!F12</f>
        <v>ROTATED</v>
      </c>
      <c r="G33" s="9" t="s">
        <v>333</v>
      </c>
      <c r="H33" s="11" t="s">
        <v>58</v>
      </c>
      <c r="I33" s="32" t="n">
        <f aca="false">0</f>
        <v>0</v>
      </c>
      <c r="J33" s="11" t="s">
        <v>576</v>
      </c>
      <c r="K33" s="32" t="str">
        <f aca="false">IF(I33=1,"ACCEPTED","OPEN")</f>
        <v>OPEN</v>
      </c>
    </row>
    <row r="34" customFormat="false" ht="15" hidden="false" customHeight="false" outlineLevel="0" collapsed="false">
      <c r="A34" s="19" t="str">
        <f aca="false">"PKT-"&amp;B34&amp;"-METROLOGY"</f>
        <v>PKT-SUB-06-METROLOGY</v>
      </c>
      <c r="B34" s="19" t="str">
        <f aca="false">'Object Crosswalk'!A12</f>
        <v>SUB-06</v>
      </c>
      <c r="C34" s="19" t="str">
        <f aca="false">'Object Crosswalk'!B12</f>
        <v>Civil substrate</v>
      </c>
      <c r="D34" s="19" t="str">
        <f aca="false">'Object Crosswalk'!D12</f>
        <v>MULTI</v>
      </c>
      <c r="E34" s="19" t="str">
        <f aca="false">'Object Crosswalk'!E12</f>
        <v>—</v>
      </c>
      <c r="F34" s="19" t="str">
        <f aca="false">'Object Crosswalk'!F12</f>
        <v>ROTATED</v>
      </c>
      <c r="G34" s="9" t="s">
        <v>729</v>
      </c>
      <c r="H34" s="11" t="s">
        <v>58</v>
      </c>
      <c r="I34" s="32" t="n">
        <f aca="false">0</f>
        <v>0</v>
      </c>
      <c r="J34" s="11" t="s">
        <v>576</v>
      </c>
      <c r="K34" s="32" t="str">
        <f aca="false">IF(I34=1,"ACCEPTED","OPEN")</f>
        <v>OPEN</v>
      </c>
    </row>
    <row r="35" customFormat="false" ht="15" hidden="false" customHeight="false" outlineLevel="0" collapsed="false">
      <c r="A35" s="19" t="str">
        <f aca="false">"PKT-"&amp;B35&amp;"-SAFETY"</f>
        <v>PKT-SUB-06-SAFETY</v>
      </c>
      <c r="B35" s="19" t="str">
        <f aca="false">'Object Crosswalk'!A12</f>
        <v>SUB-06</v>
      </c>
      <c r="C35" s="19" t="str">
        <f aca="false">'Object Crosswalk'!B12</f>
        <v>Civil substrate</v>
      </c>
      <c r="D35" s="19" t="str">
        <f aca="false">'Object Crosswalk'!D12</f>
        <v>MULTI</v>
      </c>
      <c r="E35" s="19" t="str">
        <f aca="false">'Object Crosswalk'!E12</f>
        <v>—</v>
      </c>
      <c r="F35" s="19" t="str">
        <f aca="false">'Object Crosswalk'!F12</f>
        <v>ROTATED</v>
      </c>
      <c r="G35" s="9" t="s">
        <v>730</v>
      </c>
      <c r="H35" s="11" t="s">
        <v>58</v>
      </c>
      <c r="I35" s="32" t="n">
        <f aca="false">0</f>
        <v>0</v>
      </c>
      <c r="J35" s="11" t="s">
        <v>576</v>
      </c>
      <c r="K35" s="32" t="str">
        <f aca="false">IF(I35=1,"ACCEPTED","OPEN")</f>
        <v>OPEN</v>
      </c>
    </row>
    <row r="36" customFormat="false" ht="15" hidden="false" customHeight="false" outlineLevel="0" collapsed="false">
      <c r="A36" s="19" t="str">
        <f aca="false">"PKT-"&amp;B36&amp;"-RECONSTRUCTION"</f>
        <v>PKT-SUB-06-RECONSTRUCTION</v>
      </c>
      <c r="B36" s="19" t="str">
        <f aca="false">'Object Crosswalk'!A12</f>
        <v>SUB-06</v>
      </c>
      <c r="C36" s="19" t="str">
        <f aca="false">'Object Crosswalk'!B12</f>
        <v>Civil substrate</v>
      </c>
      <c r="D36" s="19" t="str">
        <f aca="false">'Object Crosswalk'!D12</f>
        <v>MULTI</v>
      </c>
      <c r="E36" s="19" t="str">
        <f aca="false">'Object Crosswalk'!E12</f>
        <v>—</v>
      </c>
      <c r="F36" s="19" t="str">
        <f aca="false">'Object Crosswalk'!F12</f>
        <v>ROTATED</v>
      </c>
      <c r="G36" s="9" t="s">
        <v>341</v>
      </c>
      <c r="H36" s="11" t="s">
        <v>58</v>
      </c>
      <c r="I36" s="32" t="n">
        <f aca="false">0</f>
        <v>0</v>
      </c>
      <c r="J36" s="11" t="s">
        <v>576</v>
      </c>
      <c r="K36" s="32" t="str">
        <f aca="false">IF(I36=1,"ACCEPTED","OPEN")</f>
        <v>OPEN</v>
      </c>
    </row>
    <row r="37" customFormat="false" ht="15" hidden="false" customHeight="false" outlineLevel="0" collapsed="false">
      <c r="A37" s="19" t="str">
        <f aca="false">"PKT-"&amp;B37&amp;"-CONFIGURATION"</f>
        <v>PKT-RIG-ET-CHA-CONFIGURATION</v>
      </c>
      <c r="B37" s="19" t="str">
        <f aca="false">'Object Crosswalk'!A13</f>
        <v>RIG-ET-CHA</v>
      </c>
      <c r="C37" s="19" t="str">
        <f aca="false">'Object Crosswalk'!B13</f>
        <v>Root-native rig</v>
      </c>
      <c r="D37" s="19" t="str">
        <f aca="false">'Object Crosswalk'!D13</f>
        <v>MS-ET</v>
      </c>
      <c r="E37" s="19" t="str">
        <f aca="false">'Object Crosswalk'!E13</f>
        <v>ET-A</v>
      </c>
      <c r="F37" s="19" t="str">
        <f aca="false">'Object Crosswalk'!F13</f>
        <v>CHALLENGE</v>
      </c>
      <c r="G37" s="9" t="s">
        <v>728</v>
      </c>
      <c r="H37" s="11" t="s">
        <v>58</v>
      </c>
      <c r="I37" s="32" t="n">
        <f aca="false">0</f>
        <v>0</v>
      </c>
      <c r="J37" s="11" t="s">
        <v>576</v>
      </c>
      <c r="K37" s="32" t="str">
        <f aca="false">IF(I37=1,"ACCEPTED","OPEN")</f>
        <v>OPEN</v>
      </c>
    </row>
    <row r="38" customFormat="false" ht="15" hidden="false" customHeight="false" outlineLevel="0" collapsed="false">
      <c r="A38" s="19" t="str">
        <f aca="false">"PKT-"&amp;B38&amp;"-CONTROL"</f>
        <v>PKT-RIG-ET-CHA-CONTROL</v>
      </c>
      <c r="B38" s="19" t="str">
        <f aca="false">'Object Crosswalk'!A13</f>
        <v>RIG-ET-CHA</v>
      </c>
      <c r="C38" s="19" t="str">
        <f aca="false">'Object Crosswalk'!B13</f>
        <v>Root-native rig</v>
      </c>
      <c r="D38" s="19" t="str">
        <f aca="false">'Object Crosswalk'!D13</f>
        <v>MS-ET</v>
      </c>
      <c r="E38" s="19" t="str">
        <f aca="false">'Object Crosswalk'!E13</f>
        <v>ET-A</v>
      </c>
      <c r="F38" s="19" t="str">
        <f aca="false">'Object Crosswalk'!F13</f>
        <v>CHALLENGE</v>
      </c>
      <c r="G38" s="9" t="s">
        <v>333</v>
      </c>
      <c r="H38" s="11" t="s">
        <v>58</v>
      </c>
      <c r="I38" s="32" t="n">
        <f aca="false">0</f>
        <v>0</v>
      </c>
      <c r="J38" s="11" t="s">
        <v>576</v>
      </c>
      <c r="K38" s="32" t="str">
        <f aca="false">IF(I38=1,"ACCEPTED","OPEN")</f>
        <v>OPEN</v>
      </c>
    </row>
    <row r="39" customFormat="false" ht="15" hidden="false" customHeight="false" outlineLevel="0" collapsed="false">
      <c r="A39" s="19" t="str">
        <f aca="false">"PKT-"&amp;B39&amp;"-METROLOGY"</f>
        <v>PKT-RIG-ET-CHA-METROLOGY</v>
      </c>
      <c r="B39" s="19" t="str">
        <f aca="false">'Object Crosswalk'!A13</f>
        <v>RIG-ET-CHA</v>
      </c>
      <c r="C39" s="19" t="str">
        <f aca="false">'Object Crosswalk'!B13</f>
        <v>Root-native rig</v>
      </c>
      <c r="D39" s="19" t="str">
        <f aca="false">'Object Crosswalk'!D13</f>
        <v>MS-ET</v>
      </c>
      <c r="E39" s="19" t="str">
        <f aca="false">'Object Crosswalk'!E13</f>
        <v>ET-A</v>
      </c>
      <c r="F39" s="19" t="str">
        <f aca="false">'Object Crosswalk'!F13</f>
        <v>CHALLENGE</v>
      </c>
      <c r="G39" s="9" t="s">
        <v>729</v>
      </c>
      <c r="H39" s="11" t="s">
        <v>58</v>
      </c>
      <c r="I39" s="32" t="n">
        <f aca="false">0</f>
        <v>0</v>
      </c>
      <c r="J39" s="11" t="s">
        <v>576</v>
      </c>
      <c r="K39" s="32" t="str">
        <f aca="false">IF(I39=1,"ACCEPTED","OPEN")</f>
        <v>OPEN</v>
      </c>
    </row>
    <row r="40" customFormat="false" ht="15" hidden="false" customHeight="false" outlineLevel="0" collapsed="false">
      <c r="A40" s="19" t="str">
        <f aca="false">"PKT-"&amp;B40&amp;"-SAFETY"</f>
        <v>PKT-RIG-ET-CHA-SAFETY</v>
      </c>
      <c r="B40" s="19" t="str">
        <f aca="false">'Object Crosswalk'!A13</f>
        <v>RIG-ET-CHA</v>
      </c>
      <c r="C40" s="19" t="str">
        <f aca="false">'Object Crosswalk'!B13</f>
        <v>Root-native rig</v>
      </c>
      <c r="D40" s="19" t="str">
        <f aca="false">'Object Crosswalk'!D13</f>
        <v>MS-ET</v>
      </c>
      <c r="E40" s="19" t="str">
        <f aca="false">'Object Crosswalk'!E13</f>
        <v>ET-A</v>
      </c>
      <c r="F40" s="19" t="str">
        <f aca="false">'Object Crosswalk'!F13</f>
        <v>CHALLENGE</v>
      </c>
      <c r="G40" s="9" t="s">
        <v>730</v>
      </c>
      <c r="H40" s="11" t="s">
        <v>58</v>
      </c>
      <c r="I40" s="32" t="n">
        <f aca="false">0</f>
        <v>0</v>
      </c>
      <c r="J40" s="11" t="s">
        <v>576</v>
      </c>
      <c r="K40" s="32" t="str">
        <f aca="false">IF(I40=1,"ACCEPTED","OPEN")</f>
        <v>OPEN</v>
      </c>
    </row>
    <row r="41" customFormat="false" ht="15" hidden="false" customHeight="false" outlineLevel="0" collapsed="false">
      <c r="A41" s="19" t="str">
        <f aca="false">"PKT-"&amp;B41&amp;"-RECONSTRUCTION"</f>
        <v>PKT-RIG-ET-CHA-RECONSTRUCTION</v>
      </c>
      <c r="B41" s="19" t="str">
        <f aca="false">'Object Crosswalk'!A13</f>
        <v>RIG-ET-CHA</v>
      </c>
      <c r="C41" s="19" t="str">
        <f aca="false">'Object Crosswalk'!B13</f>
        <v>Root-native rig</v>
      </c>
      <c r="D41" s="19" t="str">
        <f aca="false">'Object Crosswalk'!D13</f>
        <v>MS-ET</v>
      </c>
      <c r="E41" s="19" t="str">
        <f aca="false">'Object Crosswalk'!E13</f>
        <v>ET-A</v>
      </c>
      <c r="F41" s="19" t="str">
        <f aca="false">'Object Crosswalk'!F13</f>
        <v>CHALLENGE</v>
      </c>
      <c r="G41" s="9" t="s">
        <v>341</v>
      </c>
      <c r="H41" s="11" t="s">
        <v>58</v>
      </c>
      <c r="I41" s="32" t="n">
        <f aca="false">0</f>
        <v>0</v>
      </c>
      <c r="J41" s="11" t="s">
        <v>576</v>
      </c>
      <c r="K41" s="32" t="str">
        <f aca="false">IF(I41=1,"ACCEPTED","OPEN")</f>
        <v>OPEN</v>
      </c>
    </row>
    <row r="42" customFormat="false" ht="15" hidden="false" customHeight="false" outlineLevel="0" collapsed="false">
      <c r="A42" s="19" t="str">
        <f aca="false">"PKT-"&amp;B42&amp;"-CONFIGURATION"</f>
        <v>PKT-MTH-ET-CHA-L1-CONFIGURATION</v>
      </c>
      <c r="B42" s="19" t="str">
        <f aca="false">'Object Crosswalk'!A14</f>
        <v>MTH-ET-CHA-L1</v>
      </c>
      <c r="C42" s="19" t="str">
        <f aca="false">'Object Crosswalk'!B14</f>
        <v>Method lineage</v>
      </c>
      <c r="D42" s="19" t="str">
        <f aca="false">'Object Crosswalk'!D14</f>
        <v>MS-ET</v>
      </c>
      <c r="E42" s="19" t="str">
        <f aca="false">'Object Crosswalk'!E14</f>
        <v>ET-A</v>
      </c>
      <c r="F42" s="19" t="str">
        <f aca="false">'Object Crosswalk'!F14</f>
        <v>CHALLENGE</v>
      </c>
      <c r="G42" s="9" t="s">
        <v>728</v>
      </c>
      <c r="H42" s="11" t="s">
        <v>58</v>
      </c>
      <c r="I42" s="32" t="n">
        <f aca="false">0</f>
        <v>0</v>
      </c>
      <c r="J42" s="11" t="s">
        <v>576</v>
      </c>
      <c r="K42" s="32" t="str">
        <f aca="false">IF(I42=1,"ACCEPTED","OPEN")</f>
        <v>OPEN</v>
      </c>
    </row>
    <row r="43" customFormat="false" ht="15" hidden="false" customHeight="false" outlineLevel="0" collapsed="false">
      <c r="A43" s="19" t="str">
        <f aca="false">"PKT-"&amp;B43&amp;"-CONTROL"</f>
        <v>PKT-MTH-ET-CHA-L1-CONTROL</v>
      </c>
      <c r="B43" s="19" t="str">
        <f aca="false">'Object Crosswalk'!A14</f>
        <v>MTH-ET-CHA-L1</v>
      </c>
      <c r="C43" s="19" t="str">
        <f aca="false">'Object Crosswalk'!B14</f>
        <v>Method lineage</v>
      </c>
      <c r="D43" s="19" t="str">
        <f aca="false">'Object Crosswalk'!D14</f>
        <v>MS-ET</v>
      </c>
      <c r="E43" s="19" t="str">
        <f aca="false">'Object Crosswalk'!E14</f>
        <v>ET-A</v>
      </c>
      <c r="F43" s="19" t="str">
        <f aca="false">'Object Crosswalk'!F14</f>
        <v>CHALLENGE</v>
      </c>
      <c r="G43" s="9" t="s">
        <v>333</v>
      </c>
      <c r="H43" s="11" t="s">
        <v>58</v>
      </c>
      <c r="I43" s="32" t="n">
        <f aca="false">0</f>
        <v>0</v>
      </c>
      <c r="J43" s="11" t="s">
        <v>576</v>
      </c>
      <c r="K43" s="32" t="str">
        <f aca="false">IF(I43=1,"ACCEPTED","OPEN")</f>
        <v>OPEN</v>
      </c>
    </row>
    <row r="44" customFormat="false" ht="15" hidden="false" customHeight="false" outlineLevel="0" collapsed="false">
      <c r="A44" s="19" t="str">
        <f aca="false">"PKT-"&amp;B44&amp;"-METROLOGY"</f>
        <v>PKT-MTH-ET-CHA-L1-METROLOGY</v>
      </c>
      <c r="B44" s="19" t="str">
        <f aca="false">'Object Crosswalk'!A14</f>
        <v>MTH-ET-CHA-L1</v>
      </c>
      <c r="C44" s="19" t="str">
        <f aca="false">'Object Crosswalk'!B14</f>
        <v>Method lineage</v>
      </c>
      <c r="D44" s="19" t="str">
        <f aca="false">'Object Crosswalk'!D14</f>
        <v>MS-ET</v>
      </c>
      <c r="E44" s="19" t="str">
        <f aca="false">'Object Crosswalk'!E14</f>
        <v>ET-A</v>
      </c>
      <c r="F44" s="19" t="str">
        <f aca="false">'Object Crosswalk'!F14</f>
        <v>CHALLENGE</v>
      </c>
      <c r="G44" s="9" t="s">
        <v>729</v>
      </c>
      <c r="H44" s="11" t="s">
        <v>58</v>
      </c>
      <c r="I44" s="32" t="n">
        <f aca="false">0</f>
        <v>0</v>
      </c>
      <c r="J44" s="11" t="s">
        <v>576</v>
      </c>
      <c r="K44" s="32" t="str">
        <f aca="false">IF(I44=1,"ACCEPTED","OPEN")</f>
        <v>OPEN</v>
      </c>
    </row>
    <row r="45" customFormat="false" ht="15" hidden="false" customHeight="false" outlineLevel="0" collapsed="false">
      <c r="A45" s="19" t="str">
        <f aca="false">"PKT-"&amp;B45&amp;"-SAFETY"</f>
        <v>PKT-MTH-ET-CHA-L1-SAFETY</v>
      </c>
      <c r="B45" s="19" t="str">
        <f aca="false">'Object Crosswalk'!A14</f>
        <v>MTH-ET-CHA-L1</v>
      </c>
      <c r="C45" s="19" t="str">
        <f aca="false">'Object Crosswalk'!B14</f>
        <v>Method lineage</v>
      </c>
      <c r="D45" s="19" t="str">
        <f aca="false">'Object Crosswalk'!D14</f>
        <v>MS-ET</v>
      </c>
      <c r="E45" s="19" t="str">
        <f aca="false">'Object Crosswalk'!E14</f>
        <v>ET-A</v>
      </c>
      <c r="F45" s="19" t="str">
        <f aca="false">'Object Crosswalk'!F14</f>
        <v>CHALLENGE</v>
      </c>
      <c r="G45" s="9" t="s">
        <v>730</v>
      </c>
      <c r="H45" s="11" t="s">
        <v>58</v>
      </c>
      <c r="I45" s="32" t="n">
        <f aca="false">0</f>
        <v>0</v>
      </c>
      <c r="J45" s="11" t="s">
        <v>576</v>
      </c>
      <c r="K45" s="32" t="str">
        <f aca="false">IF(I45=1,"ACCEPTED","OPEN")</f>
        <v>OPEN</v>
      </c>
    </row>
    <row r="46" customFormat="false" ht="15" hidden="false" customHeight="false" outlineLevel="0" collapsed="false">
      <c r="A46" s="19" t="str">
        <f aca="false">"PKT-"&amp;B46&amp;"-RECONSTRUCTION"</f>
        <v>PKT-MTH-ET-CHA-L1-RECONSTRUCTION</v>
      </c>
      <c r="B46" s="19" t="str">
        <f aca="false">'Object Crosswalk'!A14</f>
        <v>MTH-ET-CHA-L1</v>
      </c>
      <c r="C46" s="19" t="str">
        <f aca="false">'Object Crosswalk'!B14</f>
        <v>Method lineage</v>
      </c>
      <c r="D46" s="19" t="str">
        <f aca="false">'Object Crosswalk'!D14</f>
        <v>MS-ET</v>
      </c>
      <c r="E46" s="19" t="str">
        <f aca="false">'Object Crosswalk'!E14</f>
        <v>ET-A</v>
      </c>
      <c r="F46" s="19" t="str">
        <f aca="false">'Object Crosswalk'!F14</f>
        <v>CHALLENGE</v>
      </c>
      <c r="G46" s="9" t="s">
        <v>341</v>
      </c>
      <c r="H46" s="11" t="s">
        <v>58</v>
      </c>
      <c r="I46" s="32" t="n">
        <f aca="false">0</f>
        <v>0</v>
      </c>
      <c r="J46" s="11" t="s">
        <v>576</v>
      </c>
      <c r="K46" s="32" t="str">
        <f aca="false">IF(I46=1,"ACCEPTED","OPEN")</f>
        <v>OPEN</v>
      </c>
    </row>
    <row r="47" customFormat="false" ht="15" hidden="false" customHeight="false" outlineLevel="0" collapsed="false">
      <c r="A47" s="19" t="str">
        <f aca="false">"PKT-"&amp;B47&amp;"-CONFIGURATION"</f>
        <v>PKT-MTH-ET-CHA-L2-CONFIGURATION</v>
      </c>
      <c r="B47" s="19" t="str">
        <f aca="false">'Object Crosswalk'!A15</f>
        <v>MTH-ET-CHA-L2</v>
      </c>
      <c r="C47" s="19" t="str">
        <f aca="false">'Object Crosswalk'!B15</f>
        <v>Method lineage</v>
      </c>
      <c r="D47" s="19" t="str">
        <f aca="false">'Object Crosswalk'!D15</f>
        <v>MS-ET</v>
      </c>
      <c r="E47" s="19" t="str">
        <f aca="false">'Object Crosswalk'!E15</f>
        <v>ET-A</v>
      </c>
      <c r="F47" s="19" t="str">
        <f aca="false">'Object Crosswalk'!F15</f>
        <v>CHALLENGE</v>
      </c>
      <c r="G47" s="9" t="s">
        <v>728</v>
      </c>
      <c r="H47" s="11" t="s">
        <v>58</v>
      </c>
      <c r="I47" s="32" t="n">
        <f aca="false">0</f>
        <v>0</v>
      </c>
      <c r="J47" s="11" t="s">
        <v>576</v>
      </c>
      <c r="K47" s="32" t="str">
        <f aca="false">IF(I47=1,"ACCEPTED","OPEN")</f>
        <v>OPEN</v>
      </c>
    </row>
    <row r="48" customFormat="false" ht="15" hidden="false" customHeight="false" outlineLevel="0" collapsed="false">
      <c r="A48" s="19" t="str">
        <f aca="false">"PKT-"&amp;B48&amp;"-CONTROL"</f>
        <v>PKT-MTH-ET-CHA-L2-CONTROL</v>
      </c>
      <c r="B48" s="19" t="str">
        <f aca="false">'Object Crosswalk'!A15</f>
        <v>MTH-ET-CHA-L2</v>
      </c>
      <c r="C48" s="19" t="str">
        <f aca="false">'Object Crosswalk'!B15</f>
        <v>Method lineage</v>
      </c>
      <c r="D48" s="19" t="str">
        <f aca="false">'Object Crosswalk'!D15</f>
        <v>MS-ET</v>
      </c>
      <c r="E48" s="19" t="str">
        <f aca="false">'Object Crosswalk'!E15</f>
        <v>ET-A</v>
      </c>
      <c r="F48" s="19" t="str">
        <f aca="false">'Object Crosswalk'!F15</f>
        <v>CHALLENGE</v>
      </c>
      <c r="G48" s="9" t="s">
        <v>333</v>
      </c>
      <c r="H48" s="11" t="s">
        <v>58</v>
      </c>
      <c r="I48" s="32" t="n">
        <f aca="false">0</f>
        <v>0</v>
      </c>
      <c r="J48" s="11" t="s">
        <v>576</v>
      </c>
      <c r="K48" s="32" t="str">
        <f aca="false">IF(I48=1,"ACCEPTED","OPEN")</f>
        <v>OPEN</v>
      </c>
    </row>
    <row r="49" customFormat="false" ht="15" hidden="false" customHeight="false" outlineLevel="0" collapsed="false">
      <c r="A49" s="19" t="str">
        <f aca="false">"PKT-"&amp;B49&amp;"-METROLOGY"</f>
        <v>PKT-MTH-ET-CHA-L2-METROLOGY</v>
      </c>
      <c r="B49" s="19" t="str">
        <f aca="false">'Object Crosswalk'!A15</f>
        <v>MTH-ET-CHA-L2</v>
      </c>
      <c r="C49" s="19" t="str">
        <f aca="false">'Object Crosswalk'!B15</f>
        <v>Method lineage</v>
      </c>
      <c r="D49" s="19" t="str">
        <f aca="false">'Object Crosswalk'!D15</f>
        <v>MS-ET</v>
      </c>
      <c r="E49" s="19" t="str">
        <f aca="false">'Object Crosswalk'!E15</f>
        <v>ET-A</v>
      </c>
      <c r="F49" s="19" t="str">
        <f aca="false">'Object Crosswalk'!F15</f>
        <v>CHALLENGE</v>
      </c>
      <c r="G49" s="9" t="s">
        <v>729</v>
      </c>
      <c r="H49" s="11" t="s">
        <v>58</v>
      </c>
      <c r="I49" s="32" t="n">
        <f aca="false">0</f>
        <v>0</v>
      </c>
      <c r="J49" s="11" t="s">
        <v>576</v>
      </c>
      <c r="K49" s="32" t="str">
        <f aca="false">IF(I49=1,"ACCEPTED","OPEN")</f>
        <v>OPEN</v>
      </c>
    </row>
    <row r="50" customFormat="false" ht="15" hidden="false" customHeight="false" outlineLevel="0" collapsed="false">
      <c r="A50" s="19" t="str">
        <f aca="false">"PKT-"&amp;B50&amp;"-SAFETY"</f>
        <v>PKT-MTH-ET-CHA-L2-SAFETY</v>
      </c>
      <c r="B50" s="19" t="str">
        <f aca="false">'Object Crosswalk'!A15</f>
        <v>MTH-ET-CHA-L2</v>
      </c>
      <c r="C50" s="19" t="str">
        <f aca="false">'Object Crosswalk'!B15</f>
        <v>Method lineage</v>
      </c>
      <c r="D50" s="19" t="str">
        <f aca="false">'Object Crosswalk'!D15</f>
        <v>MS-ET</v>
      </c>
      <c r="E50" s="19" t="str">
        <f aca="false">'Object Crosswalk'!E15</f>
        <v>ET-A</v>
      </c>
      <c r="F50" s="19" t="str">
        <f aca="false">'Object Crosswalk'!F15</f>
        <v>CHALLENGE</v>
      </c>
      <c r="G50" s="9" t="s">
        <v>730</v>
      </c>
      <c r="H50" s="11" t="s">
        <v>58</v>
      </c>
      <c r="I50" s="32" t="n">
        <f aca="false">0</f>
        <v>0</v>
      </c>
      <c r="J50" s="11" t="s">
        <v>576</v>
      </c>
      <c r="K50" s="32" t="str">
        <f aca="false">IF(I50=1,"ACCEPTED","OPEN")</f>
        <v>OPEN</v>
      </c>
    </row>
    <row r="51" customFormat="false" ht="15" hidden="false" customHeight="false" outlineLevel="0" collapsed="false">
      <c r="A51" s="19" t="str">
        <f aca="false">"PKT-"&amp;B51&amp;"-RECONSTRUCTION"</f>
        <v>PKT-MTH-ET-CHA-L2-RECONSTRUCTION</v>
      </c>
      <c r="B51" s="19" t="str">
        <f aca="false">'Object Crosswalk'!A15</f>
        <v>MTH-ET-CHA-L2</v>
      </c>
      <c r="C51" s="19" t="str">
        <f aca="false">'Object Crosswalk'!B15</f>
        <v>Method lineage</v>
      </c>
      <c r="D51" s="19" t="str">
        <f aca="false">'Object Crosswalk'!D15</f>
        <v>MS-ET</v>
      </c>
      <c r="E51" s="19" t="str">
        <f aca="false">'Object Crosswalk'!E15</f>
        <v>ET-A</v>
      </c>
      <c r="F51" s="19" t="str">
        <f aca="false">'Object Crosswalk'!F15</f>
        <v>CHALLENGE</v>
      </c>
      <c r="G51" s="9" t="s">
        <v>341</v>
      </c>
      <c r="H51" s="11" t="s">
        <v>58</v>
      </c>
      <c r="I51" s="32" t="n">
        <f aca="false">0</f>
        <v>0</v>
      </c>
      <c r="J51" s="11" t="s">
        <v>576</v>
      </c>
      <c r="K51" s="32" t="str">
        <f aca="false">IF(I51=1,"ACCEPTED","OPEN")</f>
        <v>OPEN</v>
      </c>
    </row>
    <row r="52" customFormat="false" ht="15" hidden="false" customHeight="false" outlineLevel="0" collapsed="false">
      <c r="A52" s="19" t="str">
        <f aca="false">"PKT-"&amp;B52&amp;"-CONFIGURATION"</f>
        <v>PKT-REG-ET-CHA-CONFIGURATION</v>
      </c>
      <c r="B52" s="19" t="str">
        <f aca="false">'Object Crosswalk'!A16</f>
        <v>REG-ET-CHA</v>
      </c>
      <c r="C52" s="19" t="str">
        <f aca="false">'Object Crosswalk'!B16</f>
        <v>Regeneration tool</v>
      </c>
      <c r="D52" s="19" t="str">
        <f aca="false">'Object Crosswalk'!D16</f>
        <v>MS-ET</v>
      </c>
      <c r="E52" s="19" t="str">
        <f aca="false">'Object Crosswalk'!E16</f>
        <v>ET-A</v>
      </c>
      <c r="F52" s="19" t="str">
        <f aca="false">'Object Crosswalk'!F16</f>
        <v>CHALLENGE</v>
      </c>
      <c r="G52" s="9" t="s">
        <v>728</v>
      </c>
      <c r="H52" s="11" t="s">
        <v>58</v>
      </c>
      <c r="I52" s="32" t="n">
        <f aca="false">0</f>
        <v>0</v>
      </c>
      <c r="J52" s="11" t="s">
        <v>576</v>
      </c>
      <c r="K52" s="32" t="str">
        <f aca="false">IF(I52=1,"ACCEPTED","OPEN")</f>
        <v>OPEN</v>
      </c>
    </row>
    <row r="53" customFormat="false" ht="15" hidden="false" customHeight="false" outlineLevel="0" collapsed="false">
      <c r="A53" s="19" t="str">
        <f aca="false">"PKT-"&amp;B53&amp;"-CONTROL"</f>
        <v>PKT-REG-ET-CHA-CONTROL</v>
      </c>
      <c r="B53" s="19" t="str">
        <f aca="false">'Object Crosswalk'!A16</f>
        <v>REG-ET-CHA</v>
      </c>
      <c r="C53" s="19" t="str">
        <f aca="false">'Object Crosswalk'!B16</f>
        <v>Regeneration tool</v>
      </c>
      <c r="D53" s="19" t="str">
        <f aca="false">'Object Crosswalk'!D16</f>
        <v>MS-ET</v>
      </c>
      <c r="E53" s="19" t="str">
        <f aca="false">'Object Crosswalk'!E16</f>
        <v>ET-A</v>
      </c>
      <c r="F53" s="19" t="str">
        <f aca="false">'Object Crosswalk'!F16</f>
        <v>CHALLENGE</v>
      </c>
      <c r="G53" s="9" t="s">
        <v>333</v>
      </c>
      <c r="H53" s="11" t="s">
        <v>58</v>
      </c>
      <c r="I53" s="32" t="n">
        <f aca="false">0</f>
        <v>0</v>
      </c>
      <c r="J53" s="11" t="s">
        <v>576</v>
      </c>
      <c r="K53" s="32" t="str">
        <f aca="false">IF(I53=1,"ACCEPTED","OPEN")</f>
        <v>OPEN</v>
      </c>
    </row>
    <row r="54" customFormat="false" ht="15" hidden="false" customHeight="false" outlineLevel="0" collapsed="false">
      <c r="A54" s="19" t="str">
        <f aca="false">"PKT-"&amp;B54&amp;"-METROLOGY"</f>
        <v>PKT-REG-ET-CHA-METROLOGY</v>
      </c>
      <c r="B54" s="19" t="str">
        <f aca="false">'Object Crosswalk'!A16</f>
        <v>REG-ET-CHA</v>
      </c>
      <c r="C54" s="19" t="str">
        <f aca="false">'Object Crosswalk'!B16</f>
        <v>Regeneration tool</v>
      </c>
      <c r="D54" s="19" t="str">
        <f aca="false">'Object Crosswalk'!D16</f>
        <v>MS-ET</v>
      </c>
      <c r="E54" s="19" t="str">
        <f aca="false">'Object Crosswalk'!E16</f>
        <v>ET-A</v>
      </c>
      <c r="F54" s="19" t="str">
        <f aca="false">'Object Crosswalk'!F16</f>
        <v>CHALLENGE</v>
      </c>
      <c r="G54" s="9" t="s">
        <v>729</v>
      </c>
      <c r="H54" s="11" t="s">
        <v>58</v>
      </c>
      <c r="I54" s="32" t="n">
        <f aca="false">0</f>
        <v>0</v>
      </c>
      <c r="J54" s="11" t="s">
        <v>576</v>
      </c>
      <c r="K54" s="32" t="str">
        <f aca="false">IF(I54=1,"ACCEPTED","OPEN")</f>
        <v>OPEN</v>
      </c>
    </row>
    <row r="55" customFormat="false" ht="15" hidden="false" customHeight="false" outlineLevel="0" collapsed="false">
      <c r="A55" s="19" t="str">
        <f aca="false">"PKT-"&amp;B55&amp;"-SAFETY"</f>
        <v>PKT-REG-ET-CHA-SAFETY</v>
      </c>
      <c r="B55" s="19" t="str">
        <f aca="false">'Object Crosswalk'!A16</f>
        <v>REG-ET-CHA</v>
      </c>
      <c r="C55" s="19" t="str">
        <f aca="false">'Object Crosswalk'!B16</f>
        <v>Regeneration tool</v>
      </c>
      <c r="D55" s="19" t="str">
        <f aca="false">'Object Crosswalk'!D16</f>
        <v>MS-ET</v>
      </c>
      <c r="E55" s="19" t="str">
        <f aca="false">'Object Crosswalk'!E16</f>
        <v>ET-A</v>
      </c>
      <c r="F55" s="19" t="str">
        <f aca="false">'Object Crosswalk'!F16</f>
        <v>CHALLENGE</v>
      </c>
      <c r="G55" s="9" t="s">
        <v>730</v>
      </c>
      <c r="H55" s="11" t="s">
        <v>58</v>
      </c>
      <c r="I55" s="32" t="n">
        <f aca="false">0</f>
        <v>0</v>
      </c>
      <c r="J55" s="11" t="s">
        <v>576</v>
      </c>
      <c r="K55" s="32" t="str">
        <f aca="false">IF(I55=1,"ACCEPTED","OPEN")</f>
        <v>OPEN</v>
      </c>
    </row>
    <row r="56" customFormat="false" ht="15" hidden="false" customHeight="false" outlineLevel="0" collapsed="false">
      <c r="A56" s="19" t="str">
        <f aca="false">"PKT-"&amp;B56&amp;"-RECONSTRUCTION"</f>
        <v>PKT-REG-ET-CHA-RECONSTRUCTION</v>
      </c>
      <c r="B56" s="19" t="str">
        <f aca="false">'Object Crosswalk'!A16</f>
        <v>REG-ET-CHA</v>
      </c>
      <c r="C56" s="19" t="str">
        <f aca="false">'Object Crosswalk'!B16</f>
        <v>Regeneration tool</v>
      </c>
      <c r="D56" s="19" t="str">
        <f aca="false">'Object Crosswalk'!D16</f>
        <v>MS-ET</v>
      </c>
      <c r="E56" s="19" t="str">
        <f aca="false">'Object Crosswalk'!E16</f>
        <v>ET-A</v>
      </c>
      <c r="F56" s="19" t="str">
        <f aca="false">'Object Crosswalk'!F16</f>
        <v>CHALLENGE</v>
      </c>
      <c r="G56" s="9" t="s">
        <v>341</v>
      </c>
      <c r="H56" s="11" t="s">
        <v>58</v>
      </c>
      <c r="I56" s="32" t="n">
        <f aca="false">0</f>
        <v>0</v>
      </c>
      <c r="J56" s="11" t="s">
        <v>576</v>
      </c>
      <c r="K56" s="32" t="str">
        <f aca="false">IF(I56=1,"ACCEPTED","OPEN")</f>
        <v>OPEN</v>
      </c>
    </row>
    <row r="57" customFormat="false" ht="15" hidden="false" customHeight="false" outlineLevel="0" collapsed="false">
      <c r="A57" s="19" t="str">
        <f aca="false">"PKT-"&amp;B57&amp;"-CONFIGURATION"</f>
        <v>PKT-INT-ET-CHA-CONFIGURATION</v>
      </c>
      <c r="B57" s="19" t="str">
        <f aca="false">'Object Crosswalk'!A17</f>
        <v>INT-ET-CHA</v>
      </c>
      <c r="C57" s="19" t="str">
        <f aca="false">'Object Crosswalk'!B17</f>
        <v>Station integration</v>
      </c>
      <c r="D57" s="19" t="str">
        <f aca="false">'Object Crosswalk'!D17</f>
        <v>MS-ET</v>
      </c>
      <c r="E57" s="19" t="str">
        <f aca="false">'Object Crosswalk'!E17</f>
        <v>ET-A</v>
      </c>
      <c r="F57" s="19" t="str">
        <f aca="false">'Object Crosswalk'!F17</f>
        <v>CHALLENGE</v>
      </c>
      <c r="G57" s="9" t="s">
        <v>728</v>
      </c>
      <c r="H57" s="11" t="s">
        <v>58</v>
      </c>
      <c r="I57" s="32" t="n">
        <f aca="false">0</f>
        <v>0</v>
      </c>
      <c r="J57" s="11" t="s">
        <v>576</v>
      </c>
      <c r="K57" s="32" t="str">
        <f aca="false">IF(I57=1,"ACCEPTED","OPEN")</f>
        <v>OPEN</v>
      </c>
    </row>
    <row r="58" customFormat="false" ht="15" hidden="false" customHeight="false" outlineLevel="0" collapsed="false">
      <c r="A58" s="19" t="str">
        <f aca="false">"PKT-"&amp;B58&amp;"-CONTROL"</f>
        <v>PKT-INT-ET-CHA-CONTROL</v>
      </c>
      <c r="B58" s="19" t="str">
        <f aca="false">'Object Crosswalk'!A17</f>
        <v>INT-ET-CHA</v>
      </c>
      <c r="C58" s="19" t="str">
        <f aca="false">'Object Crosswalk'!B17</f>
        <v>Station integration</v>
      </c>
      <c r="D58" s="19" t="str">
        <f aca="false">'Object Crosswalk'!D17</f>
        <v>MS-ET</v>
      </c>
      <c r="E58" s="19" t="str">
        <f aca="false">'Object Crosswalk'!E17</f>
        <v>ET-A</v>
      </c>
      <c r="F58" s="19" t="str">
        <f aca="false">'Object Crosswalk'!F17</f>
        <v>CHALLENGE</v>
      </c>
      <c r="G58" s="9" t="s">
        <v>333</v>
      </c>
      <c r="H58" s="11" t="s">
        <v>58</v>
      </c>
      <c r="I58" s="32" t="n">
        <f aca="false">0</f>
        <v>0</v>
      </c>
      <c r="J58" s="11" t="s">
        <v>576</v>
      </c>
      <c r="K58" s="32" t="str">
        <f aca="false">IF(I58=1,"ACCEPTED","OPEN")</f>
        <v>OPEN</v>
      </c>
    </row>
    <row r="59" customFormat="false" ht="15" hidden="false" customHeight="false" outlineLevel="0" collapsed="false">
      <c r="A59" s="19" t="str">
        <f aca="false">"PKT-"&amp;B59&amp;"-METROLOGY"</f>
        <v>PKT-INT-ET-CHA-METROLOGY</v>
      </c>
      <c r="B59" s="19" t="str">
        <f aca="false">'Object Crosswalk'!A17</f>
        <v>INT-ET-CHA</v>
      </c>
      <c r="C59" s="19" t="str">
        <f aca="false">'Object Crosswalk'!B17</f>
        <v>Station integration</v>
      </c>
      <c r="D59" s="19" t="str">
        <f aca="false">'Object Crosswalk'!D17</f>
        <v>MS-ET</v>
      </c>
      <c r="E59" s="19" t="str">
        <f aca="false">'Object Crosswalk'!E17</f>
        <v>ET-A</v>
      </c>
      <c r="F59" s="19" t="str">
        <f aca="false">'Object Crosswalk'!F17</f>
        <v>CHALLENGE</v>
      </c>
      <c r="G59" s="9" t="s">
        <v>729</v>
      </c>
      <c r="H59" s="11" t="s">
        <v>58</v>
      </c>
      <c r="I59" s="32" t="n">
        <f aca="false">0</f>
        <v>0</v>
      </c>
      <c r="J59" s="11" t="s">
        <v>576</v>
      </c>
      <c r="K59" s="32" t="str">
        <f aca="false">IF(I59=1,"ACCEPTED","OPEN")</f>
        <v>OPEN</v>
      </c>
    </row>
    <row r="60" customFormat="false" ht="15" hidden="false" customHeight="false" outlineLevel="0" collapsed="false">
      <c r="A60" s="19" t="str">
        <f aca="false">"PKT-"&amp;B60&amp;"-SAFETY"</f>
        <v>PKT-INT-ET-CHA-SAFETY</v>
      </c>
      <c r="B60" s="19" t="str">
        <f aca="false">'Object Crosswalk'!A17</f>
        <v>INT-ET-CHA</v>
      </c>
      <c r="C60" s="19" t="str">
        <f aca="false">'Object Crosswalk'!B17</f>
        <v>Station integration</v>
      </c>
      <c r="D60" s="19" t="str">
        <f aca="false">'Object Crosswalk'!D17</f>
        <v>MS-ET</v>
      </c>
      <c r="E60" s="19" t="str">
        <f aca="false">'Object Crosswalk'!E17</f>
        <v>ET-A</v>
      </c>
      <c r="F60" s="19" t="str">
        <f aca="false">'Object Crosswalk'!F17</f>
        <v>CHALLENGE</v>
      </c>
      <c r="G60" s="9" t="s">
        <v>730</v>
      </c>
      <c r="H60" s="11" t="s">
        <v>58</v>
      </c>
      <c r="I60" s="32" t="n">
        <f aca="false">0</f>
        <v>0</v>
      </c>
      <c r="J60" s="11" t="s">
        <v>576</v>
      </c>
      <c r="K60" s="32" t="str">
        <f aca="false">IF(I60=1,"ACCEPTED","OPEN")</f>
        <v>OPEN</v>
      </c>
    </row>
    <row r="61" customFormat="false" ht="15" hidden="false" customHeight="false" outlineLevel="0" collapsed="false">
      <c r="A61" s="19" t="str">
        <f aca="false">"PKT-"&amp;B61&amp;"-RECONSTRUCTION"</f>
        <v>PKT-INT-ET-CHA-RECONSTRUCTION</v>
      </c>
      <c r="B61" s="19" t="str">
        <f aca="false">'Object Crosswalk'!A17</f>
        <v>INT-ET-CHA</v>
      </c>
      <c r="C61" s="19" t="str">
        <f aca="false">'Object Crosswalk'!B17</f>
        <v>Station integration</v>
      </c>
      <c r="D61" s="19" t="str">
        <f aca="false">'Object Crosswalk'!D17</f>
        <v>MS-ET</v>
      </c>
      <c r="E61" s="19" t="str">
        <f aca="false">'Object Crosswalk'!E17</f>
        <v>ET-A</v>
      </c>
      <c r="F61" s="19" t="str">
        <f aca="false">'Object Crosswalk'!F17</f>
        <v>CHALLENGE</v>
      </c>
      <c r="G61" s="9" t="s">
        <v>341</v>
      </c>
      <c r="H61" s="11" t="s">
        <v>58</v>
      </c>
      <c r="I61" s="32" t="n">
        <f aca="false">0</f>
        <v>0</v>
      </c>
      <c r="J61" s="11" t="s">
        <v>576</v>
      </c>
      <c r="K61" s="32" t="str">
        <f aca="false">IF(I61=1,"ACCEPTED","OPEN")</f>
        <v>OPEN</v>
      </c>
    </row>
    <row r="62" customFormat="false" ht="15" hidden="false" customHeight="false" outlineLevel="0" collapsed="false">
      <c r="A62" s="19" t="str">
        <f aca="false">"PKT-"&amp;B62&amp;"-CONFIGURATION"</f>
        <v>PKT-RIG-ET-CON-CONFIGURATION</v>
      </c>
      <c r="B62" s="19" t="str">
        <f aca="false">'Object Crosswalk'!A18</f>
        <v>RIG-ET-CON</v>
      </c>
      <c r="C62" s="19" t="str">
        <f aca="false">'Object Crosswalk'!B18</f>
        <v>Root-native rig</v>
      </c>
      <c r="D62" s="19" t="str">
        <f aca="false">'Object Crosswalk'!D18</f>
        <v>MS-ET</v>
      </c>
      <c r="E62" s="19" t="str">
        <f aca="false">'Object Crosswalk'!E18</f>
        <v>ET-A</v>
      </c>
      <c r="F62" s="19" t="str">
        <f aca="false">'Object Crosswalk'!F18</f>
        <v>CONTROL</v>
      </c>
      <c r="G62" s="9" t="s">
        <v>728</v>
      </c>
      <c r="H62" s="11" t="s">
        <v>58</v>
      </c>
      <c r="I62" s="32" t="n">
        <f aca="false">0</f>
        <v>0</v>
      </c>
      <c r="J62" s="11" t="s">
        <v>576</v>
      </c>
      <c r="K62" s="32" t="str">
        <f aca="false">IF(I62=1,"ACCEPTED","OPEN")</f>
        <v>OPEN</v>
      </c>
    </row>
    <row r="63" customFormat="false" ht="15" hidden="false" customHeight="false" outlineLevel="0" collapsed="false">
      <c r="A63" s="19" t="str">
        <f aca="false">"PKT-"&amp;B63&amp;"-CONTROL"</f>
        <v>PKT-RIG-ET-CON-CONTROL</v>
      </c>
      <c r="B63" s="19" t="str">
        <f aca="false">'Object Crosswalk'!A18</f>
        <v>RIG-ET-CON</v>
      </c>
      <c r="C63" s="19" t="str">
        <f aca="false">'Object Crosswalk'!B18</f>
        <v>Root-native rig</v>
      </c>
      <c r="D63" s="19" t="str">
        <f aca="false">'Object Crosswalk'!D18</f>
        <v>MS-ET</v>
      </c>
      <c r="E63" s="19" t="str">
        <f aca="false">'Object Crosswalk'!E18</f>
        <v>ET-A</v>
      </c>
      <c r="F63" s="19" t="str">
        <f aca="false">'Object Crosswalk'!F18</f>
        <v>CONTROL</v>
      </c>
      <c r="G63" s="9" t="s">
        <v>333</v>
      </c>
      <c r="H63" s="11" t="s">
        <v>58</v>
      </c>
      <c r="I63" s="32" t="n">
        <f aca="false">0</f>
        <v>0</v>
      </c>
      <c r="J63" s="11" t="s">
        <v>576</v>
      </c>
      <c r="K63" s="32" t="str">
        <f aca="false">IF(I63=1,"ACCEPTED","OPEN")</f>
        <v>OPEN</v>
      </c>
    </row>
    <row r="64" customFormat="false" ht="15" hidden="false" customHeight="false" outlineLevel="0" collapsed="false">
      <c r="A64" s="19" t="str">
        <f aca="false">"PKT-"&amp;B64&amp;"-METROLOGY"</f>
        <v>PKT-RIG-ET-CON-METROLOGY</v>
      </c>
      <c r="B64" s="19" t="str">
        <f aca="false">'Object Crosswalk'!A18</f>
        <v>RIG-ET-CON</v>
      </c>
      <c r="C64" s="19" t="str">
        <f aca="false">'Object Crosswalk'!B18</f>
        <v>Root-native rig</v>
      </c>
      <c r="D64" s="19" t="str">
        <f aca="false">'Object Crosswalk'!D18</f>
        <v>MS-ET</v>
      </c>
      <c r="E64" s="19" t="str">
        <f aca="false">'Object Crosswalk'!E18</f>
        <v>ET-A</v>
      </c>
      <c r="F64" s="19" t="str">
        <f aca="false">'Object Crosswalk'!F18</f>
        <v>CONTROL</v>
      </c>
      <c r="G64" s="9" t="s">
        <v>729</v>
      </c>
      <c r="H64" s="11" t="s">
        <v>58</v>
      </c>
      <c r="I64" s="32" t="n">
        <f aca="false">0</f>
        <v>0</v>
      </c>
      <c r="J64" s="11" t="s">
        <v>576</v>
      </c>
      <c r="K64" s="32" t="str">
        <f aca="false">IF(I64=1,"ACCEPTED","OPEN")</f>
        <v>OPEN</v>
      </c>
    </row>
    <row r="65" customFormat="false" ht="15" hidden="false" customHeight="false" outlineLevel="0" collapsed="false">
      <c r="A65" s="19" t="str">
        <f aca="false">"PKT-"&amp;B65&amp;"-SAFETY"</f>
        <v>PKT-RIG-ET-CON-SAFETY</v>
      </c>
      <c r="B65" s="19" t="str">
        <f aca="false">'Object Crosswalk'!A18</f>
        <v>RIG-ET-CON</v>
      </c>
      <c r="C65" s="19" t="str">
        <f aca="false">'Object Crosswalk'!B18</f>
        <v>Root-native rig</v>
      </c>
      <c r="D65" s="19" t="str">
        <f aca="false">'Object Crosswalk'!D18</f>
        <v>MS-ET</v>
      </c>
      <c r="E65" s="19" t="str">
        <f aca="false">'Object Crosswalk'!E18</f>
        <v>ET-A</v>
      </c>
      <c r="F65" s="19" t="str">
        <f aca="false">'Object Crosswalk'!F18</f>
        <v>CONTROL</v>
      </c>
      <c r="G65" s="9" t="s">
        <v>730</v>
      </c>
      <c r="H65" s="11" t="s">
        <v>58</v>
      </c>
      <c r="I65" s="32" t="n">
        <f aca="false">0</f>
        <v>0</v>
      </c>
      <c r="J65" s="11" t="s">
        <v>576</v>
      </c>
      <c r="K65" s="32" t="str">
        <f aca="false">IF(I65=1,"ACCEPTED","OPEN")</f>
        <v>OPEN</v>
      </c>
    </row>
    <row r="66" customFormat="false" ht="15" hidden="false" customHeight="false" outlineLevel="0" collapsed="false">
      <c r="A66" s="19" t="str">
        <f aca="false">"PKT-"&amp;B66&amp;"-RECONSTRUCTION"</f>
        <v>PKT-RIG-ET-CON-RECONSTRUCTION</v>
      </c>
      <c r="B66" s="19" t="str">
        <f aca="false">'Object Crosswalk'!A18</f>
        <v>RIG-ET-CON</v>
      </c>
      <c r="C66" s="19" t="str">
        <f aca="false">'Object Crosswalk'!B18</f>
        <v>Root-native rig</v>
      </c>
      <c r="D66" s="19" t="str">
        <f aca="false">'Object Crosswalk'!D18</f>
        <v>MS-ET</v>
      </c>
      <c r="E66" s="19" t="str">
        <f aca="false">'Object Crosswalk'!E18</f>
        <v>ET-A</v>
      </c>
      <c r="F66" s="19" t="str">
        <f aca="false">'Object Crosswalk'!F18</f>
        <v>CONTROL</v>
      </c>
      <c r="G66" s="9" t="s">
        <v>341</v>
      </c>
      <c r="H66" s="11" t="s">
        <v>58</v>
      </c>
      <c r="I66" s="32" t="n">
        <f aca="false">0</f>
        <v>0</v>
      </c>
      <c r="J66" s="11" t="s">
        <v>576</v>
      </c>
      <c r="K66" s="32" t="str">
        <f aca="false">IF(I66=1,"ACCEPTED","OPEN")</f>
        <v>OPEN</v>
      </c>
    </row>
    <row r="67" customFormat="false" ht="15" hidden="false" customHeight="false" outlineLevel="0" collapsed="false">
      <c r="A67" s="19" t="str">
        <f aca="false">"PKT-"&amp;B67&amp;"-CONFIGURATION"</f>
        <v>PKT-MTH-ET-CON-L1-CONFIGURATION</v>
      </c>
      <c r="B67" s="19" t="str">
        <f aca="false">'Object Crosswalk'!A19</f>
        <v>MTH-ET-CON-L1</v>
      </c>
      <c r="C67" s="19" t="str">
        <f aca="false">'Object Crosswalk'!B19</f>
        <v>Method lineage</v>
      </c>
      <c r="D67" s="19" t="str">
        <f aca="false">'Object Crosswalk'!D19</f>
        <v>MS-ET</v>
      </c>
      <c r="E67" s="19" t="str">
        <f aca="false">'Object Crosswalk'!E19</f>
        <v>ET-A</v>
      </c>
      <c r="F67" s="19" t="str">
        <f aca="false">'Object Crosswalk'!F19</f>
        <v>CONTROL</v>
      </c>
      <c r="G67" s="9" t="s">
        <v>728</v>
      </c>
      <c r="H67" s="11" t="s">
        <v>58</v>
      </c>
      <c r="I67" s="32" t="n">
        <f aca="false">0</f>
        <v>0</v>
      </c>
      <c r="J67" s="11" t="s">
        <v>576</v>
      </c>
      <c r="K67" s="32" t="str">
        <f aca="false">IF(I67=1,"ACCEPTED","OPEN")</f>
        <v>OPEN</v>
      </c>
    </row>
    <row r="68" customFormat="false" ht="15" hidden="false" customHeight="false" outlineLevel="0" collapsed="false">
      <c r="A68" s="19" t="str">
        <f aca="false">"PKT-"&amp;B68&amp;"-CONTROL"</f>
        <v>PKT-MTH-ET-CON-L1-CONTROL</v>
      </c>
      <c r="B68" s="19" t="str">
        <f aca="false">'Object Crosswalk'!A19</f>
        <v>MTH-ET-CON-L1</v>
      </c>
      <c r="C68" s="19" t="str">
        <f aca="false">'Object Crosswalk'!B19</f>
        <v>Method lineage</v>
      </c>
      <c r="D68" s="19" t="str">
        <f aca="false">'Object Crosswalk'!D19</f>
        <v>MS-ET</v>
      </c>
      <c r="E68" s="19" t="str">
        <f aca="false">'Object Crosswalk'!E19</f>
        <v>ET-A</v>
      </c>
      <c r="F68" s="19" t="str">
        <f aca="false">'Object Crosswalk'!F19</f>
        <v>CONTROL</v>
      </c>
      <c r="G68" s="9" t="s">
        <v>333</v>
      </c>
      <c r="H68" s="11" t="s">
        <v>58</v>
      </c>
      <c r="I68" s="32" t="n">
        <f aca="false">0</f>
        <v>0</v>
      </c>
      <c r="J68" s="11" t="s">
        <v>576</v>
      </c>
      <c r="K68" s="32" t="str">
        <f aca="false">IF(I68=1,"ACCEPTED","OPEN")</f>
        <v>OPEN</v>
      </c>
    </row>
    <row r="69" customFormat="false" ht="15" hidden="false" customHeight="false" outlineLevel="0" collapsed="false">
      <c r="A69" s="19" t="str">
        <f aca="false">"PKT-"&amp;B69&amp;"-METROLOGY"</f>
        <v>PKT-MTH-ET-CON-L1-METROLOGY</v>
      </c>
      <c r="B69" s="19" t="str">
        <f aca="false">'Object Crosswalk'!A19</f>
        <v>MTH-ET-CON-L1</v>
      </c>
      <c r="C69" s="19" t="str">
        <f aca="false">'Object Crosswalk'!B19</f>
        <v>Method lineage</v>
      </c>
      <c r="D69" s="19" t="str">
        <f aca="false">'Object Crosswalk'!D19</f>
        <v>MS-ET</v>
      </c>
      <c r="E69" s="19" t="str">
        <f aca="false">'Object Crosswalk'!E19</f>
        <v>ET-A</v>
      </c>
      <c r="F69" s="19" t="str">
        <f aca="false">'Object Crosswalk'!F19</f>
        <v>CONTROL</v>
      </c>
      <c r="G69" s="9" t="s">
        <v>729</v>
      </c>
      <c r="H69" s="11" t="s">
        <v>58</v>
      </c>
      <c r="I69" s="32" t="n">
        <f aca="false">0</f>
        <v>0</v>
      </c>
      <c r="J69" s="11" t="s">
        <v>576</v>
      </c>
      <c r="K69" s="32" t="str">
        <f aca="false">IF(I69=1,"ACCEPTED","OPEN")</f>
        <v>OPEN</v>
      </c>
    </row>
    <row r="70" customFormat="false" ht="15" hidden="false" customHeight="false" outlineLevel="0" collapsed="false">
      <c r="A70" s="19" t="str">
        <f aca="false">"PKT-"&amp;B70&amp;"-SAFETY"</f>
        <v>PKT-MTH-ET-CON-L1-SAFETY</v>
      </c>
      <c r="B70" s="19" t="str">
        <f aca="false">'Object Crosswalk'!A19</f>
        <v>MTH-ET-CON-L1</v>
      </c>
      <c r="C70" s="19" t="str">
        <f aca="false">'Object Crosswalk'!B19</f>
        <v>Method lineage</v>
      </c>
      <c r="D70" s="19" t="str">
        <f aca="false">'Object Crosswalk'!D19</f>
        <v>MS-ET</v>
      </c>
      <c r="E70" s="19" t="str">
        <f aca="false">'Object Crosswalk'!E19</f>
        <v>ET-A</v>
      </c>
      <c r="F70" s="19" t="str">
        <f aca="false">'Object Crosswalk'!F19</f>
        <v>CONTROL</v>
      </c>
      <c r="G70" s="9" t="s">
        <v>730</v>
      </c>
      <c r="H70" s="11" t="s">
        <v>58</v>
      </c>
      <c r="I70" s="32" t="n">
        <f aca="false">0</f>
        <v>0</v>
      </c>
      <c r="J70" s="11" t="s">
        <v>576</v>
      </c>
      <c r="K70" s="32" t="str">
        <f aca="false">IF(I70=1,"ACCEPTED","OPEN")</f>
        <v>OPEN</v>
      </c>
    </row>
    <row r="71" customFormat="false" ht="15" hidden="false" customHeight="false" outlineLevel="0" collapsed="false">
      <c r="A71" s="19" t="str">
        <f aca="false">"PKT-"&amp;B71&amp;"-RECONSTRUCTION"</f>
        <v>PKT-MTH-ET-CON-L1-RECONSTRUCTION</v>
      </c>
      <c r="B71" s="19" t="str">
        <f aca="false">'Object Crosswalk'!A19</f>
        <v>MTH-ET-CON-L1</v>
      </c>
      <c r="C71" s="19" t="str">
        <f aca="false">'Object Crosswalk'!B19</f>
        <v>Method lineage</v>
      </c>
      <c r="D71" s="19" t="str">
        <f aca="false">'Object Crosswalk'!D19</f>
        <v>MS-ET</v>
      </c>
      <c r="E71" s="19" t="str">
        <f aca="false">'Object Crosswalk'!E19</f>
        <v>ET-A</v>
      </c>
      <c r="F71" s="19" t="str">
        <f aca="false">'Object Crosswalk'!F19</f>
        <v>CONTROL</v>
      </c>
      <c r="G71" s="9" t="s">
        <v>341</v>
      </c>
      <c r="H71" s="11" t="s">
        <v>58</v>
      </c>
      <c r="I71" s="32" t="n">
        <f aca="false">0</f>
        <v>0</v>
      </c>
      <c r="J71" s="11" t="s">
        <v>576</v>
      </c>
      <c r="K71" s="32" t="str">
        <f aca="false">IF(I71=1,"ACCEPTED","OPEN")</f>
        <v>OPEN</v>
      </c>
    </row>
    <row r="72" customFormat="false" ht="15" hidden="false" customHeight="false" outlineLevel="0" collapsed="false">
      <c r="A72" s="19" t="str">
        <f aca="false">"PKT-"&amp;B72&amp;"-CONFIGURATION"</f>
        <v>PKT-MTH-ET-CON-L2-CONFIGURATION</v>
      </c>
      <c r="B72" s="19" t="str">
        <f aca="false">'Object Crosswalk'!A20</f>
        <v>MTH-ET-CON-L2</v>
      </c>
      <c r="C72" s="19" t="str">
        <f aca="false">'Object Crosswalk'!B20</f>
        <v>Method lineage</v>
      </c>
      <c r="D72" s="19" t="str">
        <f aca="false">'Object Crosswalk'!D20</f>
        <v>MS-ET</v>
      </c>
      <c r="E72" s="19" t="str">
        <f aca="false">'Object Crosswalk'!E20</f>
        <v>ET-A</v>
      </c>
      <c r="F72" s="19" t="str">
        <f aca="false">'Object Crosswalk'!F20</f>
        <v>CONTROL</v>
      </c>
      <c r="G72" s="9" t="s">
        <v>728</v>
      </c>
      <c r="H72" s="11" t="s">
        <v>58</v>
      </c>
      <c r="I72" s="32" t="n">
        <f aca="false">0</f>
        <v>0</v>
      </c>
      <c r="J72" s="11" t="s">
        <v>576</v>
      </c>
      <c r="K72" s="32" t="str">
        <f aca="false">IF(I72=1,"ACCEPTED","OPEN")</f>
        <v>OPEN</v>
      </c>
    </row>
    <row r="73" customFormat="false" ht="15" hidden="false" customHeight="false" outlineLevel="0" collapsed="false">
      <c r="A73" s="19" t="str">
        <f aca="false">"PKT-"&amp;B73&amp;"-CONTROL"</f>
        <v>PKT-MTH-ET-CON-L2-CONTROL</v>
      </c>
      <c r="B73" s="19" t="str">
        <f aca="false">'Object Crosswalk'!A20</f>
        <v>MTH-ET-CON-L2</v>
      </c>
      <c r="C73" s="19" t="str">
        <f aca="false">'Object Crosswalk'!B20</f>
        <v>Method lineage</v>
      </c>
      <c r="D73" s="19" t="str">
        <f aca="false">'Object Crosswalk'!D20</f>
        <v>MS-ET</v>
      </c>
      <c r="E73" s="19" t="str">
        <f aca="false">'Object Crosswalk'!E20</f>
        <v>ET-A</v>
      </c>
      <c r="F73" s="19" t="str">
        <f aca="false">'Object Crosswalk'!F20</f>
        <v>CONTROL</v>
      </c>
      <c r="G73" s="9" t="s">
        <v>333</v>
      </c>
      <c r="H73" s="11" t="s">
        <v>58</v>
      </c>
      <c r="I73" s="32" t="n">
        <f aca="false">0</f>
        <v>0</v>
      </c>
      <c r="J73" s="11" t="s">
        <v>576</v>
      </c>
      <c r="K73" s="32" t="str">
        <f aca="false">IF(I73=1,"ACCEPTED","OPEN")</f>
        <v>OPEN</v>
      </c>
    </row>
    <row r="74" customFormat="false" ht="15" hidden="false" customHeight="false" outlineLevel="0" collapsed="false">
      <c r="A74" s="19" t="str">
        <f aca="false">"PKT-"&amp;B74&amp;"-METROLOGY"</f>
        <v>PKT-MTH-ET-CON-L2-METROLOGY</v>
      </c>
      <c r="B74" s="19" t="str">
        <f aca="false">'Object Crosswalk'!A20</f>
        <v>MTH-ET-CON-L2</v>
      </c>
      <c r="C74" s="19" t="str">
        <f aca="false">'Object Crosswalk'!B20</f>
        <v>Method lineage</v>
      </c>
      <c r="D74" s="19" t="str">
        <f aca="false">'Object Crosswalk'!D20</f>
        <v>MS-ET</v>
      </c>
      <c r="E74" s="19" t="str">
        <f aca="false">'Object Crosswalk'!E20</f>
        <v>ET-A</v>
      </c>
      <c r="F74" s="19" t="str">
        <f aca="false">'Object Crosswalk'!F20</f>
        <v>CONTROL</v>
      </c>
      <c r="G74" s="9" t="s">
        <v>729</v>
      </c>
      <c r="H74" s="11" t="s">
        <v>58</v>
      </c>
      <c r="I74" s="32" t="n">
        <f aca="false">0</f>
        <v>0</v>
      </c>
      <c r="J74" s="11" t="s">
        <v>576</v>
      </c>
      <c r="K74" s="32" t="str">
        <f aca="false">IF(I74=1,"ACCEPTED","OPEN")</f>
        <v>OPEN</v>
      </c>
    </row>
    <row r="75" customFormat="false" ht="15" hidden="false" customHeight="false" outlineLevel="0" collapsed="false">
      <c r="A75" s="19" t="str">
        <f aca="false">"PKT-"&amp;B75&amp;"-SAFETY"</f>
        <v>PKT-MTH-ET-CON-L2-SAFETY</v>
      </c>
      <c r="B75" s="19" t="str">
        <f aca="false">'Object Crosswalk'!A20</f>
        <v>MTH-ET-CON-L2</v>
      </c>
      <c r="C75" s="19" t="str">
        <f aca="false">'Object Crosswalk'!B20</f>
        <v>Method lineage</v>
      </c>
      <c r="D75" s="19" t="str">
        <f aca="false">'Object Crosswalk'!D20</f>
        <v>MS-ET</v>
      </c>
      <c r="E75" s="19" t="str">
        <f aca="false">'Object Crosswalk'!E20</f>
        <v>ET-A</v>
      </c>
      <c r="F75" s="19" t="str">
        <f aca="false">'Object Crosswalk'!F20</f>
        <v>CONTROL</v>
      </c>
      <c r="G75" s="9" t="s">
        <v>730</v>
      </c>
      <c r="H75" s="11" t="s">
        <v>58</v>
      </c>
      <c r="I75" s="32" t="n">
        <f aca="false">0</f>
        <v>0</v>
      </c>
      <c r="J75" s="11" t="s">
        <v>576</v>
      </c>
      <c r="K75" s="32" t="str">
        <f aca="false">IF(I75=1,"ACCEPTED","OPEN")</f>
        <v>OPEN</v>
      </c>
    </row>
    <row r="76" customFormat="false" ht="15" hidden="false" customHeight="false" outlineLevel="0" collapsed="false">
      <c r="A76" s="19" t="str">
        <f aca="false">"PKT-"&amp;B76&amp;"-RECONSTRUCTION"</f>
        <v>PKT-MTH-ET-CON-L2-RECONSTRUCTION</v>
      </c>
      <c r="B76" s="19" t="str">
        <f aca="false">'Object Crosswalk'!A20</f>
        <v>MTH-ET-CON-L2</v>
      </c>
      <c r="C76" s="19" t="str">
        <f aca="false">'Object Crosswalk'!B20</f>
        <v>Method lineage</v>
      </c>
      <c r="D76" s="19" t="str">
        <f aca="false">'Object Crosswalk'!D20</f>
        <v>MS-ET</v>
      </c>
      <c r="E76" s="19" t="str">
        <f aca="false">'Object Crosswalk'!E20</f>
        <v>ET-A</v>
      </c>
      <c r="F76" s="19" t="str">
        <f aca="false">'Object Crosswalk'!F20</f>
        <v>CONTROL</v>
      </c>
      <c r="G76" s="9" t="s">
        <v>341</v>
      </c>
      <c r="H76" s="11" t="s">
        <v>58</v>
      </c>
      <c r="I76" s="32" t="n">
        <f aca="false">0</f>
        <v>0</v>
      </c>
      <c r="J76" s="11" t="s">
        <v>576</v>
      </c>
      <c r="K76" s="32" t="str">
        <f aca="false">IF(I76=1,"ACCEPTED","OPEN")</f>
        <v>OPEN</v>
      </c>
    </row>
    <row r="77" customFormat="false" ht="15" hidden="false" customHeight="false" outlineLevel="0" collapsed="false">
      <c r="A77" s="19" t="str">
        <f aca="false">"PKT-"&amp;B77&amp;"-CONFIGURATION"</f>
        <v>PKT-REG-ET-CON-CONFIGURATION</v>
      </c>
      <c r="B77" s="19" t="str">
        <f aca="false">'Object Crosswalk'!A21</f>
        <v>REG-ET-CON</v>
      </c>
      <c r="C77" s="19" t="str">
        <f aca="false">'Object Crosswalk'!B21</f>
        <v>Regeneration tool</v>
      </c>
      <c r="D77" s="19" t="str">
        <f aca="false">'Object Crosswalk'!D21</f>
        <v>MS-ET</v>
      </c>
      <c r="E77" s="19" t="str">
        <f aca="false">'Object Crosswalk'!E21</f>
        <v>ET-A</v>
      </c>
      <c r="F77" s="19" t="str">
        <f aca="false">'Object Crosswalk'!F21</f>
        <v>CONTROL</v>
      </c>
      <c r="G77" s="9" t="s">
        <v>728</v>
      </c>
      <c r="H77" s="11" t="s">
        <v>58</v>
      </c>
      <c r="I77" s="32" t="n">
        <f aca="false">0</f>
        <v>0</v>
      </c>
      <c r="J77" s="11" t="s">
        <v>576</v>
      </c>
      <c r="K77" s="32" t="str">
        <f aca="false">IF(I77=1,"ACCEPTED","OPEN")</f>
        <v>OPEN</v>
      </c>
    </row>
    <row r="78" customFormat="false" ht="15" hidden="false" customHeight="false" outlineLevel="0" collapsed="false">
      <c r="A78" s="19" t="str">
        <f aca="false">"PKT-"&amp;B78&amp;"-CONTROL"</f>
        <v>PKT-REG-ET-CON-CONTROL</v>
      </c>
      <c r="B78" s="19" t="str">
        <f aca="false">'Object Crosswalk'!A21</f>
        <v>REG-ET-CON</v>
      </c>
      <c r="C78" s="19" t="str">
        <f aca="false">'Object Crosswalk'!B21</f>
        <v>Regeneration tool</v>
      </c>
      <c r="D78" s="19" t="str">
        <f aca="false">'Object Crosswalk'!D21</f>
        <v>MS-ET</v>
      </c>
      <c r="E78" s="19" t="str">
        <f aca="false">'Object Crosswalk'!E21</f>
        <v>ET-A</v>
      </c>
      <c r="F78" s="19" t="str">
        <f aca="false">'Object Crosswalk'!F21</f>
        <v>CONTROL</v>
      </c>
      <c r="G78" s="9" t="s">
        <v>333</v>
      </c>
      <c r="H78" s="11" t="s">
        <v>58</v>
      </c>
      <c r="I78" s="32" t="n">
        <f aca="false">0</f>
        <v>0</v>
      </c>
      <c r="J78" s="11" t="s">
        <v>576</v>
      </c>
      <c r="K78" s="32" t="str">
        <f aca="false">IF(I78=1,"ACCEPTED","OPEN")</f>
        <v>OPEN</v>
      </c>
    </row>
    <row r="79" customFormat="false" ht="15" hidden="false" customHeight="false" outlineLevel="0" collapsed="false">
      <c r="A79" s="19" t="str">
        <f aca="false">"PKT-"&amp;B79&amp;"-METROLOGY"</f>
        <v>PKT-REG-ET-CON-METROLOGY</v>
      </c>
      <c r="B79" s="19" t="str">
        <f aca="false">'Object Crosswalk'!A21</f>
        <v>REG-ET-CON</v>
      </c>
      <c r="C79" s="19" t="str">
        <f aca="false">'Object Crosswalk'!B21</f>
        <v>Regeneration tool</v>
      </c>
      <c r="D79" s="19" t="str">
        <f aca="false">'Object Crosswalk'!D21</f>
        <v>MS-ET</v>
      </c>
      <c r="E79" s="19" t="str">
        <f aca="false">'Object Crosswalk'!E21</f>
        <v>ET-A</v>
      </c>
      <c r="F79" s="19" t="str">
        <f aca="false">'Object Crosswalk'!F21</f>
        <v>CONTROL</v>
      </c>
      <c r="G79" s="9" t="s">
        <v>729</v>
      </c>
      <c r="H79" s="11" t="s">
        <v>58</v>
      </c>
      <c r="I79" s="32" t="n">
        <f aca="false">0</f>
        <v>0</v>
      </c>
      <c r="J79" s="11" t="s">
        <v>576</v>
      </c>
      <c r="K79" s="32" t="str">
        <f aca="false">IF(I79=1,"ACCEPTED","OPEN")</f>
        <v>OPEN</v>
      </c>
    </row>
    <row r="80" customFormat="false" ht="15" hidden="false" customHeight="false" outlineLevel="0" collapsed="false">
      <c r="A80" s="19" t="str">
        <f aca="false">"PKT-"&amp;B80&amp;"-SAFETY"</f>
        <v>PKT-REG-ET-CON-SAFETY</v>
      </c>
      <c r="B80" s="19" t="str">
        <f aca="false">'Object Crosswalk'!A21</f>
        <v>REG-ET-CON</v>
      </c>
      <c r="C80" s="19" t="str">
        <f aca="false">'Object Crosswalk'!B21</f>
        <v>Regeneration tool</v>
      </c>
      <c r="D80" s="19" t="str">
        <f aca="false">'Object Crosswalk'!D21</f>
        <v>MS-ET</v>
      </c>
      <c r="E80" s="19" t="str">
        <f aca="false">'Object Crosswalk'!E21</f>
        <v>ET-A</v>
      </c>
      <c r="F80" s="19" t="str">
        <f aca="false">'Object Crosswalk'!F21</f>
        <v>CONTROL</v>
      </c>
      <c r="G80" s="9" t="s">
        <v>730</v>
      </c>
      <c r="H80" s="11" t="s">
        <v>58</v>
      </c>
      <c r="I80" s="32" t="n">
        <f aca="false">0</f>
        <v>0</v>
      </c>
      <c r="J80" s="11" t="s">
        <v>576</v>
      </c>
      <c r="K80" s="32" t="str">
        <f aca="false">IF(I80=1,"ACCEPTED","OPEN")</f>
        <v>OPEN</v>
      </c>
    </row>
    <row r="81" customFormat="false" ht="15" hidden="false" customHeight="false" outlineLevel="0" collapsed="false">
      <c r="A81" s="19" t="str">
        <f aca="false">"PKT-"&amp;B81&amp;"-RECONSTRUCTION"</f>
        <v>PKT-REG-ET-CON-RECONSTRUCTION</v>
      </c>
      <c r="B81" s="19" t="str">
        <f aca="false">'Object Crosswalk'!A21</f>
        <v>REG-ET-CON</v>
      </c>
      <c r="C81" s="19" t="str">
        <f aca="false">'Object Crosswalk'!B21</f>
        <v>Regeneration tool</v>
      </c>
      <c r="D81" s="19" t="str">
        <f aca="false">'Object Crosswalk'!D21</f>
        <v>MS-ET</v>
      </c>
      <c r="E81" s="19" t="str">
        <f aca="false">'Object Crosswalk'!E21</f>
        <v>ET-A</v>
      </c>
      <c r="F81" s="19" t="str">
        <f aca="false">'Object Crosswalk'!F21</f>
        <v>CONTROL</v>
      </c>
      <c r="G81" s="9" t="s">
        <v>341</v>
      </c>
      <c r="H81" s="11" t="s">
        <v>58</v>
      </c>
      <c r="I81" s="32" t="n">
        <f aca="false">0</f>
        <v>0</v>
      </c>
      <c r="J81" s="11" t="s">
        <v>576</v>
      </c>
      <c r="K81" s="32" t="str">
        <f aca="false">IF(I81=1,"ACCEPTED","OPEN")</f>
        <v>OPEN</v>
      </c>
    </row>
    <row r="82" customFormat="false" ht="15" hidden="false" customHeight="false" outlineLevel="0" collapsed="false">
      <c r="A82" s="19" t="str">
        <f aca="false">"PKT-"&amp;B82&amp;"-CONFIGURATION"</f>
        <v>PKT-INT-ET-CON-CONFIGURATION</v>
      </c>
      <c r="B82" s="19" t="str">
        <f aca="false">'Object Crosswalk'!A22</f>
        <v>INT-ET-CON</v>
      </c>
      <c r="C82" s="19" t="str">
        <f aca="false">'Object Crosswalk'!B22</f>
        <v>Station integration</v>
      </c>
      <c r="D82" s="19" t="str">
        <f aca="false">'Object Crosswalk'!D22</f>
        <v>MS-ET</v>
      </c>
      <c r="E82" s="19" t="str">
        <f aca="false">'Object Crosswalk'!E22</f>
        <v>ET-A</v>
      </c>
      <c r="F82" s="19" t="str">
        <f aca="false">'Object Crosswalk'!F22</f>
        <v>CONTROL</v>
      </c>
      <c r="G82" s="9" t="s">
        <v>728</v>
      </c>
      <c r="H82" s="11" t="s">
        <v>58</v>
      </c>
      <c r="I82" s="32" t="n">
        <f aca="false">0</f>
        <v>0</v>
      </c>
      <c r="J82" s="11" t="s">
        <v>576</v>
      </c>
      <c r="K82" s="32" t="str">
        <f aca="false">IF(I82=1,"ACCEPTED","OPEN")</f>
        <v>OPEN</v>
      </c>
    </row>
    <row r="83" customFormat="false" ht="15" hidden="false" customHeight="false" outlineLevel="0" collapsed="false">
      <c r="A83" s="19" t="str">
        <f aca="false">"PKT-"&amp;B83&amp;"-CONTROL"</f>
        <v>PKT-INT-ET-CON-CONTROL</v>
      </c>
      <c r="B83" s="19" t="str">
        <f aca="false">'Object Crosswalk'!A22</f>
        <v>INT-ET-CON</v>
      </c>
      <c r="C83" s="19" t="str">
        <f aca="false">'Object Crosswalk'!B22</f>
        <v>Station integration</v>
      </c>
      <c r="D83" s="19" t="str">
        <f aca="false">'Object Crosswalk'!D22</f>
        <v>MS-ET</v>
      </c>
      <c r="E83" s="19" t="str">
        <f aca="false">'Object Crosswalk'!E22</f>
        <v>ET-A</v>
      </c>
      <c r="F83" s="19" t="str">
        <f aca="false">'Object Crosswalk'!F22</f>
        <v>CONTROL</v>
      </c>
      <c r="G83" s="9" t="s">
        <v>333</v>
      </c>
      <c r="H83" s="11" t="s">
        <v>58</v>
      </c>
      <c r="I83" s="32" t="n">
        <f aca="false">0</f>
        <v>0</v>
      </c>
      <c r="J83" s="11" t="s">
        <v>576</v>
      </c>
      <c r="K83" s="32" t="str">
        <f aca="false">IF(I83=1,"ACCEPTED","OPEN")</f>
        <v>OPEN</v>
      </c>
    </row>
    <row r="84" customFormat="false" ht="15" hidden="false" customHeight="false" outlineLevel="0" collapsed="false">
      <c r="A84" s="19" t="str">
        <f aca="false">"PKT-"&amp;B84&amp;"-METROLOGY"</f>
        <v>PKT-INT-ET-CON-METROLOGY</v>
      </c>
      <c r="B84" s="19" t="str">
        <f aca="false">'Object Crosswalk'!A22</f>
        <v>INT-ET-CON</v>
      </c>
      <c r="C84" s="19" t="str">
        <f aca="false">'Object Crosswalk'!B22</f>
        <v>Station integration</v>
      </c>
      <c r="D84" s="19" t="str">
        <f aca="false">'Object Crosswalk'!D22</f>
        <v>MS-ET</v>
      </c>
      <c r="E84" s="19" t="str">
        <f aca="false">'Object Crosswalk'!E22</f>
        <v>ET-A</v>
      </c>
      <c r="F84" s="19" t="str">
        <f aca="false">'Object Crosswalk'!F22</f>
        <v>CONTROL</v>
      </c>
      <c r="G84" s="9" t="s">
        <v>729</v>
      </c>
      <c r="H84" s="11" t="s">
        <v>58</v>
      </c>
      <c r="I84" s="32" t="n">
        <f aca="false">0</f>
        <v>0</v>
      </c>
      <c r="J84" s="11" t="s">
        <v>576</v>
      </c>
      <c r="K84" s="32" t="str">
        <f aca="false">IF(I84=1,"ACCEPTED","OPEN")</f>
        <v>OPEN</v>
      </c>
    </row>
    <row r="85" customFormat="false" ht="15" hidden="false" customHeight="false" outlineLevel="0" collapsed="false">
      <c r="A85" s="19" t="str">
        <f aca="false">"PKT-"&amp;B85&amp;"-SAFETY"</f>
        <v>PKT-INT-ET-CON-SAFETY</v>
      </c>
      <c r="B85" s="19" t="str">
        <f aca="false">'Object Crosswalk'!A22</f>
        <v>INT-ET-CON</v>
      </c>
      <c r="C85" s="19" t="str">
        <f aca="false">'Object Crosswalk'!B22</f>
        <v>Station integration</v>
      </c>
      <c r="D85" s="19" t="str">
        <f aca="false">'Object Crosswalk'!D22</f>
        <v>MS-ET</v>
      </c>
      <c r="E85" s="19" t="str">
        <f aca="false">'Object Crosswalk'!E22</f>
        <v>ET-A</v>
      </c>
      <c r="F85" s="19" t="str">
        <f aca="false">'Object Crosswalk'!F22</f>
        <v>CONTROL</v>
      </c>
      <c r="G85" s="9" t="s">
        <v>730</v>
      </c>
      <c r="H85" s="11" t="s">
        <v>58</v>
      </c>
      <c r="I85" s="32" t="n">
        <f aca="false">0</f>
        <v>0</v>
      </c>
      <c r="J85" s="11" t="s">
        <v>576</v>
      </c>
      <c r="K85" s="32" t="str">
        <f aca="false">IF(I85=1,"ACCEPTED","OPEN")</f>
        <v>OPEN</v>
      </c>
    </row>
    <row r="86" customFormat="false" ht="15" hidden="false" customHeight="false" outlineLevel="0" collapsed="false">
      <c r="A86" s="19" t="str">
        <f aca="false">"PKT-"&amp;B86&amp;"-RECONSTRUCTION"</f>
        <v>PKT-INT-ET-CON-RECONSTRUCTION</v>
      </c>
      <c r="B86" s="19" t="str">
        <f aca="false">'Object Crosswalk'!A22</f>
        <v>INT-ET-CON</v>
      </c>
      <c r="C86" s="19" t="str">
        <f aca="false">'Object Crosswalk'!B22</f>
        <v>Station integration</v>
      </c>
      <c r="D86" s="19" t="str">
        <f aca="false">'Object Crosswalk'!D22</f>
        <v>MS-ET</v>
      </c>
      <c r="E86" s="19" t="str">
        <f aca="false">'Object Crosswalk'!E22</f>
        <v>ET-A</v>
      </c>
      <c r="F86" s="19" t="str">
        <f aca="false">'Object Crosswalk'!F22</f>
        <v>CONTROL</v>
      </c>
      <c r="G86" s="9" t="s">
        <v>341</v>
      </c>
      <c r="H86" s="11" t="s">
        <v>58</v>
      </c>
      <c r="I86" s="32" t="n">
        <f aca="false">0</f>
        <v>0</v>
      </c>
      <c r="J86" s="11" t="s">
        <v>576</v>
      </c>
      <c r="K86" s="32" t="str">
        <f aca="false">IF(I86=1,"ACCEPTED","OPEN")</f>
        <v>OPEN</v>
      </c>
    </row>
    <row r="87" customFormat="false" ht="15" hidden="false" customHeight="false" outlineLevel="0" collapsed="false">
      <c r="A87" s="19" t="str">
        <f aca="false">"PKT-"&amp;B87&amp;"-CONFIGURATION"</f>
        <v>PKT-RIG-ET-REC-CONFIGURATION</v>
      </c>
      <c r="B87" s="19" t="str">
        <f aca="false">'Object Crosswalk'!A23</f>
        <v>RIG-ET-REC</v>
      </c>
      <c r="C87" s="19" t="str">
        <f aca="false">'Object Crosswalk'!B23</f>
        <v>Root-native rig</v>
      </c>
      <c r="D87" s="19" t="str">
        <f aca="false">'Object Crosswalk'!D23</f>
        <v>MS-ET</v>
      </c>
      <c r="E87" s="19" t="str">
        <f aca="false">'Object Crosswalk'!E23</f>
        <v>ET-A</v>
      </c>
      <c r="F87" s="19" t="str">
        <f aca="false">'Object Crosswalk'!F23</f>
        <v>RECONSTRUCTION</v>
      </c>
      <c r="G87" s="9" t="s">
        <v>728</v>
      </c>
      <c r="H87" s="11" t="s">
        <v>58</v>
      </c>
      <c r="I87" s="32" t="n">
        <f aca="false">0</f>
        <v>0</v>
      </c>
      <c r="J87" s="11" t="s">
        <v>576</v>
      </c>
      <c r="K87" s="32" t="str">
        <f aca="false">IF(I87=1,"ACCEPTED","OPEN")</f>
        <v>OPEN</v>
      </c>
    </row>
    <row r="88" customFormat="false" ht="15" hidden="false" customHeight="false" outlineLevel="0" collapsed="false">
      <c r="A88" s="19" t="str">
        <f aca="false">"PKT-"&amp;B88&amp;"-CONTROL"</f>
        <v>PKT-RIG-ET-REC-CONTROL</v>
      </c>
      <c r="B88" s="19" t="str">
        <f aca="false">'Object Crosswalk'!A23</f>
        <v>RIG-ET-REC</v>
      </c>
      <c r="C88" s="19" t="str">
        <f aca="false">'Object Crosswalk'!B23</f>
        <v>Root-native rig</v>
      </c>
      <c r="D88" s="19" t="str">
        <f aca="false">'Object Crosswalk'!D23</f>
        <v>MS-ET</v>
      </c>
      <c r="E88" s="19" t="str">
        <f aca="false">'Object Crosswalk'!E23</f>
        <v>ET-A</v>
      </c>
      <c r="F88" s="19" t="str">
        <f aca="false">'Object Crosswalk'!F23</f>
        <v>RECONSTRUCTION</v>
      </c>
      <c r="G88" s="9" t="s">
        <v>333</v>
      </c>
      <c r="H88" s="11" t="s">
        <v>58</v>
      </c>
      <c r="I88" s="32" t="n">
        <f aca="false">0</f>
        <v>0</v>
      </c>
      <c r="J88" s="11" t="s">
        <v>576</v>
      </c>
      <c r="K88" s="32" t="str">
        <f aca="false">IF(I88=1,"ACCEPTED","OPEN")</f>
        <v>OPEN</v>
      </c>
    </row>
    <row r="89" customFormat="false" ht="15" hidden="false" customHeight="false" outlineLevel="0" collapsed="false">
      <c r="A89" s="19" t="str">
        <f aca="false">"PKT-"&amp;B89&amp;"-METROLOGY"</f>
        <v>PKT-RIG-ET-REC-METROLOGY</v>
      </c>
      <c r="B89" s="19" t="str">
        <f aca="false">'Object Crosswalk'!A23</f>
        <v>RIG-ET-REC</v>
      </c>
      <c r="C89" s="19" t="str">
        <f aca="false">'Object Crosswalk'!B23</f>
        <v>Root-native rig</v>
      </c>
      <c r="D89" s="19" t="str">
        <f aca="false">'Object Crosswalk'!D23</f>
        <v>MS-ET</v>
      </c>
      <c r="E89" s="19" t="str">
        <f aca="false">'Object Crosswalk'!E23</f>
        <v>ET-A</v>
      </c>
      <c r="F89" s="19" t="str">
        <f aca="false">'Object Crosswalk'!F23</f>
        <v>RECONSTRUCTION</v>
      </c>
      <c r="G89" s="9" t="s">
        <v>729</v>
      </c>
      <c r="H89" s="11" t="s">
        <v>58</v>
      </c>
      <c r="I89" s="32" t="n">
        <f aca="false">0</f>
        <v>0</v>
      </c>
      <c r="J89" s="11" t="s">
        <v>576</v>
      </c>
      <c r="K89" s="32" t="str">
        <f aca="false">IF(I89=1,"ACCEPTED","OPEN")</f>
        <v>OPEN</v>
      </c>
    </row>
    <row r="90" customFormat="false" ht="15" hidden="false" customHeight="false" outlineLevel="0" collapsed="false">
      <c r="A90" s="19" t="str">
        <f aca="false">"PKT-"&amp;B90&amp;"-SAFETY"</f>
        <v>PKT-RIG-ET-REC-SAFETY</v>
      </c>
      <c r="B90" s="19" t="str">
        <f aca="false">'Object Crosswalk'!A23</f>
        <v>RIG-ET-REC</v>
      </c>
      <c r="C90" s="19" t="str">
        <f aca="false">'Object Crosswalk'!B23</f>
        <v>Root-native rig</v>
      </c>
      <c r="D90" s="19" t="str">
        <f aca="false">'Object Crosswalk'!D23</f>
        <v>MS-ET</v>
      </c>
      <c r="E90" s="19" t="str">
        <f aca="false">'Object Crosswalk'!E23</f>
        <v>ET-A</v>
      </c>
      <c r="F90" s="19" t="str">
        <f aca="false">'Object Crosswalk'!F23</f>
        <v>RECONSTRUCTION</v>
      </c>
      <c r="G90" s="9" t="s">
        <v>730</v>
      </c>
      <c r="H90" s="11" t="s">
        <v>58</v>
      </c>
      <c r="I90" s="32" t="n">
        <f aca="false">0</f>
        <v>0</v>
      </c>
      <c r="J90" s="11" t="s">
        <v>576</v>
      </c>
      <c r="K90" s="32" t="str">
        <f aca="false">IF(I90=1,"ACCEPTED","OPEN")</f>
        <v>OPEN</v>
      </c>
    </row>
    <row r="91" customFormat="false" ht="15" hidden="false" customHeight="false" outlineLevel="0" collapsed="false">
      <c r="A91" s="19" t="str">
        <f aca="false">"PKT-"&amp;B91&amp;"-RECONSTRUCTION"</f>
        <v>PKT-RIG-ET-REC-RECONSTRUCTION</v>
      </c>
      <c r="B91" s="19" t="str">
        <f aca="false">'Object Crosswalk'!A23</f>
        <v>RIG-ET-REC</v>
      </c>
      <c r="C91" s="19" t="str">
        <f aca="false">'Object Crosswalk'!B23</f>
        <v>Root-native rig</v>
      </c>
      <c r="D91" s="19" t="str">
        <f aca="false">'Object Crosswalk'!D23</f>
        <v>MS-ET</v>
      </c>
      <c r="E91" s="19" t="str">
        <f aca="false">'Object Crosswalk'!E23</f>
        <v>ET-A</v>
      </c>
      <c r="F91" s="19" t="str">
        <f aca="false">'Object Crosswalk'!F23</f>
        <v>RECONSTRUCTION</v>
      </c>
      <c r="G91" s="9" t="s">
        <v>341</v>
      </c>
      <c r="H91" s="11" t="s">
        <v>58</v>
      </c>
      <c r="I91" s="32" t="n">
        <f aca="false">0</f>
        <v>0</v>
      </c>
      <c r="J91" s="11" t="s">
        <v>576</v>
      </c>
      <c r="K91" s="32" t="str">
        <f aca="false">IF(I91=1,"ACCEPTED","OPEN")</f>
        <v>OPEN</v>
      </c>
    </row>
    <row r="92" customFormat="false" ht="15" hidden="false" customHeight="false" outlineLevel="0" collapsed="false">
      <c r="A92" s="19" t="str">
        <f aca="false">"PKT-"&amp;B92&amp;"-CONFIGURATION"</f>
        <v>PKT-MTH-ET-REC-L1-CONFIGURATION</v>
      </c>
      <c r="B92" s="19" t="str">
        <f aca="false">'Object Crosswalk'!A24</f>
        <v>MTH-ET-REC-L1</v>
      </c>
      <c r="C92" s="19" t="str">
        <f aca="false">'Object Crosswalk'!B24</f>
        <v>Method lineage</v>
      </c>
      <c r="D92" s="19" t="str">
        <f aca="false">'Object Crosswalk'!D24</f>
        <v>MS-ET</v>
      </c>
      <c r="E92" s="19" t="str">
        <f aca="false">'Object Crosswalk'!E24</f>
        <v>ET-A</v>
      </c>
      <c r="F92" s="19" t="str">
        <f aca="false">'Object Crosswalk'!F24</f>
        <v>RECONSTRUCTION</v>
      </c>
      <c r="G92" s="9" t="s">
        <v>728</v>
      </c>
      <c r="H92" s="11" t="s">
        <v>58</v>
      </c>
      <c r="I92" s="32" t="n">
        <f aca="false">0</f>
        <v>0</v>
      </c>
      <c r="J92" s="11" t="s">
        <v>576</v>
      </c>
      <c r="K92" s="32" t="str">
        <f aca="false">IF(I92=1,"ACCEPTED","OPEN")</f>
        <v>OPEN</v>
      </c>
    </row>
    <row r="93" customFormat="false" ht="15" hidden="false" customHeight="false" outlineLevel="0" collapsed="false">
      <c r="A93" s="19" t="str">
        <f aca="false">"PKT-"&amp;B93&amp;"-CONTROL"</f>
        <v>PKT-MTH-ET-REC-L1-CONTROL</v>
      </c>
      <c r="B93" s="19" t="str">
        <f aca="false">'Object Crosswalk'!A24</f>
        <v>MTH-ET-REC-L1</v>
      </c>
      <c r="C93" s="19" t="str">
        <f aca="false">'Object Crosswalk'!B24</f>
        <v>Method lineage</v>
      </c>
      <c r="D93" s="19" t="str">
        <f aca="false">'Object Crosswalk'!D24</f>
        <v>MS-ET</v>
      </c>
      <c r="E93" s="19" t="str">
        <f aca="false">'Object Crosswalk'!E24</f>
        <v>ET-A</v>
      </c>
      <c r="F93" s="19" t="str">
        <f aca="false">'Object Crosswalk'!F24</f>
        <v>RECONSTRUCTION</v>
      </c>
      <c r="G93" s="9" t="s">
        <v>333</v>
      </c>
      <c r="H93" s="11" t="s">
        <v>58</v>
      </c>
      <c r="I93" s="32" t="n">
        <f aca="false">0</f>
        <v>0</v>
      </c>
      <c r="J93" s="11" t="s">
        <v>576</v>
      </c>
      <c r="K93" s="32" t="str">
        <f aca="false">IF(I93=1,"ACCEPTED","OPEN")</f>
        <v>OPEN</v>
      </c>
    </row>
    <row r="94" customFormat="false" ht="15" hidden="false" customHeight="false" outlineLevel="0" collapsed="false">
      <c r="A94" s="19" t="str">
        <f aca="false">"PKT-"&amp;B94&amp;"-METROLOGY"</f>
        <v>PKT-MTH-ET-REC-L1-METROLOGY</v>
      </c>
      <c r="B94" s="19" t="str">
        <f aca="false">'Object Crosswalk'!A24</f>
        <v>MTH-ET-REC-L1</v>
      </c>
      <c r="C94" s="19" t="str">
        <f aca="false">'Object Crosswalk'!B24</f>
        <v>Method lineage</v>
      </c>
      <c r="D94" s="19" t="str">
        <f aca="false">'Object Crosswalk'!D24</f>
        <v>MS-ET</v>
      </c>
      <c r="E94" s="19" t="str">
        <f aca="false">'Object Crosswalk'!E24</f>
        <v>ET-A</v>
      </c>
      <c r="F94" s="19" t="str">
        <f aca="false">'Object Crosswalk'!F24</f>
        <v>RECONSTRUCTION</v>
      </c>
      <c r="G94" s="9" t="s">
        <v>729</v>
      </c>
      <c r="H94" s="11" t="s">
        <v>58</v>
      </c>
      <c r="I94" s="32" t="n">
        <f aca="false">0</f>
        <v>0</v>
      </c>
      <c r="J94" s="11" t="s">
        <v>576</v>
      </c>
      <c r="K94" s="32" t="str">
        <f aca="false">IF(I94=1,"ACCEPTED","OPEN")</f>
        <v>OPEN</v>
      </c>
    </row>
    <row r="95" customFormat="false" ht="15" hidden="false" customHeight="false" outlineLevel="0" collapsed="false">
      <c r="A95" s="19" t="str">
        <f aca="false">"PKT-"&amp;B95&amp;"-SAFETY"</f>
        <v>PKT-MTH-ET-REC-L1-SAFETY</v>
      </c>
      <c r="B95" s="19" t="str">
        <f aca="false">'Object Crosswalk'!A24</f>
        <v>MTH-ET-REC-L1</v>
      </c>
      <c r="C95" s="19" t="str">
        <f aca="false">'Object Crosswalk'!B24</f>
        <v>Method lineage</v>
      </c>
      <c r="D95" s="19" t="str">
        <f aca="false">'Object Crosswalk'!D24</f>
        <v>MS-ET</v>
      </c>
      <c r="E95" s="19" t="str">
        <f aca="false">'Object Crosswalk'!E24</f>
        <v>ET-A</v>
      </c>
      <c r="F95" s="19" t="str">
        <f aca="false">'Object Crosswalk'!F24</f>
        <v>RECONSTRUCTION</v>
      </c>
      <c r="G95" s="9" t="s">
        <v>730</v>
      </c>
      <c r="H95" s="11" t="s">
        <v>58</v>
      </c>
      <c r="I95" s="32" t="n">
        <f aca="false">0</f>
        <v>0</v>
      </c>
      <c r="J95" s="11" t="s">
        <v>576</v>
      </c>
      <c r="K95" s="32" t="str">
        <f aca="false">IF(I95=1,"ACCEPTED","OPEN")</f>
        <v>OPEN</v>
      </c>
    </row>
    <row r="96" customFormat="false" ht="15" hidden="false" customHeight="false" outlineLevel="0" collapsed="false">
      <c r="A96" s="19" t="str">
        <f aca="false">"PKT-"&amp;B96&amp;"-RECONSTRUCTION"</f>
        <v>PKT-MTH-ET-REC-L1-RECONSTRUCTION</v>
      </c>
      <c r="B96" s="19" t="str">
        <f aca="false">'Object Crosswalk'!A24</f>
        <v>MTH-ET-REC-L1</v>
      </c>
      <c r="C96" s="19" t="str">
        <f aca="false">'Object Crosswalk'!B24</f>
        <v>Method lineage</v>
      </c>
      <c r="D96" s="19" t="str">
        <f aca="false">'Object Crosswalk'!D24</f>
        <v>MS-ET</v>
      </c>
      <c r="E96" s="19" t="str">
        <f aca="false">'Object Crosswalk'!E24</f>
        <v>ET-A</v>
      </c>
      <c r="F96" s="19" t="str">
        <f aca="false">'Object Crosswalk'!F24</f>
        <v>RECONSTRUCTION</v>
      </c>
      <c r="G96" s="9" t="s">
        <v>341</v>
      </c>
      <c r="H96" s="11" t="s">
        <v>58</v>
      </c>
      <c r="I96" s="32" t="n">
        <f aca="false">0</f>
        <v>0</v>
      </c>
      <c r="J96" s="11" t="s">
        <v>576</v>
      </c>
      <c r="K96" s="32" t="str">
        <f aca="false">IF(I96=1,"ACCEPTED","OPEN")</f>
        <v>OPEN</v>
      </c>
    </row>
    <row r="97" customFormat="false" ht="15" hidden="false" customHeight="false" outlineLevel="0" collapsed="false">
      <c r="A97" s="19" t="str">
        <f aca="false">"PKT-"&amp;B97&amp;"-CONFIGURATION"</f>
        <v>PKT-MTH-ET-REC-L2-CONFIGURATION</v>
      </c>
      <c r="B97" s="19" t="str">
        <f aca="false">'Object Crosswalk'!A25</f>
        <v>MTH-ET-REC-L2</v>
      </c>
      <c r="C97" s="19" t="str">
        <f aca="false">'Object Crosswalk'!B25</f>
        <v>Method lineage</v>
      </c>
      <c r="D97" s="19" t="str">
        <f aca="false">'Object Crosswalk'!D25</f>
        <v>MS-ET</v>
      </c>
      <c r="E97" s="19" t="str">
        <f aca="false">'Object Crosswalk'!E25</f>
        <v>ET-A</v>
      </c>
      <c r="F97" s="19" t="str">
        <f aca="false">'Object Crosswalk'!F25</f>
        <v>RECONSTRUCTION</v>
      </c>
      <c r="G97" s="9" t="s">
        <v>728</v>
      </c>
      <c r="H97" s="11" t="s">
        <v>58</v>
      </c>
      <c r="I97" s="32" t="n">
        <f aca="false">0</f>
        <v>0</v>
      </c>
      <c r="J97" s="11" t="s">
        <v>576</v>
      </c>
      <c r="K97" s="32" t="str">
        <f aca="false">IF(I97=1,"ACCEPTED","OPEN")</f>
        <v>OPEN</v>
      </c>
    </row>
    <row r="98" customFormat="false" ht="15" hidden="false" customHeight="false" outlineLevel="0" collapsed="false">
      <c r="A98" s="19" t="str">
        <f aca="false">"PKT-"&amp;B98&amp;"-CONTROL"</f>
        <v>PKT-MTH-ET-REC-L2-CONTROL</v>
      </c>
      <c r="B98" s="19" t="str">
        <f aca="false">'Object Crosswalk'!A25</f>
        <v>MTH-ET-REC-L2</v>
      </c>
      <c r="C98" s="19" t="str">
        <f aca="false">'Object Crosswalk'!B25</f>
        <v>Method lineage</v>
      </c>
      <c r="D98" s="19" t="str">
        <f aca="false">'Object Crosswalk'!D25</f>
        <v>MS-ET</v>
      </c>
      <c r="E98" s="19" t="str">
        <f aca="false">'Object Crosswalk'!E25</f>
        <v>ET-A</v>
      </c>
      <c r="F98" s="19" t="str">
        <f aca="false">'Object Crosswalk'!F25</f>
        <v>RECONSTRUCTION</v>
      </c>
      <c r="G98" s="9" t="s">
        <v>333</v>
      </c>
      <c r="H98" s="11" t="s">
        <v>58</v>
      </c>
      <c r="I98" s="32" t="n">
        <f aca="false">0</f>
        <v>0</v>
      </c>
      <c r="J98" s="11" t="s">
        <v>576</v>
      </c>
      <c r="K98" s="32" t="str">
        <f aca="false">IF(I98=1,"ACCEPTED","OPEN")</f>
        <v>OPEN</v>
      </c>
    </row>
    <row r="99" customFormat="false" ht="15" hidden="false" customHeight="false" outlineLevel="0" collapsed="false">
      <c r="A99" s="19" t="str">
        <f aca="false">"PKT-"&amp;B99&amp;"-METROLOGY"</f>
        <v>PKT-MTH-ET-REC-L2-METROLOGY</v>
      </c>
      <c r="B99" s="19" t="str">
        <f aca="false">'Object Crosswalk'!A25</f>
        <v>MTH-ET-REC-L2</v>
      </c>
      <c r="C99" s="19" t="str">
        <f aca="false">'Object Crosswalk'!B25</f>
        <v>Method lineage</v>
      </c>
      <c r="D99" s="19" t="str">
        <f aca="false">'Object Crosswalk'!D25</f>
        <v>MS-ET</v>
      </c>
      <c r="E99" s="19" t="str">
        <f aca="false">'Object Crosswalk'!E25</f>
        <v>ET-A</v>
      </c>
      <c r="F99" s="19" t="str">
        <f aca="false">'Object Crosswalk'!F25</f>
        <v>RECONSTRUCTION</v>
      </c>
      <c r="G99" s="9" t="s">
        <v>729</v>
      </c>
      <c r="H99" s="11" t="s">
        <v>58</v>
      </c>
      <c r="I99" s="32" t="n">
        <f aca="false">0</f>
        <v>0</v>
      </c>
      <c r="J99" s="11" t="s">
        <v>576</v>
      </c>
      <c r="K99" s="32" t="str">
        <f aca="false">IF(I99=1,"ACCEPTED","OPEN")</f>
        <v>OPEN</v>
      </c>
    </row>
    <row r="100" customFormat="false" ht="15" hidden="false" customHeight="false" outlineLevel="0" collapsed="false">
      <c r="A100" s="19" t="str">
        <f aca="false">"PKT-"&amp;B100&amp;"-SAFETY"</f>
        <v>PKT-MTH-ET-REC-L2-SAFETY</v>
      </c>
      <c r="B100" s="19" t="str">
        <f aca="false">'Object Crosswalk'!A25</f>
        <v>MTH-ET-REC-L2</v>
      </c>
      <c r="C100" s="19" t="str">
        <f aca="false">'Object Crosswalk'!B25</f>
        <v>Method lineage</v>
      </c>
      <c r="D100" s="19" t="str">
        <f aca="false">'Object Crosswalk'!D25</f>
        <v>MS-ET</v>
      </c>
      <c r="E100" s="19" t="str">
        <f aca="false">'Object Crosswalk'!E25</f>
        <v>ET-A</v>
      </c>
      <c r="F100" s="19" t="str">
        <f aca="false">'Object Crosswalk'!F25</f>
        <v>RECONSTRUCTION</v>
      </c>
      <c r="G100" s="9" t="s">
        <v>730</v>
      </c>
      <c r="H100" s="11" t="s">
        <v>58</v>
      </c>
      <c r="I100" s="32" t="n">
        <f aca="false">0</f>
        <v>0</v>
      </c>
      <c r="J100" s="11" t="s">
        <v>576</v>
      </c>
      <c r="K100" s="32" t="str">
        <f aca="false">IF(I100=1,"ACCEPTED","OPEN")</f>
        <v>OPEN</v>
      </c>
    </row>
    <row r="101" customFormat="false" ht="15" hidden="false" customHeight="false" outlineLevel="0" collapsed="false">
      <c r="A101" s="19" t="str">
        <f aca="false">"PKT-"&amp;B101&amp;"-RECONSTRUCTION"</f>
        <v>PKT-MTH-ET-REC-L2-RECONSTRUCTION</v>
      </c>
      <c r="B101" s="19" t="str">
        <f aca="false">'Object Crosswalk'!A25</f>
        <v>MTH-ET-REC-L2</v>
      </c>
      <c r="C101" s="19" t="str">
        <f aca="false">'Object Crosswalk'!B25</f>
        <v>Method lineage</v>
      </c>
      <c r="D101" s="19" t="str">
        <f aca="false">'Object Crosswalk'!D25</f>
        <v>MS-ET</v>
      </c>
      <c r="E101" s="19" t="str">
        <f aca="false">'Object Crosswalk'!E25</f>
        <v>ET-A</v>
      </c>
      <c r="F101" s="19" t="str">
        <f aca="false">'Object Crosswalk'!F25</f>
        <v>RECONSTRUCTION</v>
      </c>
      <c r="G101" s="9" t="s">
        <v>341</v>
      </c>
      <c r="H101" s="11" t="s">
        <v>58</v>
      </c>
      <c r="I101" s="32" t="n">
        <f aca="false">0</f>
        <v>0</v>
      </c>
      <c r="J101" s="11" t="s">
        <v>576</v>
      </c>
      <c r="K101" s="32" t="str">
        <f aca="false">IF(I101=1,"ACCEPTED","OPEN")</f>
        <v>OPEN</v>
      </c>
    </row>
    <row r="102" customFormat="false" ht="15" hidden="false" customHeight="false" outlineLevel="0" collapsed="false">
      <c r="A102" s="19" t="str">
        <f aca="false">"PKT-"&amp;B102&amp;"-CONFIGURATION"</f>
        <v>PKT-REG-ET-REC-CONFIGURATION</v>
      </c>
      <c r="B102" s="19" t="str">
        <f aca="false">'Object Crosswalk'!A26</f>
        <v>REG-ET-REC</v>
      </c>
      <c r="C102" s="19" t="str">
        <f aca="false">'Object Crosswalk'!B26</f>
        <v>Regeneration tool</v>
      </c>
      <c r="D102" s="19" t="str">
        <f aca="false">'Object Crosswalk'!D26</f>
        <v>MS-ET</v>
      </c>
      <c r="E102" s="19" t="str">
        <f aca="false">'Object Crosswalk'!E26</f>
        <v>ET-A</v>
      </c>
      <c r="F102" s="19" t="str">
        <f aca="false">'Object Crosswalk'!F26</f>
        <v>RECONSTRUCTION</v>
      </c>
      <c r="G102" s="9" t="s">
        <v>728</v>
      </c>
      <c r="H102" s="11" t="s">
        <v>58</v>
      </c>
      <c r="I102" s="32" t="n">
        <f aca="false">0</f>
        <v>0</v>
      </c>
      <c r="J102" s="11" t="s">
        <v>576</v>
      </c>
      <c r="K102" s="32" t="str">
        <f aca="false">IF(I102=1,"ACCEPTED","OPEN")</f>
        <v>OPEN</v>
      </c>
    </row>
    <row r="103" customFormat="false" ht="15" hidden="false" customHeight="false" outlineLevel="0" collapsed="false">
      <c r="A103" s="19" t="str">
        <f aca="false">"PKT-"&amp;B103&amp;"-CONTROL"</f>
        <v>PKT-REG-ET-REC-CONTROL</v>
      </c>
      <c r="B103" s="19" t="str">
        <f aca="false">'Object Crosswalk'!A26</f>
        <v>REG-ET-REC</v>
      </c>
      <c r="C103" s="19" t="str">
        <f aca="false">'Object Crosswalk'!B26</f>
        <v>Regeneration tool</v>
      </c>
      <c r="D103" s="19" t="str">
        <f aca="false">'Object Crosswalk'!D26</f>
        <v>MS-ET</v>
      </c>
      <c r="E103" s="19" t="str">
        <f aca="false">'Object Crosswalk'!E26</f>
        <v>ET-A</v>
      </c>
      <c r="F103" s="19" t="str">
        <f aca="false">'Object Crosswalk'!F26</f>
        <v>RECONSTRUCTION</v>
      </c>
      <c r="G103" s="9" t="s">
        <v>333</v>
      </c>
      <c r="H103" s="11" t="s">
        <v>58</v>
      </c>
      <c r="I103" s="32" t="n">
        <f aca="false">0</f>
        <v>0</v>
      </c>
      <c r="J103" s="11" t="s">
        <v>576</v>
      </c>
      <c r="K103" s="32" t="str">
        <f aca="false">IF(I103=1,"ACCEPTED","OPEN")</f>
        <v>OPEN</v>
      </c>
    </row>
    <row r="104" customFormat="false" ht="15" hidden="false" customHeight="false" outlineLevel="0" collapsed="false">
      <c r="A104" s="19" t="str">
        <f aca="false">"PKT-"&amp;B104&amp;"-METROLOGY"</f>
        <v>PKT-REG-ET-REC-METROLOGY</v>
      </c>
      <c r="B104" s="19" t="str">
        <f aca="false">'Object Crosswalk'!A26</f>
        <v>REG-ET-REC</v>
      </c>
      <c r="C104" s="19" t="str">
        <f aca="false">'Object Crosswalk'!B26</f>
        <v>Regeneration tool</v>
      </c>
      <c r="D104" s="19" t="str">
        <f aca="false">'Object Crosswalk'!D26</f>
        <v>MS-ET</v>
      </c>
      <c r="E104" s="19" t="str">
        <f aca="false">'Object Crosswalk'!E26</f>
        <v>ET-A</v>
      </c>
      <c r="F104" s="19" t="str">
        <f aca="false">'Object Crosswalk'!F26</f>
        <v>RECONSTRUCTION</v>
      </c>
      <c r="G104" s="9" t="s">
        <v>729</v>
      </c>
      <c r="H104" s="11" t="s">
        <v>58</v>
      </c>
      <c r="I104" s="32" t="n">
        <f aca="false">0</f>
        <v>0</v>
      </c>
      <c r="J104" s="11" t="s">
        <v>576</v>
      </c>
      <c r="K104" s="32" t="str">
        <f aca="false">IF(I104=1,"ACCEPTED","OPEN")</f>
        <v>OPEN</v>
      </c>
    </row>
    <row r="105" customFormat="false" ht="15" hidden="false" customHeight="false" outlineLevel="0" collapsed="false">
      <c r="A105" s="19" t="str">
        <f aca="false">"PKT-"&amp;B105&amp;"-SAFETY"</f>
        <v>PKT-REG-ET-REC-SAFETY</v>
      </c>
      <c r="B105" s="19" t="str">
        <f aca="false">'Object Crosswalk'!A26</f>
        <v>REG-ET-REC</v>
      </c>
      <c r="C105" s="19" t="str">
        <f aca="false">'Object Crosswalk'!B26</f>
        <v>Regeneration tool</v>
      </c>
      <c r="D105" s="19" t="str">
        <f aca="false">'Object Crosswalk'!D26</f>
        <v>MS-ET</v>
      </c>
      <c r="E105" s="19" t="str">
        <f aca="false">'Object Crosswalk'!E26</f>
        <v>ET-A</v>
      </c>
      <c r="F105" s="19" t="str">
        <f aca="false">'Object Crosswalk'!F26</f>
        <v>RECONSTRUCTION</v>
      </c>
      <c r="G105" s="9" t="s">
        <v>730</v>
      </c>
      <c r="H105" s="11" t="s">
        <v>58</v>
      </c>
      <c r="I105" s="32" t="n">
        <f aca="false">0</f>
        <v>0</v>
      </c>
      <c r="J105" s="11" t="s">
        <v>576</v>
      </c>
      <c r="K105" s="32" t="str">
        <f aca="false">IF(I105=1,"ACCEPTED","OPEN")</f>
        <v>OPEN</v>
      </c>
    </row>
    <row r="106" customFormat="false" ht="15" hidden="false" customHeight="false" outlineLevel="0" collapsed="false">
      <c r="A106" s="19" t="str">
        <f aca="false">"PKT-"&amp;B106&amp;"-RECONSTRUCTION"</f>
        <v>PKT-REG-ET-REC-RECONSTRUCTION</v>
      </c>
      <c r="B106" s="19" t="str">
        <f aca="false">'Object Crosswalk'!A26</f>
        <v>REG-ET-REC</v>
      </c>
      <c r="C106" s="19" t="str">
        <f aca="false">'Object Crosswalk'!B26</f>
        <v>Regeneration tool</v>
      </c>
      <c r="D106" s="19" t="str">
        <f aca="false">'Object Crosswalk'!D26</f>
        <v>MS-ET</v>
      </c>
      <c r="E106" s="19" t="str">
        <f aca="false">'Object Crosswalk'!E26</f>
        <v>ET-A</v>
      </c>
      <c r="F106" s="19" t="str">
        <f aca="false">'Object Crosswalk'!F26</f>
        <v>RECONSTRUCTION</v>
      </c>
      <c r="G106" s="9" t="s">
        <v>341</v>
      </c>
      <c r="H106" s="11" t="s">
        <v>58</v>
      </c>
      <c r="I106" s="32" t="n">
        <f aca="false">0</f>
        <v>0</v>
      </c>
      <c r="J106" s="11" t="s">
        <v>576</v>
      </c>
      <c r="K106" s="32" t="str">
        <f aca="false">IF(I106=1,"ACCEPTED","OPEN")</f>
        <v>OPEN</v>
      </c>
    </row>
    <row r="107" customFormat="false" ht="15" hidden="false" customHeight="false" outlineLevel="0" collapsed="false">
      <c r="A107" s="19" t="str">
        <f aca="false">"PKT-"&amp;B107&amp;"-CONFIGURATION"</f>
        <v>PKT-INT-ET-REC-CONFIGURATION</v>
      </c>
      <c r="B107" s="19" t="str">
        <f aca="false">'Object Crosswalk'!A27</f>
        <v>INT-ET-REC</v>
      </c>
      <c r="C107" s="19" t="str">
        <f aca="false">'Object Crosswalk'!B27</f>
        <v>Station integration</v>
      </c>
      <c r="D107" s="19" t="str">
        <f aca="false">'Object Crosswalk'!D27</f>
        <v>MS-ET</v>
      </c>
      <c r="E107" s="19" t="str">
        <f aca="false">'Object Crosswalk'!E27</f>
        <v>ET-A</v>
      </c>
      <c r="F107" s="19" t="str">
        <f aca="false">'Object Crosswalk'!F27</f>
        <v>RECONSTRUCTION</v>
      </c>
      <c r="G107" s="9" t="s">
        <v>728</v>
      </c>
      <c r="H107" s="11" t="s">
        <v>58</v>
      </c>
      <c r="I107" s="32" t="n">
        <f aca="false">0</f>
        <v>0</v>
      </c>
      <c r="J107" s="11" t="s">
        <v>576</v>
      </c>
      <c r="K107" s="32" t="str">
        <f aca="false">IF(I107=1,"ACCEPTED","OPEN")</f>
        <v>OPEN</v>
      </c>
    </row>
    <row r="108" customFormat="false" ht="15" hidden="false" customHeight="false" outlineLevel="0" collapsed="false">
      <c r="A108" s="19" t="str">
        <f aca="false">"PKT-"&amp;B108&amp;"-CONTROL"</f>
        <v>PKT-INT-ET-REC-CONTROL</v>
      </c>
      <c r="B108" s="19" t="str">
        <f aca="false">'Object Crosswalk'!A27</f>
        <v>INT-ET-REC</v>
      </c>
      <c r="C108" s="19" t="str">
        <f aca="false">'Object Crosswalk'!B27</f>
        <v>Station integration</v>
      </c>
      <c r="D108" s="19" t="str">
        <f aca="false">'Object Crosswalk'!D27</f>
        <v>MS-ET</v>
      </c>
      <c r="E108" s="19" t="str">
        <f aca="false">'Object Crosswalk'!E27</f>
        <v>ET-A</v>
      </c>
      <c r="F108" s="19" t="str">
        <f aca="false">'Object Crosswalk'!F27</f>
        <v>RECONSTRUCTION</v>
      </c>
      <c r="G108" s="9" t="s">
        <v>333</v>
      </c>
      <c r="H108" s="11" t="s">
        <v>58</v>
      </c>
      <c r="I108" s="32" t="n">
        <f aca="false">0</f>
        <v>0</v>
      </c>
      <c r="J108" s="11" t="s">
        <v>576</v>
      </c>
      <c r="K108" s="32" t="str">
        <f aca="false">IF(I108=1,"ACCEPTED","OPEN")</f>
        <v>OPEN</v>
      </c>
    </row>
    <row r="109" customFormat="false" ht="15" hidden="false" customHeight="false" outlineLevel="0" collapsed="false">
      <c r="A109" s="19" t="str">
        <f aca="false">"PKT-"&amp;B109&amp;"-METROLOGY"</f>
        <v>PKT-INT-ET-REC-METROLOGY</v>
      </c>
      <c r="B109" s="19" t="str">
        <f aca="false">'Object Crosswalk'!A27</f>
        <v>INT-ET-REC</v>
      </c>
      <c r="C109" s="19" t="str">
        <f aca="false">'Object Crosswalk'!B27</f>
        <v>Station integration</v>
      </c>
      <c r="D109" s="19" t="str">
        <f aca="false">'Object Crosswalk'!D27</f>
        <v>MS-ET</v>
      </c>
      <c r="E109" s="19" t="str">
        <f aca="false">'Object Crosswalk'!E27</f>
        <v>ET-A</v>
      </c>
      <c r="F109" s="19" t="str">
        <f aca="false">'Object Crosswalk'!F27</f>
        <v>RECONSTRUCTION</v>
      </c>
      <c r="G109" s="9" t="s">
        <v>729</v>
      </c>
      <c r="H109" s="11" t="s">
        <v>58</v>
      </c>
      <c r="I109" s="32" t="n">
        <f aca="false">0</f>
        <v>0</v>
      </c>
      <c r="J109" s="11" t="s">
        <v>576</v>
      </c>
      <c r="K109" s="32" t="str">
        <f aca="false">IF(I109=1,"ACCEPTED","OPEN")</f>
        <v>OPEN</v>
      </c>
    </row>
    <row r="110" customFormat="false" ht="15" hidden="false" customHeight="false" outlineLevel="0" collapsed="false">
      <c r="A110" s="19" t="str">
        <f aca="false">"PKT-"&amp;B110&amp;"-SAFETY"</f>
        <v>PKT-INT-ET-REC-SAFETY</v>
      </c>
      <c r="B110" s="19" t="str">
        <f aca="false">'Object Crosswalk'!A27</f>
        <v>INT-ET-REC</v>
      </c>
      <c r="C110" s="19" t="str">
        <f aca="false">'Object Crosswalk'!B27</f>
        <v>Station integration</v>
      </c>
      <c r="D110" s="19" t="str">
        <f aca="false">'Object Crosswalk'!D27</f>
        <v>MS-ET</v>
      </c>
      <c r="E110" s="19" t="str">
        <f aca="false">'Object Crosswalk'!E27</f>
        <v>ET-A</v>
      </c>
      <c r="F110" s="19" t="str">
        <f aca="false">'Object Crosswalk'!F27</f>
        <v>RECONSTRUCTION</v>
      </c>
      <c r="G110" s="9" t="s">
        <v>730</v>
      </c>
      <c r="H110" s="11" t="s">
        <v>58</v>
      </c>
      <c r="I110" s="32" t="n">
        <f aca="false">0</f>
        <v>0</v>
      </c>
      <c r="J110" s="11" t="s">
        <v>576</v>
      </c>
      <c r="K110" s="32" t="str">
        <f aca="false">IF(I110=1,"ACCEPTED","OPEN")</f>
        <v>OPEN</v>
      </c>
    </row>
    <row r="111" customFormat="false" ht="15" hidden="false" customHeight="false" outlineLevel="0" collapsed="false">
      <c r="A111" s="19" t="str">
        <f aca="false">"PKT-"&amp;B111&amp;"-RECONSTRUCTION"</f>
        <v>PKT-INT-ET-REC-RECONSTRUCTION</v>
      </c>
      <c r="B111" s="19" t="str">
        <f aca="false">'Object Crosswalk'!A27</f>
        <v>INT-ET-REC</v>
      </c>
      <c r="C111" s="19" t="str">
        <f aca="false">'Object Crosswalk'!B27</f>
        <v>Station integration</v>
      </c>
      <c r="D111" s="19" t="str">
        <f aca="false">'Object Crosswalk'!D27</f>
        <v>MS-ET</v>
      </c>
      <c r="E111" s="19" t="str">
        <f aca="false">'Object Crosswalk'!E27</f>
        <v>ET-A</v>
      </c>
      <c r="F111" s="19" t="str">
        <f aca="false">'Object Crosswalk'!F27</f>
        <v>RECONSTRUCTION</v>
      </c>
      <c r="G111" s="9" t="s">
        <v>341</v>
      </c>
      <c r="H111" s="11" t="s">
        <v>58</v>
      </c>
      <c r="I111" s="32" t="n">
        <f aca="false">0</f>
        <v>0</v>
      </c>
      <c r="J111" s="11" t="s">
        <v>576</v>
      </c>
      <c r="K111" s="32" t="str">
        <f aca="false">IF(I111=1,"ACCEPTED","OPEN")</f>
        <v>OPEN</v>
      </c>
    </row>
    <row r="112" customFormat="false" ht="15" hidden="false" customHeight="false" outlineLevel="0" collapsed="false">
      <c r="A112" s="19" t="str">
        <f aca="false">"PKT-"&amp;B112&amp;"-CONFIGURATION"</f>
        <v>PKT-RIG-CT-CHA-CONFIGURATION</v>
      </c>
      <c r="B112" s="19" t="str">
        <f aca="false">'Object Crosswalk'!A28</f>
        <v>RIG-CT-CHA</v>
      </c>
      <c r="C112" s="19" t="str">
        <f aca="false">'Object Crosswalk'!B28</f>
        <v>Root-native rig</v>
      </c>
      <c r="D112" s="19" t="str">
        <f aca="false">'Object Crosswalk'!D28</f>
        <v>MS-CT</v>
      </c>
      <c r="E112" s="19" t="str">
        <f aca="false">'Object Crosswalk'!E28</f>
        <v>CT-C</v>
      </c>
      <c r="F112" s="19" t="str">
        <f aca="false">'Object Crosswalk'!F28</f>
        <v>CHALLENGE</v>
      </c>
      <c r="G112" s="9" t="s">
        <v>728</v>
      </c>
      <c r="H112" s="11" t="s">
        <v>58</v>
      </c>
      <c r="I112" s="32" t="n">
        <f aca="false">0</f>
        <v>0</v>
      </c>
      <c r="J112" s="11" t="s">
        <v>576</v>
      </c>
      <c r="K112" s="32" t="str">
        <f aca="false">IF(I112=1,"ACCEPTED","OPEN")</f>
        <v>OPEN</v>
      </c>
    </row>
    <row r="113" customFormat="false" ht="15" hidden="false" customHeight="false" outlineLevel="0" collapsed="false">
      <c r="A113" s="19" t="str">
        <f aca="false">"PKT-"&amp;B113&amp;"-CONTROL"</f>
        <v>PKT-RIG-CT-CHA-CONTROL</v>
      </c>
      <c r="B113" s="19" t="str">
        <f aca="false">'Object Crosswalk'!A28</f>
        <v>RIG-CT-CHA</v>
      </c>
      <c r="C113" s="19" t="str">
        <f aca="false">'Object Crosswalk'!B28</f>
        <v>Root-native rig</v>
      </c>
      <c r="D113" s="19" t="str">
        <f aca="false">'Object Crosswalk'!D28</f>
        <v>MS-CT</v>
      </c>
      <c r="E113" s="19" t="str">
        <f aca="false">'Object Crosswalk'!E28</f>
        <v>CT-C</v>
      </c>
      <c r="F113" s="19" t="str">
        <f aca="false">'Object Crosswalk'!F28</f>
        <v>CHALLENGE</v>
      </c>
      <c r="G113" s="9" t="s">
        <v>333</v>
      </c>
      <c r="H113" s="11" t="s">
        <v>58</v>
      </c>
      <c r="I113" s="32" t="n">
        <f aca="false">0</f>
        <v>0</v>
      </c>
      <c r="J113" s="11" t="s">
        <v>576</v>
      </c>
      <c r="K113" s="32" t="str">
        <f aca="false">IF(I113=1,"ACCEPTED","OPEN")</f>
        <v>OPEN</v>
      </c>
    </row>
    <row r="114" customFormat="false" ht="15" hidden="false" customHeight="false" outlineLevel="0" collapsed="false">
      <c r="A114" s="19" t="str">
        <f aca="false">"PKT-"&amp;B114&amp;"-METROLOGY"</f>
        <v>PKT-RIG-CT-CHA-METROLOGY</v>
      </c>
      <c r="B114" s="19" t="str">
        <f aca="false">'Object Crosswalk'!A28</f>
        <v>RIG-CT-CHA</v>
      </c>
      <c r="C114" s="19" t="str">
        <f aca="false">'Object Crosswalk'!B28</f>
        <v>Root-native rig</v>
      </c>
      <c r="D114" s="19" t="str">
        <f aca="false">'Object Crosswalk'!D28</f>
        <v>MS-CT</v>
      </c>
      <c r="E114" s="19" t="str">
        <f aca="false">'Object Crosswalk'!E28</f>
        <v>CT-C</v>
      </c>
      <c r="F114" s="19" t="str">
        <f aca="false">'Object Crosswalk'!F28</f>
        <v>CHALLENGE</v>
      </c>
      <c r="G114" s="9" t="s">
        <v>729</v>
      </c>
      <c r="H114" s="11" t="s">
        <v>58</v>
      </c>
      <c r="I114" s="32" t="n">
        <f aca="false">0</f>
        <v>0</v>
      </c>
      <c r="J114" s="11" t="s">
        <v>576</v>
      </c>
      <c r="K114" s="32" t="str">
        <f aca="false">IF(I114=1,"ACCEPTED","OPEN")</f>
        <v>OPEN</v>
      </c>
    </row>
    <row r="115" customFormat="false" ht="15" hidden="false" customHeight="false" outlineLevel="0" collapsed="false">
      <c r="A115" s="19" t="str">
        <f aca="false">"PKT-"&amp;B115&amp;"-SAFETY"</f>
        <v>PKT-RIG-CT-CHA-SAFETY</v>
      </c>
      <c r="B115" s="19" t="str">
        <f aca="false">'Object Crosswalk'!A28</f>
        <v>RIG-CT-CHA</v>
      </c>
      <c r="C115" s="19" t="str">
        <f aca="false">'Object Crosswalk'!B28</f>
        <v>Root-native rig</v>
      </c>
      <c r="D115" s="19" t="str">
        <f aca="false">'Object Crosswalk'!D28</f>
        <v>MS-CT</v>
      </c>
      <c r="E115" s="19" t="str">
        <f aca="false">'Object Crosswalk'!E28</f>
        <v>CT-C</v>
      </c>
      <c r="F115" s="19" t="str">
        <f aca="false">'Object Crosswalk'!F28</f>
        <v>CHALLENGE</v>
      </c>
      <c r="G115" s="9" t="s">
        <v>730</v>
      </c>
      <c r="H115" s="11" t="s">
        <v>58</v>
      </c>
      <c r="I115" s="32" t="n">
        <f aca="false">0</f>
        <v>0</v>
      </c>
      <c r="J115" s="11" t="s">
        <v>576</v>
      </c>
      <c r="K115" s="32" t="str">
        <f aca="false">IF(I115=1,"ACCEPTED","OPEN")</f>
        <v>OPEN</v>
      </c>
    </row>
    <row r="116" customFormat="false" ht="15" hidden="false" customHeight="false" outlineLevel="0" collapsed="false">
      <c r="A116" s="19" t="str">
        <f aca="false">"PKT-"&amp;B116&amp;"-RECONSTRUCTION"</f>
        <v>PKT-RIG-CT-CHA-RECONSTRUCTION</v>
      </c>
      <c r="B116" s="19" t="str">
        <f aca="false">'Object Crosswalk'!A28</f>
        <v>RIG-CT-CHA</v>
      </c>
      <c r="C116" s="19" t="str">
        <f aca="false">'Object Crosswalk'!B28</f>
        <v>Root-native rig</v>
      </c>
      <c r="D116" s="19" t="str">
        <f aca="false">'Object Crosswalk'!D28</f>
        <v>MS-CT</v>
      </c>
      <c r="E116" s="19" t="str">
        <f aca="false">'Object Crosswalk'!E28</f>
        <v>CT-C</v>
      </c>
      <c r="F116" s="19" t="str">
        <f aca="false">'Object Crosswalk'!F28</f>
        <v>CHALLENGE</v>
      </c>
      <c r="G116" s="9" t="s">
        <v>341</v>
      </c>
      <c r="H116" s="11" t="s">
        <v>58</v>
      </c>
      <c r="I116" s="32" t="n">
        <f aca="false">0</f>
        <v>0</v>
      </c>
      <c r="J116" s="11" t="s">
        <v>576</v>
      </c>
      <c r="K116" s="32" t="str">
        <f aca="false">IF(I116=1,"ACCEPTED","OPEN")</f>
        <v>OPEN</v>
      </c>
    </row>
    <row r="117" customFormat="false" ht="15" hidden="false" customHeight="false" outlineLevel="0" collapsed="false">
      <c r="A117" s="19" t="str">
        <f aca="false">"PKT-"&amp;B117&amp;"-CONFIGURATION"</f>
        <v>PKT-MTH-CT-CHA-L1-CONFIGURATION</v>
      </c>
      <c r="B117" s="19" t="str">
        <f aca="false">'Object Crosswalk'!A29</f>
        <v>MTH-CT-CHA-L1</v>
      </c>
      <c r="C117" s="19" t="str">
        <f aca="false">'Object Crosswalk'!B29</f>
        <v>Method lineage</v>
      </c>
      <c r="D117" s="19" t="str">
        <f aca="false">'Object Crosswalk'!D29</f>
        <v>MS-CT</v>
      </c>
      <c r="E117" s="19" t="str">
        <f aca="false">'Object Crosswalk'!E29</f>
        <v>CT-C</v>
      </c>
      <c r="F117" s="19" t="str">
        <f aca="false">'Object Crosswalk'!F29</f>
        <v>CHALLENGE</v>
      </c>
      <c r="G117" s="9" t="s">
        <v>728</v>
      </c>
      <c r="H117" s="11" t="s">
        <v>58</v>
      </c>
      <c r="I117" s="32" t="n">
        <f aca="false">0</f>
        <v>0</v>
      </c>
      <c r="J117" s="11" t="s">
        <v>576</v>
      </c>
      <c r="K117" s="32" t="str">
        <f aca="false">IF(I117=1,"ACCEPTED","OPEN")</f>
        <v>OPEN</v>
      </c>
    </row>
    <row r="118" customFormat="false" ht="15" hidden="false" customHeight="false" outlineLevel="0" collapsed="false">
      <c r="A118" s="19" t="str">
        <f aca="false">"PKT-"&amp;B118&amp;"-CONTROL"</f>
        <v>PKT-MTH-CT-CHA-L1-CONTROL</v>
      </c>
      <c r="B118" s="19" t="str">
        <f aca="false">'Object Crosswalk'!A29</f>
        <v>MTH-CT-CHA-L1</v>
      </c>
      <c r="C118" s="19" t="str">
        <f aca="false">'Object Crosswalk'!B29</f>
        <v>Method lineage</v>
      </c>
      <c r="D118" s="19" t="str">
        <f aca="false">'Object Crosswalk'!D29</f>
        <v>MS-CT</v>
      </c>
      <c r="E118" s="19" t="str">
        <f aca="false">'Object Crosswalk'!E29</f>
        <v>CT-C</v>
      </c>
      <c r="F118" s="19" t="str">
        <f aca="false">'Object Crosswalk'!F29</f>
        <v>CHALLENGE</v>
      </c>
      <c r="G118" s="9" t="s">
        <v>333</v>
      </c>
      <c r="H118" s="11" t="s">
        <v>58</v>
      </c>
      <c r="I118" s="32" t="n">
        <f aca="false">0</f>
        <v>0</v>
      </c>
      <c r="J118" s="11" t="s">
        <v>576</v>
      </c>
      <c r="K118" s="32" t="str">
        <f aca="false">IF(I118=1,"ACCEPTED","OPEN")</f>
        <v>OPEN</v>
      </c>
    </row>
    <row r="119" customFormat="false" ht="15" hidden="false" customHeight="false" outlineLevel="0" collapsed="false">
      <c r="A119" s="19" t="str">
        <f aca="false">"PKT-"&amp;B119&amp;"-METROLOGY"</f>
        <v>PKT-MTH-CT-CHA-L1-METROLOGY</v>
      </c>
      <c r="B119" s="19" t="str">
        <f aca="false">'Object Crosswalk'!A29</f>
        <v>MTH-CT-CHA-L1</v>
      </c>
      <c r="C119" s="19" t="str">
        <f aca="false">'Object Crosswalk'!B29</f>
        <v>Method lineage</v>
      </c>
      <c r="D119" s="19" t="str">
        <f aca="false">'Object Crosswalk'!D29</f>
        <v>MS-CT</v>
      </c>
      <c r="E119" s="19" t="str">
        <f aca="false">'Object Crosswalk'!E29</f>
        <v>CT-C</v>
      </c>
      <c r="F119" s="19" t="str">
        <f aca="false">'Object Crosswalk'!F29</f>
        <v>CHALLENGE</v>
      </c>
      <c r="G119" s="9" t="s">
        <v>729</v>
      </c>
      <c r="H119" s="11" t="s">
        <v>58</v>
      </c>
      <c r="I119" s="32" t="n">
        <f aca="false">0</f>
        <v>0</v>
      </c>
      <c r="J119" s="11" t="s">
        <v>576</v>
      </c>
      <c r="K119" s="32" t="str">
        <f aca="false">IF(I119=1,"ACCEPTED","OPEN")</f>
        <v>OPEN</v>
      </c>
    </row>
    <row r="120" customFormat="false" ht="15" hidden="false" customHeight="false" outlineLevel="0" collapsed="false">
      <c r="A120" s="19" t="str">
        <f aca="false">"PKT-"&amp;B120&amp;"-SAFETY"</f>
        <v>PKT-MTH-CT-CHA-L1-SAFETY</v>
      </c>
      <c r="B120" s="19" t="str">
        <f aca="false">'Object Crosswalk'!A29</f>
        <v>MTH-CT-CHA-L1</v>
      </c>
      <c r="C120" s="19" t="str">
        <f aca="false">'Object Crosswalk'!B29</f>
        <v>Method lineage</v>
      </c>
      <c r="D120" s="19" t="str">
        <f aca="false">'Object Crosswalk'!D29</f>
        <v>MS-CT</v>
      </c>
      <c r="E120" s="19" t="str">
        <f aca="false">'Object Crosswalk'!E29</f>
        <v>CT-C</v>
      </c>
      <c r="F120" s="19" t="str">
        <f aca="false">'Object Crosswalk'!F29</f>
        <v>CHALLENGE</v>
      </c>
      <c r="G120" s="9" t="s">
        <v>730</v>
      </c>
      <c r="H120" s="11" t="s">
        <v>58</v>
      </c>
      <c r="I120" s="32" t="n">
        <f aca="false">0</f>
        <v>0</v>
      </c>
      <c r="J120" s="11" t="s">
        <v>576</v>
      </c>
      <c r="K120" s="32" t="str">
        <f aca="false">IF(I120=1,"ACCEPTED","OPEN")</f>
        <v>OPEN</v>
      </c>
    </row>
    <row r="121" customFormat="false" ht="15" hidden="false" customHeight="false" outlineLevel="0" collapsed="false">
      <c r="A121" s="19" t="str">
        <f aca="false">"PKT-"&amp;B121&amp;"-RECONSTRUCTION"</f>
        <v>PKT-MTH-CT-CHA-L1-RECONSTRUCTION</v>
      </c>
      <c r="B121" s="19" t="str">
        <f aca="false">'Object Crosswalk'!A29</f>
        <v>MTH-CT-CHA-L1</v>
      </c>
      <c r="C121" s="19" t="str">
        <f aca="false">'Object Crosswalk'!B29</f>
        <v>Method lineage</v>
      </c>
      <c r="D121" s="19" t="str">
        <f aca="false">'Object Crosswalk'!D29</f>
        <v>MS-CT</v>
      </c>
      <c r="E121" s="19" t="str">
        <f aca="false">'Object Crosswalk'!E29</f>
        <v>CT-C</v>
      </c>
      <c r="F121" s="19" t="str">
        <f aca="false">'Object Crosswalk'!F29</f>
        <v>CHALLENGE</v>
      </c>
      <c r="G121" s="9" t="s">
        <v>341</v>
      </c>
      <c r="H121" s="11" t="s">
        <v>58</v>
      </c>
      <c r="I121" s="32" t="n">
        <f aca="false">0</f>
        <v>0</v>
      </c>
      <c r="J121" s="11" t="s">
        <v>576</v>
      </c>
      <c r="K121" s="32" t="str">
        <f aca="false">IF(I121=1,"ACCEPTED","OPEN")</f>
        <v>OPEN</v>
      </c>
    </row>
    <row r="122" customFormat="false" ht="15" hidden="false" customHeight="false" outlineLevel="0" collapsed="false">
      <c r="A122" s="19" t="str">
        <f aca="false">"PKT-"&amp;B122&amp;"-CONFIGURATION"</f>
        <v>PKT-MTH-CT-CHA-L2-CONFIGURATION</v>
      </c>
      <c r="B122" s="19" t="str">
        <f aca="false">'Object Crosswalk'!A30</f>
        <v>MTH-CT-CHA-L2</v>
      </c>
      <c r="C122" s="19" t="str">
        <f aca="false">'Object Crosswalk'!B30</f>
        <v>Method lineage</v>
      </c>
      <c r="D122" s="19" t="str">
        <f aca="false">'Object Crosswalk'!D30</f>
        <v>MS-CT</v>
      </c>
      <c r="E122" s="19" t="str">
        <f aca="false">'Object Crosswalk'!E30</f>
        <v>CT-C</v>
      </c>
      <c r="F122" s="19" t="str">
        <f aca="false">'Object Crosswalk'!F30</f>
        <v>CHALLENGE</v>
      </c>
      <c r="G122" s="9" t="s">
        <v>728</v>
      </c>
      <c r="H122" s="11" t="s">
        <v>58</v>
      </c>
      <c r="I122" s="32" t="n">
        <f aca="false">0</f>
        <v>0</v>
      </c>
      <c r="J122" s="11" t="s">
        <v>576</v>
      </c>
      <c r="K122" s="32" t="str">
        <f aca="false">IF(I122=1,"ACCEPTED","OPEN")</f>
        <v>OPEN</v>
      </c>
    </row>
    <row r="123" customFormat="false" ht="15" hidden="false" customHeight="false" outlineLevel="0" collapsed="false">
      <c r="A123" s="19" t="str">
        <f aca="false">"PKT-"&amp;B123&amp;"-CONTROL"</f>
        <v>PKT-MTH-CT-CHA-L2-CONTROL</v>
      </c>
      <c r="B123" s="19" t="str">
        <f aca="false">'Object Crosswalk'!A30</f>
        <v>MTH-CT-CHA-L2</v>
      </c>
      <c r="C123" s="19" t="str">
        <f aca="false">'Object Crosswalk'!B30</f>
        <v>Method lineage</v>
      </c>
      <c r="D123" s="19" t="str">
        <f aca="false">'Object Crosswalk'!D30</f>
        <v>MS-CT</v>
      </c>
      <c r="E123" s="19" t="str">
        <f aca="false">'Object Crosswalk'!E30</f>
        <v>CT-C</v>
      </c>
      <c r="F123" s="19" t="str">
        <f aca="false">'Object Crosswalk'!F30</f>
        <v>CHALLENGE</v>
      </c>
      <c r="G123" s="9" t="s">
        <v>333</v>
      </c>
      <c r="H123" s="11" t="s">
        <v>58</v>
      </c>
      <c r="I123" s="32" t="n">
        <f aca="false">0</f>
        <v>0</v>
      </c>
      <c r="J123" s="11" t="s">
        <v>576</v>
      </c>
      <c r="K123" s="32" t="str">
        <f aca="false">IF(I123=1,"ACCEPTED","OPEN")</f>
        <v>OPEN</v>
      </c>
    </row>
    <row r="124" customFormat="false" ht="15" hidden="false" customHeight="false" outlineLevel="0" collapsed="false">
      <c r="A124" s="19" t="str">
        <f aca="false">"PKT-"&amp;B124&amp;"-METROLOGY"</f>
        <v>PKT-MTH-CT-CHA-L2-METROLOGY</v>
      </c>
      <c r="B124" s="19" t="str">
        <f aca="false">'Object Crosswalk'!A30</f>
        <v>MTH-CT-CHA-L2</v>
      </c>
      <c r="C124" s="19" t="str">
        <f aca="false">'Object Crosswalk'!B30</f>
        <v>Method lineage</v>
      </c>
      <c r="D124" s="19" t="str">
        <f aca="false">'Object Crosswalk'!D30</f>
        <v>MS-CT</v>
      </c>
      <c r="E124" s="19" t="str">
        <f aca="false">'Object Crosswalk'!E30</f>
        <v>CT-C</v>
      </c>
      <c r="F124" s="19" t="str">
        <f aca="false">'Object Crosswalk'!F30</f>
        <v>CHALLENGE</v>
      </c>
      <c r="G124" s="9" t="s">
        <v>729</v>
      </c>
      <c r="H124" s="11" t="s">
        <v>58</v>
      </c>
      <c r="I124" s="32" t="n">
        <f aca="false">0</f>
        <v>0</v>
      </c>
      <c r="J124" s="11" t="s">
        <v>576</v>
      </c>
      <c r="K124" s="32" t="str">
        <f aca="false">IF(I124=1,"ACCEPTED","OPEN")</f>
        <v>OPEN</v>
      </c>
    </row>
    <row r="125" customFormat="false" ht="15" hidden="false" customHeight="false" outlineLevel="0" collapsed="false">
      <c r="A125" s="19" t="str">
        <f aca="false">"PKT-"&amp;B125&amp;"-SAFETY"</f>
        <v>PKT-MTH-CT-CHA-L2-SAFETY</v>
      </c>
      <c r="B125" s="19" t="str">
        <f aca="false">'Object Crosswalk'!A30</f>
        <v>MTH-CT-CHA-L2</v>
      </c>
      <c r="C125" s="19" t="str">
        <f aca="false">'Object Crosswalk'!B30</f>
        <v>Method lineage</v>
      </c>
      <c r="D125" s="19" t="str">
        <f aca="false">'Object Crosswalk'!D30</f>
        <v>MS-CT</v>
      </c>
      <c r="E125" s="19" t="str">
        <f aca="false">'Object Crosswalk'!E30</f>
        <v>CT-C</v>
      </c>
      <c r="F125" s="19" t="str">
        <f aca="false">'Object Crosswalk'!F30</f>
        <v>CHALLENGE</v>
      </c>
      <c r="G125" s="9" t="s">
        <v>730</v>
      </c>
      <c r="H125" s="11" t="s">
        <v>58</v>
      </c>
      <c r="I125" s="32" t="n">
        <f aca="false">0</f>
        <v>0</v>
      </c>
      <c r="J125" s="11" t="s">
        <v>576</v>
      </c>
      <c r="K125" s="32" t="str">
        <f aca="false">IF(I125=1,"ACCEPTED","OPEN")</f>
        <v>OPEN</v>
      </c>
    </row>
    <row r="126" customFormat="false" ht="15" hidden="false" customHeight="false" outlineLevel="0" collapsed="false">
      <c r="A126" s="19" t="str">
        <f aca="false">"PKT-"&amp;B126&amp;"-RECONSTRUCTION"</f>
        <v>PKT-MTH-CT-CHA-L2-RECONSTRUCTION</v>
      </c>
      <c r="B126" s="19" t="str">
        <f aca="false">'Object Crosswalk'!A30</f>
        <v>MTH-CT-CHA-L2</v>
      </c>
      <c r="C126" s="19" t="str">
        <f aca="false">'Object Crosswalk'!B30</f>
        <v>Method lineage</v>
      </c>
      <c r="D126" s="19" t="str">
        <f aca="false">'Object Crosswalk'!D30</f>
        <v>MS-CT</v>
      </c>
      <c r="E126" s="19" t="str">
        <f aca="false">'Object Crosswalk'!E30</f>
        <v>CT-C</v>
      </c>
      <c r="F126" s="19" t="str">
        <f aca="false">'Object Crosswalk'!F30</f>
        <v>CHALLENGE</v>
      </c>
      <c r="G126" s="9" t="s">
        <v>341</v>
      </c>
      <c r="H126" s="11" t="s">
        <v>58</v>
      </c>
      <c r="I126" s="32" t="n">
        <f aca="false">0</f>
        <v>0</v>
      </c>
      <c r="J126" s="11" t="s">
        <v>576</v>
      </c>
      <c r="K126" s="32" t="str">
        <f aca="false">IF(I126=1,"ACCEPTED","OPEN")</f>
        <v>OPEN</v>
      </c>
    </row>
    <row r="127" customFormat="false" ht="15" hidden="false" customHeight="false" outlineLevel="0" collapsed="false">
      <c r="A127" s="19" t="str">
        <f aca="false">"PKT-"&amp;B127&amp;"-CONFIGURATION"</f>
        <v>PKT-REG-CT-CHA-CONFIGURATION</v>
      </c>
      <c r="B127" s="19" t="str">
        <f aca="false">'Object Crosswalk'!A31</f>
        <v>REG-CT-CHA</v>
      </c>
      <c r="C127" s="19" t="str">
        <f aca="false">'Object Crosswalk'!B31</f>
        <v>Regeneration tool</v>
      </c>
      <c r="D127" s="19" t="str">
        <f aca="false">'Object Crosswalk'!D31</f>
        <v>MS-CT</v>
      </c>
      <c r="E127" s="19" t="str">
        <f aca="false">'Object Crosswalk'!E31</f>
        <v>CT-C</v>
      </c>
      <c r="F127" s="19" t="str">
        <f aca="false">'Object Crosswalk'!F31</f>
        <v>CHALLENGE</v>
      </c>
      <c r="G127" s="9" t="s">
        <v>728</v>
      </c>
      <c r="H127" s="11" t="s">
        <v>58</v>
      </c>
      <c r="I127" s="32" t="n">
        <f aca="false">0</f>
        <v>0</v>
      </c>
      <c r="J127" s="11" t="s">
        <v>576</v>
      </c>
      <c r="K127" s="32" t="str">
        <f aca="false">IF(I127=1,"ACCEPTED","OPEN")</f>
        <v>OPEN</v>
      </c>
    </row>
    <row r="128" customFormat="false" ht="15" hidden="false" customHeight="false" outlineLevel="0" collapsed="false">
      <c r="A128" s="19" t="str">
        <f aca="false">"PKT-"&amp;B128&amp;"-CONTROL"</f>
        <v>PKT-REG-CT-CHA-CONTROL</v>
      </c>
      <c r="B128" s="19" t="str">
        <f aca="false">'Object Crosswalk'!A31</f>
        <v>REG-CT-CHA</v>
      </c>
      <c r="C128" s="19" t="str">
        <f aca="false">'Object Crosswalk'!B31</f>
        <v>Regeneration tool</v>
      </c>
      <c r="D128" s="19" t="str">
        <f aca="false">'Object Crosswalk'!D31</f>
        <v>MS-CT</v>
      </c>
      <c r="E128" s="19" t="str">
        <f aca="false">'Object Crosswalk'!E31</f>
        <v>CT-C</v>
      </c>
      <c r="F128" s="19" t="str">
        <f aca="false">'Object Crosswalk'!F31</f>
        <v>CHALLENGE</v>
      </c>
      <c r="G128" s="9" t="s">
        <v>333</v>
      </c>
      <c r="H128" s="11" t="s">
        <v>58</v>
      </c>
      <c r="I128" s="32" t="n">
        <f aca="false">0</f>
        <v>0</v>
      </c>
      <c r="J128" s="11" t="s">
        <v>576</v>
      </c>
      <c r="K128" s="32" t="str">
        <f aca="false">IF(I128=1,"ACCEPTED","OPEN")</f>
        <v>OPEN</v>
      </c>
    </row>
    <row r="129" customFormat="false" ht="15" hidden="false" customHeight="false" outlineLevel="0" collapsed="false">
      <c r="A129" s="19" t="str">
        <f aca="false">"PKT-"&amp;B129&amp;"-METROLOGY"</f>
        <v>PKT-REG-CT-CHA-METROLOGY</v>
      </c>
      <c r="B129" s="19" t="str">
        <f aca="false">'Object Crosswalk'!A31</f>
        <v>REG-CT-CHA</v>
      </c>
      <c r="C129" s="19" t="str">
        <f aca="false">'Object Crosswalk'!B31</f>
        <v>Regeneration tool</v>
      </c>
      <c r="D129" s="19" t="str">
        <f aca="false">'Object Crosswalk'!D31</f>
        <v>MS-CT</v>
      </c>
      <c r="E129" s="19" t="str">
        <f aca="false">'Object Crosswalk'!E31</f>
        <v>CT-C</v>
      </c>
      <c r="F129" s="19" t="str">
        <f aca="false">'Object Crosswalk'!F31</f>
        <v>CHALLENGE</v>
      </c>
      <c r="G129" s="9" t="s">
        <v>729</v>
      </c>
      <c r="H129" s="11" t="s">
        <v>58</v>
      </c>
      <c r="I129" s="32" t="n">
        <f aca="false">0</f>
        <v>0</v>
      </c>
      <c r="J129" s="11" t="s">
        <v>576</v>
      </c>
      <c r="K129" s="32" t="str">
        <f aca="false">IF(I129=1,"ACCEPTED","OPEN")</f>
        <v>OPEN</v>
      </c>
    </row>
    <row r="130" customFormat="false" ht="15" hidden="false" customHeight="false" outlineLevel="0" collapsed="false">
      <c r="A130" s="19" t="str">
        <f aca="false">"PKT-"&amp;B130&amp;"-SAFETY"</f>
        <v>PKT-REG-CT-CHA-SAFETY</v>
      </c>
      <c r="B130" s="19" t="str">
        <f aca="false">'Object Crosswalk'!A31</f>
        <v>REG-CT-CHA</v>
      </c>
      <c r="C130" s="19" t="str">
        <f aca="false">'Object Crosswalk'!B31</f>
        <v>Regeneration tool</v>
      </c>
      <c r="D130" s="19" t="str">
        <f aca="false">'Object Crosswalk'!D31</f>
        <v>MS-CT</v>
      </c>
      <c r="E130" s="19" t="str">
        <f aca="false">'Object Crosswalk'!E31</f>
        <v>CT-C</v>
      </c>
      <c r="F130" s="19" t="str">
        <f aca="false">'Object Crosswalk'!F31</f>
        <v>CHALLENGE</v>
      </c>
      <c r="G130" s="9" t="s">
        <v>730</v>
      </c>
      <c r="H130" s="11" t="s">
        <v>58</v>
      </c>
      <c r="I130" s="32" t="n">
        <f aca="false">0</f>
        <v>0</v>
      </c>
      <c r="J130" s="11" t="s">
        <v>576</v>
      </c>
      <c r="K130" s="32" t="str">
        <f aca="false">IF(I130=1,"ACCEPTED","OPEN")</f>
        <v>OPEN</v>
      </c>
    </row>
    <row r="131" customFormat="false" ht="15" hidden="false" customHeight="false" outlineLevel="0" collapsed="false">
      <c r="A131" s="19" t="str">
        <f aca="false">"PKT-"&amp;B131&amp;"-RECONSTRUCTION"</f>
        <v>PKT-REG-CT-CHA-RECONSTRUCTION</v>
      </c>
      <c r="B131" s="19" t="str">
        <f aca="false">'Object Crosswalk'!A31</f>
        <v>REG-CT-CHA</v>
      </c>
      <c r="C131" s="19" t="str">
        <f aca="false">'Object Crosswalk'!B31</f>
        <v>Regeneration tool</v>
      </c>
      <c r="D131" s="19" t="str">
        <f aca="false">'Object Crosswalk'!D31</f>
        <v>MS-CT</v>
      </c>
      <c r="E131" s="19" t="str">
        <f aca="false">'Object Crosswalk'!E31</f>
        <v>CT-C</v>
      </c>
      <c r="F131" s="19" t="str">
        <f aca="false">'Object Crosswalk'!F31</f>
        <v>CHALLENGE</v>
      </c>
      <c r="G131" s="9" t="s">
        <v>341</v>
      </c>
      <c r="H131" s="11" t="s">
        <v>58</v>
      </c>
      <c r="I131" s="32" t="n">
        <f aca="false">0</f>
        <v>0</v>
      </c>
      <c r="J131" s="11" t="s">
        <v>576</v>
      </c>
      <c r="K131" s="32" t="str">
        <f aca="false">IF(I131=1,"ACCEPTED","OPEN")</f>
        <v>OPEN</v>
      </c>
    </row>
    <row r="132" customFormat="false" ht="15" hidden="false" customHeight="false" outlineLevel="0" collapsed="false">
      <c r="A132" s="19" t="str">
        <f aca="false">"PKT-"&amp;B132&amp;"-CONFIGURATION"</f>
        <v>PKT-INT-CT-CHA-CONFIGURATION</v>
      </c>
      <c r="B132" s="19" t="str">
        <f aca="false">'Object Crosswalk'!A32</f>
        <v>INT-CT-CHA</v>
      </c>
      <c r="C132" s="19" t="str">
        <f aca="false">'Object Crosswalk'!B32</f>
        <v>Station integration</v>
      </c>
      <c r="D132" s="19" t="str">
        <f aca="false">'Object Crosswalk'!D32</f>
        <v>MS-CT</v>
      </c>
      <c r="E132" s="19" t="str">
        <f aca="false">'Object Crosswalk'!E32</f>
        <v>CT-C</v>
      </c>
      <c r="F132" s="19" t="str">
        <f aca="false">'Object Crosswalk'!F32</f>
        <v>CHALLENGE</v>
      </c>
      <c r="G132" s="9" t="s">
        <v>728</v>
      </c>
      <c r="H132" s="11" t="s">
        <v>58</v>
      </c>
      <c r="I132" s="32" t="n">
        <f aca="false">0</f>
        <v>0</v>
      </c>
      <c r="J132" s="11" t="s">
        <v>576</v>
      </c>
      <c r="K132" s="32" t="str">
        <f aca="false">IF(I132=1,"ACCEPTED","OPEN")</f>
        <v>OPEN</v>
      </c>
    </row>
    <row r="133" customFormat="false" ht="15" hidden="false" customHeight="false" outlineLevel="0" collapsed="false">
      <c r="A133" s="19" t="str">
        <f aca="false">"PKT-"&amp;B133&amp;"-CONTROL"</f>
        <v>PKT-INT-CT-CHA-CONTROL</v>
      </c>
      <c r="B133" s="19" t="str">
        <f aca="false">'Object Crosswalk'!A32</f>
        <v>INT-CT-CHA</v>
      </c>
      <c r="C133" s="19" t="str">
        <f aca="false">'Object Crosswalk'!B32</f>
        <v>Station integration</v>
      </c>
      <c r="D133" s="19" t="str">
        <f aca="false">'Object Crosswalk'!D32</f>
        <v>MS-CT</v>
      </c>
      <c r="E133" s="19" t="str">
        <f aca="false">'Object Crosswalk'!E32</f>
        <v>CT-C</v>
      </c>
      <c r="F133" s="19" t="str">
        <f aca="false">'Object Crosswalk'!F32</f>
        <v>CHALLENGE</v>
      </c>
      <c r="G133" s="9" t="s">
        <v>333</v>
      </c>
      <c r="H133" s="11" t="s">
        <v>58</v>
      </c>
      <c r="I133" s="32" t="n">
        <f aca="false">0</f>
        <v>0</v>
      </c>
      <c r="J133" s="11" t="s">
        <v>576</v>
      </c>
      <c r="K133" s="32" t="str">
        <f aca="false">IF(I133=1,"ACCEPTED","OPEN")</f>
        <v>OPEN</v>
      </c>
    </row>
    <row r="134" customFormat="false" ht="15" hidden="false" customHeight="false" outlineLevel="0" collapsed="false">
      <c r="A134" s="19" t="str">
        <f aca="false">"PKT-"&amp;B134&amp;"-METROLOGY"</f>
        <v>PKT-INT-CT-CHA-METROLOGY</v>
      </c>
      <c r="B134" s="19" t="str">
        <f aca="false">'Object Crosswalk'!A32</f>
        <v>INT-CT-CHA</v>
      </c>
      <c r="C134" s="19" t="str">
        <f aca="false">'Object Crosswalk'!B32</f>
        <v>Station integration</v>
      </c>
      <c r="D134" s="19" t="str">
        <f aca="false">'Object Crosswalk'!D32</f>
        <v>MS-CT</v>
      </c>
      <c r="E134" s="19" t="str">
        <f aca="false">'Object Crosswalk'!E32</f>
        <v>CT-C</v>
      </c>
      <c r="F134" s="19" t="str">
        <f aca="false">'Object Crosswalk'!F32</f>
        <v>CHALLENGE</v>
      </c>
      <c r="G134" s="9" t="s">
        <v>729</v>
      </c>
      <c r="H134" s="11" t="s">
        <v>58</v>
      </c>
      <c r="I134" s="32" t="n">
        <f aca="false">0</f>
        <v>0</v>
      </c>
      <c r="J134" s="11" t="s">
        <v>576</v>
      </c>
      <c r="K134" s="32" t="str">
        <f aca="false">IF(I134=1,"ACCEPTED","OPEN")</f>
        <v>OPEN</v>
      </c>
    </row>
    <row r="135" customFormat="false" ht="15" hidden="false" customHeight="false" outlineLevel="0" collapsed="false">
      <c r="A135" s="19" t="str">
        <f aca="false">"PKT-"&amp;B135&amp;"-SAFETY"</f>
        <v>PKT-INT-CT-CHA-SAFETY</v>
      </c>
      <c r="B135" s="19" t="str">
        <f aca="false">'Object Crosswalk'!A32</f>
        <v>INT-CT-CHA</v>
      </c>
      <c r="C135" s="19" t="str">
        <f aca="false">'Object Crosswalk'!B32</f>
        <v>Station integration</v>
      </c>
      <c r="D135" s="19" t="str">
        <f aca="false">'Object Crosswalk'!D32</f>
        <v>MS-CT</v>
      </c>
      <c r="E135" s="19" t="str">
        <f aca="false">'Object Crosswalk'!E32</f>
        <v>CT-C</v>
      </c>
      <c r="F135" s="19" t="str">
        <f aca="false">'Object Crosswalk'!F32</f>
        <v>CHALLENGE</v>
      </c>
      <c r="G135" s="9" t="s">
        <v>730</v>
      </c>
      <c r="H135" s="11" t="s">
        <v>58</v>
      </c>
      <c r="I135" s="32" t="n">
        <f aca="false">0</f>
        <v>0</v>
      </c>
      <c r="J135" s="11" t="s">
        <v>576</v>
      </c>
      <c r="K135" s="32" t="str">
        <f aca="false">IF(I135=1,"ACCEPTED","OPEN")</f>
        <v>OPEN</v>
      </c>
    </row>
    <row r="136" customFormat="false" ht="15" hidden="false" customHeight="false" outlineLevel="0" collapsed="false">
      <c r="A136" s="19" t="str">
        <f aca="false">"PKT-"&amp;B136&amp;"-RECONSTRUCTION"</f>
        <v>PKT-INT-CT-CHA-RECONSTRUCTION</v>
      </c>
      <c r="B136" s="19" t="str">
        <f aca="false">'Object Crosswalk'!A32</f>
        <v>INT-CT-CHA</v>
      </c>
      <c r="C136" s="19" t="str">
        <f aca="false">'Object Crosswalk'!B32</f>
        <v>Station integration</v>
      </c>
      <c r="D136" s="19" t="str">
        <f aca="false">'Object Crosswalk'!D32</f>
        <v>MS-CT</v>
      </c>
      <c r="E136" s="19" t="str">
        <f aca="false">'Object Crosswalk'!E32</f>
        <v>CT-C</v>
      </c>
      <c r="F136" s="19" t="str">
        <f aca="false">'Object Crosswalk'!F32</f>
        <v>CHALLENGE</v>
      </c>
      <c r="G136" s="9" t="s">
        <v>341</v>
      </c>
      <c r="H136" s="11" t="s">
        <v>58</v>
      </c>
      <c r="I136" s="32" t="n">
        <f aca="false">0</f>
        <v>0</v>
      </c>
      <c r="J136" s="11" t="s">
        <v>576</v>
      </c>
      <c r="K136" s="32" t="str">
        <f aca="false">IF(I136=1,"ACCEPTED","OPEN")</f>
        <v>OPEN</v>
      </c>
    </row>
    <row r="137" customFormat="false" ht="15" hidden="false" customHeight="false" outlineLevel="0" collapsed="false">
      <c r="A137" s="19" t="str">
        <f aca="false">"PKT-"&amp;B137&amp;"-CONFIGURATION"</f>
        <v>PKT-RIG-CT-CON-CONFIGURATION</v>
      </c>
      <c r="B137" s="19" t="str">
        <f aca="false">'Object Crosswalk'!A33</f>
        <v>RIG-CT-CON</v>
      </c>
      <c r="C137" s="19" t="str">
        <f aca="false">'Object Crosswalk'!B33</f>
        <v>Root-native rig</v>
      </c>
      <c r="D137" s="19" t="str">
        <f aca="false">'Object Crosswalk'!D33</f>
        <v>MS-CT</v>
      </c>
      <c r="E137" s="19" t="str">
        <f aca="false">'Object Crosswalk'!E33</f>
        <v>CT-C</v>
      </c>
      <c r="F137" s="19" t="str">
        <f aca="false">'Object Crosswalk'!F33</f>
        <v>CONTROL</v>
      </c>
      <c r="G137" s="9" t="s">
        <v>728</v>
      </c>
      <c r="H137" s="11" t="s">
        <v>58</v>
      </c>
      <c r="I137" s="32" t="n">
        <f aca="false">0</f>
        <v>0</v>
      </c>
      <c r="J137" s="11" t="s">
        <v>576</v>
      </c>
      <c r="K137" s="32" t="str">
        <f aca="false">IF(I137=1,"ACCEPTED","OPEN")</f>
        <v>OPEN</v>
      </c>
    </row>
    <row r="138" customFormat="false" ht="15" hidden="false" customHeight="false" outlineLevel="0" collapsed="false">
      <c r="A138" s="19" t="str">
        <f aca="false">"PKT-"&amp;B138&amp;"-CONTROL"</f>
        <v>PKT-RIG-CT-CON-CONTROL</v>
      </c>
      <c r="B138" s="19" t="str">
        <f aca="false">'Object Crosswalk'!A33</f>
        <v>RIG-CT-CON</v>
      </c>
      <c r="C138" s="19" t="str">
        <f aca="false">'Object Crosswalk'!B33</f>
        <v>Root-native rig</v>
      </c>
      <c r="D138" s="19" t="str">
        <f aca="false">'Object Crosswalk'!D33</f>
        <v>MS-CT</v>
      </c>
      <c r="E138" s="19" t="str">
        <f aca="false">'Object Crosswalk'!E33</f>
        <v>CT-C</v>
      </c>
      <c r="F138" s="19" t="str">
        <f aca="false">'Object Crosswalk'!F33</f>
        <v>CONTROL</v>
      </c>
      <c r="G138" s="9" t="s">
        <v>333</v>
      </c>
      <c r="H138" s="11" t="s">
        <v>58</v>
      </c>
      <c r="I138" s="32" t="n">
        <f aca="false">0</f>
        <v>0</v>
      </c>
      <c r="J138" s="11" t="s">
        <v>576</v>
      </c>
      <c r="K138" s="32" t="str">
        <f aca="false">IF(I138=1,"ACCEPTED","OPEN")</f>
        <v>OPEN</v>
      </c>
    </row>
    <row r="139" customFormat="false" ht="15" hidden="false" customHeight="false" outlineLevel="0" collapsed="false">
      <c r="A139" s="19" t="str">
        <f aca="false">"PKT-"&amp;B139&amp;"-METROLOGY"</f>
        <v>PKT-RIG-CT-CON-METROLOGY</v>
      </c>
      <c r="B139" s="19" t="str">
        <f aca="false">'Object Crosswalk'!A33</f>
        <v>RIG-CT-CON</v>
      </c>
      <c r="C139" s="19" t="str">
        <f aca="false">'Object Crosswalk'!B33</f>
        <v>Root-native rig</v>
      </c>
      <c r="D139" s="19" t="str">
        <f aca="false">'Object Crosswalk'!D33</f>
        <v>MS-CT</v>
      </c>
      <c r="E139" s="19" t="str">
        <f aca="false">'Object Crosswalk'!E33</f>
        <v>CT-C</v>
      </c>
      <c r="F139" s="19" t="str">
        <f aca="false">'Object Crosswalk'!F33</f>
        <v>CONTROL</v>
      </c>
      <c r="G139" s="9" t="s">
        <v>729</v>
      </c>
      <c r="H139" s="11" t="s">
        <v>58</v>
      </c>
      <c r="I139" s="32" t="n">
        <f aca="false">0</f>
        <v>0</v>
      </c>
      <c r="J139" s="11" t="s">
        <v>576</v>
      </c>
      <c r="K139" s="32" t="str">
        <f aca="false">IF(I139=1,"ACCEPTED","OPEN")</f>
        <v>OPEN</v>
      </c>
    </row>
    <row r="140" customFormat="false" ht="15" hidden="false" customHeight="false" outlineLevel="0" collapsed="false">
      <c r="A140" s="19" t="str">
        <f aca="false">"PKT-"&amp;B140&amp;"-SAFETY"</f>
        <v>PKT-RIG-CT-CON-SAFETY</v>
      </c>
      <c r="B140" s="19" t="str">
        <f aca="false">'Object Crosswalk'!A33</f>
        <v>RIG-CT-CON</v>
      </c>
      <c r="C140" s="19" t="str">
        <f aca="false">'Object Crosswalk'!B33</f>
        <v>Root-native rig</v>
      </c>
      <c r="D140" s="19" t="str">
        <f aca="false">'Object Crosswalk'!D33</f>
        <v>MS-CT</v>
      </c>
      <c r="E140" s="19" t="str">
        <f aca="false">'Object Crosswalk'!E33</f>
        <v>CT-C</v>
      </c>
      <c r="F140" s="19" t="str">
        <f aca="false">'Object Crosswalk'!F33</f>
        <v>CONTROL</v>
      </c>
      <c r="G140" s="9" t="s">
        <v>730</v>
      </c>
      <c r="H140" s="11" t="s">
        <v>58</v>
      </c>
      <c r="I140" s="32" t="n">
        <f aca="false">0</f>
        <v>0</v>
      </c>
      <c r="J140" s="11" t="s">
        <v>576</v>
      </c>
      <c r="K140" s="32" t="str">
        <f aca="false">IF(I140=1,"ACCEPTED","OPEN")</f>
        <v>OPEN</v>
      </c>
    </row>
    <row r="141" customFormat="false" ht="15" hidden="false" customHeight="false" outlineLevel="0" collapsed="false">
      <c r="A141" s="19" t="str">
        <f aca="false">"PKT-"&amp;B141&amp;"-RECONSTRUCTION"</f>
        <v>PKT-RIG-CT-CON-RECONSTRUCTION</v>
      </c>
      <c r="B141" s="19" t="str">
        <f aca="false">'Object Crosswalk'!A33</f>
        <v>RIG-CT-CON</v>
      </c>
      <c r="C141" s="19" t="str">
        <f aca="false">'Object Crosswalk'!B33</f>
        <v>Root-native rig</v>
      </c>
      <c r="D141" s="19" t="str">
        <f aca="false">'Object Crosswalk'!D33</f>
        <v>MS-CT</v>
      </c>
      <c r="E141" s="19" t="str">
        <f aca="false">'Object Crosswalk'!E33</f>
        <v>CT-C</v>
      </c>
      <c r="F141" s="19" t="str">
        <f aca="false">'Object Crosswalk'!F33</f>
        <v>CONTROL</v>
      </c>
      <c r="G141" s="9" t="s">
        <v>341</v>
      </c>
      <c r="H141" s="11" t="s">
        <v>58</v>
      </c>
      <c r="I141" s="32" t="n">
        <f aca="false">0</f>
        <v>0</v>
      </c>
      <c r="J141" s="11" t="s">
        <v>576</v>
      </c>
      <c r="K141" s="32" t="str">
        <f aca="false">IF(I141=1,"ACCEPTED","OPEN")</f>
        <v>OPEN</v>
      </c>
    </row>
    <row r="142" customFormat="false" ht="15" hidden="false" customHeight="false" outlineLevel="0" collapsed="false">
      <c r="A142" s="19" t="str">
        <f aca="false">"PKT-"&amp;B142&amp;"-CONFIGURATION"</f>
        <v>PKT-MTH-CT-CON-L1-CONFIGURATION</v>
      </c>
      <c r="B142" s="19" t="str">
        <f aca="false">'Object Crosswalk'!A34</f>
        <v>MTH-CT-CON-L1</v>
      </c>
      <c r="C142" s="19" t="str">
        <f aca="false">'Object Crosswalk'!B34</f>
        <v>Method lineage</v>
      </c>
      <c r="D142" s="19" t="str">
        <f aca="false">'Object Crosswalk'!D34</f>
        <v>MS-CT</v>
      </c>
      <c r="E142" s="19" t="str">
        <f aca="false">'Object Crosswalk'!E34</f>
        <v>CT-C</v>
      </c>
      <c r="F142" s="19" t="str">
        <f aca="false">'Object Crosswalk'!F34</f>
        <v>CONTROL</v>
      </c>
      <c r="G142" s="9" t="s">
        <v>728</v>
      </c>
      <c r="H142" s="11" t="s">
        <v>58</v>
      </c>
      <c r="I142" s="32" t="n">
        <f aca="false">0</f>
        <v>0</v>
      </c>
      <c r="J142" s="11" t="s">
        <v>576</v>
      </c>
      <c r="K142" s="32" t="str">
        <f aca="false">IF(I142=1,"ACCEPTED","OPEN")</f>
        <v>OPEN</v>
      </c>
    </row>
    <row r="143" customFormat="false" ht="15" hidden="false" customHeight="false" outlineLevel="0" collapsed="false">
      <c r="A143" s="19" t="str">
        <f aca="false">"PKT-"&amp;B143&amp;"-CONTROL"</f>
        <v>PKT-MTH-CT-CON-L1-CONTROL</v>
      </c>
      <c r="B143" s="19" t="str">
        <f aca="false">'Object Crosswalk'!A34</f>
        <v>MTH-CT-CON-L1</v>
      </c>
      <c r="C143" s="19" t="str">
        <f aca="false">'Object Crosswalk'!B34</f>
        <v>Method lineage</v>
      </c>
      <c r="D143" s="19" t="str">
        <f aca="false">'Object Crosswalk'!D34</f>
        <v>MS-CT</v>
      </c>
      <c r="E143" s="19" t="str">
        <f aca="false">'Object Crosswalk'!E34</f>
        <v>CT-C</v>
      </c>
      <c r="F143" s="19" t="str">
        <f aca="false">'Object Crosswalk'!F34</f>
        <v>CONTROL</v>
      </c>
      <c r="G143" s="9" t="s">
        <v>333</v>
      </c>
      <c r="H143" s="11" t="s">
        <v>58</v>
      </c>
      <c r="I143" s="32" t="n">
        <f aca="false">0</f>
        <v>0</v>
      </c>
      <c r="J143" s="11" t="s">
        <v>576</v>
      </c>
      <c r="K143" s="32" t="str">
        <f aca="false">IF(I143=1,"ACCEPTED","OPEN")</f>
        <v>OPEN</v>
      </c>
    </row>
    <row r="144" customFormat="false" ht="15" hidden="false" customHeight="false" outlineLevel="0" collapsed="false">
      <c r="A144" s="19" t="str">
        <f aca="false">"PKT-"&amp;B144&amp;"-METROLOGY"</f>
        <v>PKT-MTH-CT-CON-L1-METROLOGY</v>
      </c>
      <c r="B144" s="19" t="str">
        <f aca="false">'Object Crosswalk'!A34</f>
        <v>MTH-CT-CON-L1</v>
      </c>
      <c r="C144" s="19" t="str">
        <f aca="false">'Object Crosswalk'!B34</f>
        <v>Method lineage</v>
      </c>
      <c r="D144" s="19" t="str">
        <f aca="false">'Object Crosswalk'!D34</f>
        <v>MS-CT</v>
      </c>
      <c r="E144" s="19" t="str">
        <f aca="false">'Object Crosswalk'!E34</f>
        <v>CT-C</v>
      </c>
      <c r="F144" s="19" t="str">
        <f aca="false">'Object Crosswalk'!F34</f>
        <v>CONTROL</v>
      </c>
      <c r="G144" s="9" t="s">
        <v>729</v>
      </c>
      <c r="H144" s="11" t="s">
        <v>58</v>
      </c>
      <c r="I144" s="32" t="n">
        <f aca="false">0</f>
        <v>0</v>
      </c>
      <c r="J144" s="11" t="s">
        <v>576</v>
      </c>
      <c r="K144" s="32" t="str">
        <f aca="false">IF(I144=1,"ACCEPTED","OPEN")</f>
        <v>OPEN</v>
      </c>
    </row>
    <row r="145" customFormat="false" ht="15" hidden="false" customHeight="false" outlineLevel="0" collapsed="false">
      <c r="A145" s="19" t="str">
        <f aca="false">"PKT-"&amp;B145&amp;"-SAFETY"</f>
        <v>PKT-MTH-CT-CON-L1-SAFETY</v>
      </c>
      <c r="B145" s="19" t="str">
        <f aca="false">'Object Crosswalk'!A34</f>
        <v>MTH-CT-CON-L1</v>
      </c>
      <c r="C145" s="19" t="str">
        <f aca="false">'Object Crosswalk'!B34</f>
        <v>Method lineage</v>
      </c>
      <c r="D145" s="19" t="str">
        <f aca="false">'Object Crosswalk'!D34</f>
        <v>MS-CT</v>
      </c>
      <c r="E145" s="19" t="str">
        <f aca="false">'Object Crosswalk'!E34</f>
        <v>CT-C</v>
      </c>
      <c r="F145" s="19" t="str">
        <f aca="false">'Object Crosswalk'!F34</f>
        <v>CONTROL</v>
      </c>
      <c r="G145" s="9" t="s">
        <v>730</v>
      </c>
      <c r="H145" s="11" t="s">
        <v>58</v>
      </c>
      <c r="I145" s="32" t="n">
        <f aca="false">0</f>
        <v>0</v>
      </c>
      <c r="J145" s="11" t="s">
        <v>576</v>
      </c>
      <c r="K145" s="32" t="str">
        <f aca="false">IF(I145=1,"ACCEPTED","OPEN")</f>
        <v>OPEN</v>
      </c>
    </row>
    <row r="146" customFormat="false" ht="15" hidden="false" customHeight="false" outlineLevel="0" collapsed="false">
      <c r="A146" s="19" t="str">
        <f aca="false">"PKT-"&amp;B146&amp;"-RECONSTRUCTION"</f>
        <v>PKT-MTH-CT-CON-L1-RECONSTRUCTION</v>
      </c>
      <c r="B146" s="19" t="str">
        <f aca="false">'Object Crosswalk'!A34</f>
        <v>MTH-CT-CON-L1</v>
      </c>
      <c r="C146" s="19" t="str">
        <f aca="false">'Object Crosswalk'!B34</f>
        <v>Method lineage</v>
      </c>
      <c r="D146" s="19" t="str">
        <f aca="false">'Object Crosswalk'!D34</f>
        <v>MS-CT</v>
      </c>
      <c r="E146" s="19" t="str">
        <f aca="false">'Object Crosswalk'!E34</f>
        <v>CT-C</v>
      </c>
      <c r="F146" s="19" t="str">
        <f aca="false">'Object Crosswalk'!F34</f>
        <v>CONTROL</v>
      </c>
      <c r="G146" s="9" t="s">
        <v>341</v>
      </c>
      <c r="H146" s="11" t="s">
        <v>58</v>
      </c>
      <c r="I146" s="32" t="n">
        <f aca="false">0</f>
        <v>0</v>
      </c>
      <c r="J146" s="11" t="s">
        <v>576</v>
      </c>
      <c r="K146" s="32" t="str">
        <f aca="false">IF(I146=1,"ACCEPTED","OPEN")</f>
        <v>OPEN</v>
      </c>
    </row>
    <row r="147" customFormat="false" ht="15" hidden="false" customHeight="false" outlineLevel="0" collapsed="false">
      <c r="A147" s="19" t="str">
        <f aca="false">"PKT-"&amp;B147&amp;"-CONFIGURATION"</f>
        <v>PKT-MTH-CT-CON-L2-CONFIGURATION</v>
      </c>
      <c r="B147" s="19" t="str">
        <f aca="false">'Object Crosswalk'!A35</f>
        <v>MTH-CT-CON-L2</v>
      </c>
      <c r="C147" s="19" t="str">
        <f aca="false">'Object Crosswalk'!B35</f>
        <v>Method lineage</v>
      </c>
      <c r="D147" s="19" t="str">
        <f aca="false">'Object Crosswalk'!D35</f>
        <v>MS-CT</v>
      </c>
      <c r="E147" s="19" t="str">
        <f aca="false">'Object Crosswalk'!E35</f>
        <v>CT-C</v>
      </c>
      <c r="F147" s="19" t="str">
        <f aca="false">'Object Crosswalk'!F35</f>
        <v>CONTROL</v>
      </c>
      <c r="G147" s="9" t="s">
        <v>728</v>
      </c>
      <c r="H147" s="11" t="s">
        <v>58</v>
      </c>
      <c r="I147" s="32" t="n">
        <f aca="false">0</f>
        <v>0</v>
      </c>
      <c r="J147" s="11" t="s">
        <v>576</v>
      </c>
      <c r="K147" s="32" t="str">
        <f aca="false">IF(I147=1,"ACCEPTED","OPEN")</f>
        <v>OPEN</v>
      </c>
    </row>
    <row r="148" customFormat="false" ht="15" hidden="false" customHeight="false" outlineLevel="0" collapsed="false">
      <c r="A148" s="19" t="str">
        <f aca="false">"PKT-"&amp;B148&amp;"-CONTROL"</f>
        <v>PKT-MTH-CT-CON-L2-CONTROL</v>
      </c>
      <c r="B148" s="19" t="str">
        <f aca="false">'Object Crosswalk'!A35</f>
        <v>MTH-CT-CON-L2</v>
      </c>
      <c r="C148" s="19" t="str">
        <f aca="false">'Object Crosswalk'!B35</f>
        <v>Method lineage</v>
      </c>
      <c r="D148" s="19" t="str">
        <f aca="false">'Object Crosswalk'!D35</f>
        <v>MS-CT</v>
      </c>
      <c r="E148" s="19" t="str">
        <f aca="false">'Object Crosswalk'!E35</f>
        <v>CT-C</v>
      </c>
      <c r="F148" s="19" t="str">
        <f aca="false">'Object Crosswalk'!F35</f>
        <v>CONTROL</v>
      </c>
      <c r="G148" s="9" t="s">
        <v>333</v>
      </c>
      <c r="H148" s="11" t="s">
        <v>58</v>
      </c>
      <c r="I148" s="32" t="n">
        <f aca="false">0</f>
        <v>0</v>
      </c>
      <c r="J148" s="11" t="s">
        <v>576</v>
      </c>
      <c r="K148" s="32" t="str">
        <f aca="false">IF(I148=1,"ACCEPTED","OPEN")</f>
        <v>OPEN</v>
      </c>
    </row>
    <row r="149" customFormat="false" ht="15" hidden="false" customHeight="false" outlineLevel="0" collapsed="false">
      <c r="A149" s="19" t="str">
        <f aca="false">"PKT-"&amp;B149&amp;"-METROLOGY"</f>
        <v>PKT-MTH-CT-CON-L2-METROLOGY</v>
      </c>
      <c r="B149" s="19" t="str">
        <f aca="false">'Object Crosswalk'!A35</f>
        <v>MTH-CT-CON-L2</v>
      </c>
      <c r="C149" s="19" t="str">
        <f aca="false">'Object Crosswalk'!B35</f>
        <v>Method lineage</v>
      </c>
      <c r="D149" s="19" t="str">
        <f aca="false">'Object Crosswalk'!D35</f>
        <v>MS-CT</v>
      </c>
      <c r="E149" s="19" t="str">
        <f aca="false">'Object Crosswalk'!E35</f>
        <v>CT-C</v>
      </c>
      <c r="F149" s="19" t="str">
        <f aca="false">'Object Crosswalk'!F35</f>
        <v>CONTROL</v>
      </c>
      <c r="G149" s="9" t="s">
        <v>729</v>
      </c>
      <c r="H149" s="11" t="s">
        <v>58</v>
      </c>
      <c r="I149" s="32" t="n">
        <f aca="false">0</f>
        <v>0</v>
      </c>
      <c r="J149" s="11" t="s">
        <v>576</v>
      </c>
      <c r="K149" s="32" t="str">
        <f aca="false">IF(I149=1,"ACCEPTED","OPEN")</f>
        <v>OPEN</v>
      </c>
    </row>
    <row r="150" customFormat="false" ht="15" hidden="false" customHeight="false" outlineLevel="0" collapsed="false">
      <c r="A150" s="19" t="str">
        <f aca="false">"PKT-"&amp;B150&amp;"-SAFETY"</f>
        <v>PKT-MTH-CT-CON-L2-SAFETY</v>
      </c>
      <c r="B150" s="19" t="str">
        <f aca="false">'Object Crosswalk'!A35</f>
        <v>MTH-CT-CON-L2</v>
      </c>
      <c r="C150" s="19" t="str">
        <f aca="false">'Object Crosswalk'!B35</f>
        <v>Method lineage</v>
      </c>
      <c r="D150" s="19" t="str">
        <f aca="false">'Object Crosswalk'!D35</f>
        <v>MS-CT</v>
      </c>
      <c r="E150" s="19" t="str">
        <f aca="false">'Object Crosswalk'!E35</f>
        <v>CT-C</v>
      </c>
      <c r="F150" s="19" t="str">
        <f aca="false">'Object Crosswalk'!F35</f>
        <v>CONTROL</v>
      </c>
      <c r="G150" s="9" t="s">
        <v>730</v>
      </c>
      <c r="H150" s="11" t="s">
        <v>58</v>
      </c>
      <c r="I150" s="32" t="n">
        <f aca="false">0</f>
        <v>0</v>
      </c>
      <c r="J150" s="11" t="s">
        <v>576</v>
      </c>
      <c r="K150" s="32" t="str">
        <f aca="false">IF(I150=1,"ACCEPTED","OPEN")</f>
        <v>OPEN</v>
      </c>
    </row>
    <row r="151" customFormat="false" ht="15" hidden="false" customHeight="false" outlineLevel="0" collapsed="false">
      <c r="A151" s="19" t="str">
        <f aca="false">"PKT-"&amp;B151&amp;"-RECONSTRUCTION"</f>
        <v>PKT-MTH-CT-CON-L2-RECONSTRUCTION</v>
      </c>
      <c r="B151" s="19" t="str">
        <f aca="false">'Object Crosswalk'!A35</f>
        <v>MTH-CT-CON-L2</v>
      </c>
      <c r="C151" s="19" t="str">
        <f aca="false">'Object Crosswalk'!B35</f>
        <v>Method lineage</v>
      </c>
      <c r="D151" s="19" t="str">
        <f aca="false">'Object Crosswalk'!D35</f>
        <v>MS-CT</v>
      </c>
      <c r="E151" s="19" t="str">
        <f aca="false">'Object Crosswalk'!E35</f>
        <v>CT-C</v>
      </c>
      <c r="F151" s="19" t="str">
        <f aca="false">'Object Crosswalk'!F35</f>
        <v>CONTROL</v>
      </c>
      <c r="G151" s="9" t="s">
        <v>341</v>
      </c>
      <c r="H151" s="11" t="s">
        <v>58</v>
      </c>
      <c r="I151" s="32" t="n">
        <f aca="false">0</f>
        <v>0</v>
      </c>
      <c r="J151" s="11" t="s">
        <v>576</v>
      </c>
      <c r="K151" s="32" t="str">
        <f aca="false">IF(I151=1,"ACCEPTED","OPEN")</f>
        <v>OPEN</v>
      </c>
    </row>
    <row r="152" customFormat="false" ht="15" hidden="false" customHeight="false" outlineLevel="0" collapsed="false">
      <c r="A152" s="19" t="str">
        <f aca="false">"PKT-"&amp;B152&amp;"-CONFIGURATION"</f>
        <v>PKT-REG-CT-CON-CONFIGURATION</v>
      </c>
      <c r="B152" s="19" t="str">
        <f aca="false">'Object Crosswalk'!A36</f>
        <v>REG-CT-CON</v>
      </c>
      <c r="C152" s="19" t="str">
        <f aca="false">'Object Crosswalk'!B36</f>
        <v>Regeneration tool</v>
      </c>
      <c r="D152" s="19" t="str">
        <f aca="false">'Object Crosswalk'!D36</f>
        <v>MS-CT</v>
      </c>
      <c r="E152" s="19" t="str">
        <f aca="false">'Object Crosswalk'!E36</f>
        <v>CT-C</v>
      </c>
      <c r="F152" s="19" t="str">
        <f aca="false">'Object Crosswalk'!F36</f>
        <v>CONTROL</v>
      </c>
      <c r="G152" s="9" t="s">
        <v>728</v>
      </c>
      <c r="H152" s="11" t="s">
        <v>58</v>
      </c>
      <c r="I152" s="32" t="n">
        <f aca="false">0</f>
        <v>0</v>
      </c>
      <c r="J152" s="11" t="s">
        <v>576</v>
      </c>
      <c r="K152" s="32" t="str">
        <f aca="false">IF(I152=1,"ACCEPTED","OPEN")</f>
        <v>OPEN</v>
      </c>
    </row>
    <row r="153" customFormat="false" ht="15" hidden="false" customHeight="false" outlineLevel="0" collapsed="false">
      <c r="A153" s="19" t="str">
        <f aca="false">"PKT-"&amp;B153&amp;"-CONTROL"</f>
        <v>PKT-REG-CT-CON-CONTROL</v>
      </c>
      <c r="B153" s="19" t="str">
        <f aca="false">'Object Crosswalk'!A36</f>
        <v>REG-CT-CON</v>
      </c>
      <c r="C153" s="19" t="str">
        <f aca="false">'Object Crosswalk'!B36</f>
        <v>Regeneration tool</v>
      </c>
      <c r="D153" s="19" t="str">
        <f aca="false">'Object Crosswalk'!D36</f>
        <v>MS-CT</v>
      </c>
      <c r="E153" s="19" t="str">
        <f aca="false">'Object Crosswalk'!E36</f>
        <v>CT-C</v>
      </c>
      <c r="F153" s="19" t="str">
        <f aca="false">'Object Crosswalk'!F36</f>
        <v>CONTROL</v>
      </c>
      <c r="G153" s="9" t="s">
        <v>333</v>
      </c>
      <c r="H153" s="11" t="s">
        <v>58</v>
      </c>
      <c r="I153" s="32" t="n">
        <f aca="false">0</f>
        <v>0</v>
      </c>
      <c r="J153" s="11" t="s">
        <v>576</v>
      </c>
      <c r="K153" s="32" t="str">
        <f aca="false">IF(I153=1,"ACCEPTED","OPEN")</f>
        <v>OPEN</v>
      </c>
    </row>
    <row r="154" customFormat="false" ht="15" hidden="false" customHeight="false" outlineLevel="0" collapsed="false">
      <c r="A154" s="19" t="str">
        <f aca="false">"PKT-"&amp;B154&amp;"-METROLOGY"</f>
        <v>PKT-REG-CT-CON-METROLOGY</v>
      </c>
      <c r="B154" s="19" t="str">
        <f aca="false">'Object Crosswalk'!A36</f>
        <v>REG-CT-CON</v>
      </c>
      <c r="C154" s="19" t="str">
        <f aca="false">'Object Crosswalk'!B36</f>
        <v>Regeneration tool</v>
      </c>
      <c r="D154" s="19" t="str">
        <f aca="false">'Object Crosswalk'!D36</f>
        <v>MS-CT</v>
      </c>
      <c r="E154" s="19" t="str">
        <f aca="false">'Object Crosswalk'!E36</f>
        <v>CT-C</v>
      </c>
      <c r="F154" s="19" t="str">
        <f aca="false">'Object Crosswalk'!F36</f>
        <v>CONTROL</v>
      </c>
      <c r="G154" s="9" t="s">
        <v>729</v>
      </c>
      <c r="H154" s="11" t="s">
        <v>58</v>
      </c>
      <c r="I154" s="32" t="n">
        <f aca="false">0</f>
        <v>0</v>
      </c>
      <c r="J154" s="11" t="s">
        <v>576</v>
      </c>
      <c r="K154" s="32" t="str">
        <f aca="false">IF(I154=1,"ACCEPTED","OPEN")</f>
        <v>OPEN</v>
      </c>
    </row>
    <row r="155" customFormat="false" ht="15" hidden="false" customHeight="false" outlineLevel="0" collapsed="false">
      <c r="A155" s="19" t="str">
        <f aca="false">"PKT-"&amp;B155&amp;"-SAFETY"</f>
        <v>PKT-REG-CT-CON-SAFETY</v>
      </c>
      <c r="B155" s="19" t="str">
        <f aca="false">'Object Crosswalk'!A36</f>
        <v>REG-CT-CON</v>
      </c>
      <c r="C155" s="19" t="str">
        <f aca="false">'Object Crosswalk'!B36</f>
        <v>Regeneration tool</v>
      </c>
      <c r="D155" s="19" t="str">
        <f aca="false">'Object Crosswalk'!D36</f>
        <v>MS-CT</v>
      </c>
      <c r="E155" s="19" t="str">
        <f aca="false">'Object Crosswalk'!E36</f>
        <v>CT-C</v>
      </c>
      <c r="F155" s="19" t="str">
        <f aca="false">'Object Crosswalk'!F36</f>
        <v>CONTROL</v>
      </c>
      <c r="G155" s="9" t="s">
        <v>730</v>
      </c>
      <c r="H155" s="11" t="s">
        <v>58</v>
      </c>
      <c r="I155" s="32" t="n">
        <f aca="false">0</f>
        <v>0</v>
      </c>
      <c r="J155" s="11" t="s">
        <v>576</v>
      </c>
      <c r="K155" s="32" t="str">
        <f aca="false">IF(I155=1,"ACCEPTED","OPEN")</f>
        <v>OPEN</v>
      </c>
    </row>
    <row r="156" customFormat="false" ht="15" hidden="false" customHeight="false" outlineLevel="0" collapsed="false">
      <c r="A156" s="19" t="str">
        <f aca="false">"PKT-"&amp;B156&amp;"-RECONSTRUCTION"</f>
        <v>PKT-REG-CT-CON-RECONSTRUCTION</v>
      </c>
      <c r="B156" s="19" t="str">
        <f aca="false">'Object Crosswalk'!A36</f>
        <v>REG-CT-CON</v>
      </c>
      <c r="C156" s="19" t="str">
        <f aca="false">'Object Crosswalk'!B36</f>
        <v>Regeneration tool</v>
      </c>
      <c r="D156" s="19" t="str">
        <f aca="false">'Object Crosswalk'!D36</f>
        <v>MS-CT</v>
      </c>
      <c r="E156" s="19" t="str">
        <f aca="false">'Object Crosswalk'!E36</f>
        <v>CT-C</v>
      </c>
      <c r="F156" s="19" t="str">
        <f aca="false">'Object Crosswalk'!F36</f>
        <v>CONTROL</v>
      </c>
      <c r="G156" s="9" t="s">
        <v>341</v>
      </c>
      <c r="H156" s="11" t="s">
        <v>58</v>
      </c>
      <c r="I156" s="32" t="n">
        <f aca="false">0</f>
        <v>0</v>
      </c>
      <c r="J156" s="11" t="s">
        <v>576</v>
      </c>
      <c r="K156" s="32" t="str">
        <f aca="false">IF(I156=1,"ACCEPTED","OPEN")</f>
        <v>OPEN</v>
      </c>
    </row>
    <row r="157" customFormat="false" ht="15" hidden="false" customHeight="false" outlineLevel="0" collapsed="false">
      <c r="A157" s="19" t="str">
        <f aca="false">"PKT-"&amp;B157&amp;"-CONFIGURATION"</f>
        <v>PKT-INT-CT-CON-CONFIGURATION</v>
      </c>
      <c r="B157" s="19" t="str">
        <f aca="false">'Object Crosswalk'!A37</f>
        <v>INT-CT-CON</v>
      </c>
      <c r="C157" s="19" t="str">
        <f aca="false">'Object Crosswalk'!B37</f>
        <v>Station integration</v>
      </c>
      <c r="D157" s="19" t="str">
        <f aca="false">'Object Crosswalk'!D37</f>
        <v>MS-CT</v>
      </c>
      <c r="E157" s="19" t="str">
        <f aca="false">'Object Crosswalk'!E37</f>
        <v>CT-C</v>
      </c>
      <c r="F157" s="19" t="str">
        <f aca="false">'Object Crosswalk'!F37</f>
        <v>CONTROL</v>
      </c>
      <c r="G157" s="9" t="s">
        <v>728</v>
      </c>
      <c r="H157" s="11" t="s">
        <v>58</v>
      </c>
      <c r="I157" s="32" t="n">
        <f aca="false">0</f>
        <v>0</v>
      </c>
      <c r="J157" s="11" t="s">
        <v>576</v>
      </c>
      <c r="K157" s="32" t="str">
        <f aca="false">IF(I157=1,"ACCEPTED","OPEN")</f>
        <v>OPEN</v>
      </c>
    </row>
    <row r="158" customFormat="false" ht="15" hidden="false" customHeight="false" outlineLevel="0" collapsed="false">
      <c r="A158" s="19" t="str">
        <f aca="false">"PKT-"&amp;B158&amp;"-CONTROL"</f>
        <v>PKT-INT-CT-CON-CONTROL</v>
      </c>
      <c r="B158" s="19" t="str">
        <f aca="false">'Object Crosswalk'!A37</f>
        <v>INT-CT-CON</v>
      </c>
      <c r="C158" s="19" t="str">
        <f aca="false">'Object Crosswalk'!B37</f>
        <v>Station integration</v>
      </c>
      <c r="D158" s="19" t="str">
        <f aca="false">'Object Crosswalk'!D37</f>
        <v>MS-CT</v>
      </c>
      <c r="E158" s="19" t="str">
        <f aca="false">'Object Crosswalk'!E37</f>
        <v>CT-C</v>
      </c>
      <c r="F158" s="19" t="str">
        <f aca="false">'Object Crosswalk'!F37</f>
        <v>CONTROL</v>
      </c>
      <c r="G158" s="9" t="s">
        <v>333</v>
      </c>
      <c r="H158" s="11" t="s">
        <v>58</v>
      </c>
      <c r="I158" s="32" t="n">
        <f aca="false">0</f>
        <v>0</v>
      </c>
      <c r="J158" s="11" t="s">
        <v>576</v>
      </c>
      <c r="K158" s="32" t="str">
        <f aca="false">IF(I158=1,"ACCEPTED","OPEN")</f>
        <v>OPEN</v>
      </c>
    </row>
    <row r="159" customFormat="false" ht="15" hidden="false" customHeight="false" outlineLevel="0" collapsed="false">
      <c r="A159" s="19" t="str">
        <f aca="false">"PKT-"&amp;B159&amp;"-METROLOGY"</f>
        <v>PKT-INT-CT-CON-METROLOGY</v>
      </c>
      <c r="B159" s="19" t="str">
        <f aca="false">'Object Crosswalk'!A37</f>
        <v>INT-CT-CON</v>
      </c>
      <c r="C159" s="19" t="str">
        <f aca="false">'Object Crosswalk'!B37</f>
        <v>Station integration</v>
      </c>
      <c r="D159" s="19" t="str">
        <f aca="false">'Object Crosswalk'!D37</f>
        <v>MS-CT</v>
      </c>
      <c r="E159" s="19" t="str">
        <f aca="false">'Object Crosswalk'!E37</f>
        <v>CT-C</v>
      </c>
      <c r="F159" s="19" t="str">
        <f aca="false">'Object Crosswalk'!F37</f>
        <v>CONTROL</v>
      </c>
      <c r="G159" s="9" t="s">
        <v>729</v>
      </c>
      <c r="H159" s="11" t="s">
        <v>58</v>
      </c>
      <c r="I159" s="32" t="n">
        <f aca="false">0</f>
        <v>0</v>
      </c>
      <c r="J159" s="11" t="s">
        <v>576</v>
      </c>
      <c r="K159" s="32" t="str">
        <f aca="false">IF(I159=1,"ACCEPTED","OPEN")</f>
        <v>OPEN</v>
      </c>
    </row>
    <row r="160" customFormat="false" ht="15" hidden="false" customHeight="false" outlineLevel="0" collapsed="false">
      <c r="A160" s="19" t="str">
        <f aca="false">"PKT-"&amp;B160&amp;"-SAFETY"</f>
        <v>PKT-INT-CT-CON-SAFETY</v>
      </c>
      <c r="B160" s="19" t="str">
        <f aca="false">'Object Crosswalk'!A37</f>
        <v>INT-CT-CON</v>
      </c>
      <c r="C160" s="19" t="str">
        <f aca="false">'Object Crosswalk'!B37</f>
        <v>Station integration</v>
      </c>
      <c r="D160" s="19" t="str">
        <f aca="false">'Object Crosswalk'!D37</f>
        <v>MS-CT</v>
      </c>
      <c r="E160" s="19" t="str">
        <f aca="false">'Object Crosswalk'!E37</f>
        <v>CT-C</v>
      </c>
      <c r="F160" s="19" t="str">
        <f aca="false">'Object Crosswalk'!F37</f>
        <v>CONTROL</v>
      </c>
      <c r="G160" s="9" t="s">
        <v>730</v>
      </c>
      <c r="H160" s="11" t="s">
        <v>58</v>
      </c>
      <c r="I160" s="32" t="n">
        <f aca="false">0</f>
        <v>0</v>
      </c>
      <c r="J160" s="11" t="s">
        <v>576</v>
      </c>
      <c r="K160" s="32" t="str">
        <f aca="false">IF(I160=1,"ACCEPTED","OPEN")</f>
        <v>OPEN</v>
      </c>
    </row>
    <row r="161" customFormat="false" ht="15" hidden="false" customHeight="false" outlineLevel="0" collapsed="false">
      <c r="A161" s="19" t="str">
        <f aca="false">"PKT-"&amp;B161&amp;"-RECONSTRUCTION"</f>
        <v>PKT-INT-CT-CON-RECONSTRUCTION</v>
      </c>
      <c r="B161" s="19" t="str">
        <f aca="false">'Object Crosswalk'!A37</f>
        <v>INT-CT-CON</v>
      </c>
      <c r="C161" s="19" t="str">
        <f aca="false">'Object Crosswalk'!B37</f>
        <v>Station integration</v>
      </c>
      <c r="D161" s="19" t="str">
        <f aca="false">'Object Crosswalk'!D37</f>
        <v>MS-CT</v>
      </c>
      <c r="E161" s="19" t="str">
        <f aca="false">'Object Crosswalk'!E37</f>
        <v>CT-C</v>
      </c>
      <c r="F161" s="19" t="str">
        <f aca="false">'Object Crosswalk'!F37</f>
        <v>CONTROL</v>
      </c>
      <c r="G161" s="9" t="s">
        <v>341</v>
      </c>
      <c r="H161" s="11" t="s">
        <v>58</v>
      </c>
      <c r="I161" s="32" t="n">
        <f aca="false">0</f>
        <v>0</v>
      </c>
      <c r="J161" s="11" t="s">
        <v>576</v>
      </c>
      <c r="K161" s="32" t="str">
        <f aca="false">IF(I161=1,"ACCEPTED","OPEN")</f>
        <v>OPEN</v>
      </c>
    </row>
    <row r="162" customFormat="false" ht="15" hidden="false" customHeight="false" outlineLevel="0" collapsed="false">
      <c r="A162" s="19" t="str">
        <f aca="false">"PKT-"&amp;B162&amp;"-CONFIGURATION"</f>
        <v>PKT-RIG-CT-REC-CONFIGURATION</v>
      </c>
      <c r="B162" s="19" t="str">
        <f aca="false">'Object Crosswalk'!A38</f>
        <v>RIG-CT-REC</v>
      </c>
      <c r="C162" s="19" t="str">
        <f aca="false">'Object Crosswalk'!B38</f>
        <v>Root-native rig</v>
      </c>
      <c r="D162" s="19" t="str">
        <f aca="false">'Object Crosswalk'!D38</f>
        <v>MS-CT</v>
      </c>
      <c r="E162" s="19" t="str">
        <f aca="false">'Object Crosswalk'!E38</f>
        <v>CT-C</v>
      </c>
      <c r="F162" s="19" t="str">
        <f aca="false">'Object Crosswalk'!F38</f>
        <v>RECONSTRUCTION</v>
      </c>
      <c r="G162" s="9" t="s">
        <v>728</v>
      </c>
      <c r="H162" s="11" t="s">
        <v>58</v>
      </c>
      <c r="I162" s="32" t="n">
        <f aca="false">0</f>
        <v>0</v>
      </c>
      <c r="J162" s="11" t="s">
        <v>576</v>
      </c>
      <c r="K162" s="32" t="str">
        <f aca="false">IF(I162=1,"ACCEPTED","OPEN")</f>
        <v>OPEN</v>
      </c>
    </row>
    <row r="163" customFormat="false" ht="15" hidden="false" customHeight="false" outlineLevel="0" collapsed="false">
      <c r="A163" s="19" t="str">
        <f aca="false">"PKT-"&amp;B163&amp;"-CONTROL"</f>
        <v>PKT-RIG-CT-REC-CONTROL</v>
      </c>
      <c r="B163" s="19" t="str">
        <f aca="false">'Object Crosswalk'!A38</f>
        <v>RIG-CT-REC</v>
      </c>
      <c r="C163" s="19" t="str">
        <f aca="false">'Object Crosswalk'!B38</f>
        <v>Root-native rig</v>
      </c>
      <c r="D163" s="19" t="str">
        <f aca="false">'Object Crosswalk'!D38</f>
        <v>MS-CT</v>
      </c>
      <c r="E163" s="19" t="str">
        <f aca="false">'Object Crosswalk'!E38</f>
        <v>CT-C</v>
      </c>
      <c r="F163" s="19" t="str">
        <f aca="false">'Object Crosswalk'!F38</f>
        <v>RECONSTRUCTION</v>
      </c>
      <c r="G163" s="9" t="s">
        <v>333</v>
      </c>
      <c r="H163" s="11" t="s">
        <v>58</v>
      </c>
      <c r="I163" s="32" t="n">
        <f aca="false">0</f>
        <v>0</v>
      </c>
      <c r="J163" s="11" t="s">
        <v>576</v>
      </c>
      <c r="K163" s="32" t="str">
        <f aca="false">IF(I163=1,"ACCEPTED","OPEN")</f>
        <v>OPEN</v>
      </c>
    </row>
    <row r="164" customFormat="false" ht="15" hidden="false" customHeight="false" outlineLevel="0" collapsed="false">
      <c r="A164" s="19" t="str">
        <f aca="false">"PKT-"&amp;B164&amp;"-METROLOGY"</f>
        <v>PKT-RIG-CT-REC-METROLOGY</v>
      </c>
      <c r="B164" s="19" t="str">
        <f aca="false">'Object Crosswalk'!A38</f>
        <v>RIG-CT-REC</v>
      </c>
      <c r="C164" s="19" t="str">
        <f aca="false">'Object Crosswalk'!B38</f>
        <v>Root-native rig</v>
      </c>
      <c r="D164" s="19" t="str">
        <f aca="false">'Object Crosswalk'!D38</f>
        <v>MS-CT</v>
      </c>
      <c r="E164" s="19" t="str">
        <f aca="false">'Object Crosswalk'!E38</f>
        <v>CT-C</v>
      </c>
      <c r="F164" s="19" t="str">
        <f aca="false">'Object Crosswalk'!F38</f>
        <v>RECONSTRUCTION</v>
      </c>
      <c r="G164" s="9" t="s">
        <v>729</v>
      </c>
      <c r="H164" s="11" t="s">
        <v>58</v>
      </c>
      <c r="I164" s="32" t="n">
        <f aca="false">0</f>
        <v>0</v>
      </c>
      <c r="J164" s="11" t="s">
        <v>576</v>
      </c>
      <c r="K164" s="32" t="str">
        <f aca="false">IF(I164=1,"ACCEPTED","OPEN")</f>
        <v>OPEN</v>
      </c>
    </row>
    <row r="165" customFormat="false" ht="15" hidden="false" customHeight="false" outlineLevel="0" collapsed="false">
      <c r="A165" s="19" t="str">
        <f aca="false">"PKT-"&amp;B165&amp;"-SAFETY"</f>
        <v>PKT-RIG-CT-REC-SAFETY</v>
      </c>
      <c r="B165" s="19" t="str">
        <f aca="false">'Object Crosswalk'!A38</f>
        <v>RIG-CT-REC</v>
      </c>
      <c r="C165" s="19" t="str">
        <f aca="false">'Object Crosswalk'!B38</f>
        <v>Root-native rig</v>
      </c>
      <c r="D165" s="19" t="str">
        <f aca="false">'Object Crosswalk'!D38</f>
        <v>MS-CT</v>
      </c>
      <c r="E165" s="19" t="str">
        <f aca="false">'Object Crosswalk'!E38</f>
        <v>CT-C</v>
      </c>
      <c r="F165" s="19" t="str">
        <f aca="false">'Object Crosswalk'!F38</f>
        <v>RECONSTRUCTION</v>
      </c>
      <c r="G165" s="9" t="s">
        <v>730</v>
      </c>
      <c r="H165" s="11" t="s">
        <v>58</v>
      </c>
      <c r="I165" s="32" t="n">
        <f aca="false">0</f>
        <v>0</v>
      </c>
      <c r="J165" s="11" t="s">
        <v>576</v>
      </c>
      <c r="K165" s="32" t="str">
        <f aca="false">IF(I165=1,"ACCEPTED","OPEN")</f>
        <v>OPEN</v>
      </c>
    </row>
    <row r="166" customFormat="false" ht="15" hidden="false" customHeight="false" outlineLevel="0" collapsed="false">
      <c r="A166" s="19" t="str">
        <f aca="false">"PKT-"&amp;B166&amp;"-RECONSTRUCTION"</f>
        <v>PKT-RIG-CT-REC-RECONSTRUCTION</v>
      </c>
      <c r="B166" s="19" t="str">
        <f aca="false">'Object Crosswalk'!A38</f>
        <v>RIG-CT-REC</v>
      </c>
      <c r="C166" s="19" t="str">
        <f aca="false">'Object Crosswalk'!B38</f>
        <v>Root-native rig</v>
      </c>
      <c r="D166" s="19" t="str">
        <f aca="false">'Object Crosswalk'!D38</f>
        <v>MS-CT</v>
      </c>
      <c r="E166" s="19" t="str">
        <f aca="false">'Object Crosswalk'!E38</f>
        <v>CT-C</v>
      </c>
      <c r="F166" s="19" t="str">
        <f aca="false">'Object Crosswalk'!F38</f>
        <v>RECONSTRUCTION</v>
      </c>
      <c r="G166" s="9" t="s">
        <v>341</v>
      </c>
      <c r="H166" s="11" t="s">
        <v>58</v>
      </c>
      <c r="I166" s="32" t="n">
        <f aca="false">0</f>
        <v>0</v>
      </c>
      <c r="J166" s="11" t="s">
        <v>576</v>
      </c>
      <c r="K166" s="32" t="str">
        <f aca="false">IF(I166=1,"ACCEPTED","OPEN")</f>
        <v>OPEN</v>
      </c>
    </row>
    <row r="167" customFormat="false" ht="15" hidden="false" customHeight="false" outlineLevel="0" collapsed="false">
      <c r="A167" s="19" t="str">
        <f aca="false">"PKT-"&amp;B167&amp;"-CONFIGURATION"</f>
        <v>PKT-MTH-CT-REC-L1-CONFIGURATION</v>
      </c>
      <c r="B167" s="19" t="str">
        <f aca="false">'Object Crosswalk'!A39</f>
        <v>MTH-CT-REC-L1</v>
      </c>
      <c r="C167" s="19" t="str">
        <f aca="false">'Object Crosswalk'!B39</f>
        <v>Method lineage</v>
      </c>
      <c r="D167" s="19" t="str">
        <f aca="false">'Object Crosswalk'!D39</f>
        <v>MS-CT</v>
      </c>
      <c r="E167" s="19" t="str">
        <f aca="false">'Object Crosswalk'!E39</f>
        <v>CT-C</v>
      </c>
      <c r="F167" s="19" t="str">
        <f aca="false">'Object Crosswalk'!F39</f>
        <v>RECONSTRUCTION</v>
      </c>
      <c r="G167" s="9" t="s">
        <v>728</v>
      </c>
      <c r="H167" s="11" t="s">
        <v>58</v>
      </c>
      <c r="I167" s="32" t="n">
        <f aca="false">0</f>
        <v>0</v>
      </c>
      <c r="J167" s="11" t="s">
        <v>576</v>
      </c>
      <c r="K167" s="32" t="str">
        <f aca="false">IF(I167=1,"ACCEPTED","OPEN")</f>
        <v>OPEN</v>
      </c>
    </row>
    <row r="168" customFormat="false" ht="15" hidden="false" customHeight="false" outlineLevel="0" collapsed="false">
      <c r="A168" s="19" t="str">
        <f aca="false">"PKT-"&amp;B168&amp;"-CONTROL"</f>
        <v>PKT-MTH-CT-REC-L1-CONTROL</v>
      </c>
      <c r="B168" s="19" t="str">
        <f aca="false">'Object Crosswalk'!A39</f>
        <v>MTH-CT-REC-L1</v>
      </c>
      <c r="C168" s="19" t="str">
        <f aca="false">'Object Crosswalk'!B39</f>
        <v>Method lineage</v>
      </c>
      <c r="D168" s="19" t="str">
        <f aca="false">'Object Crosswalk'!D39</f>
        <v>MS-CT</v>
      </c>
      <c r="E168" s="19" t="str">
        <f aca="false">'Object Crosswalk'!E39</f>
        <v>CT-C</v>
      </c>
      <c r="F168" s="19" t="str">
        <f aca="false">'Object Crosswalk'!F39</f>
        <v>RECONSTRUCTION</v>
      </c>
      <c r="G168" s="9" t="s">
        <v>333</v>
      </c>
      <c r="H168" s="11" t="s">
        <v>58</v>
      </c>
      <c r="I168" s="32" t="n">
        <f aca="false">0</f>
        <v>0</v>
      </c>
      <c r="J168" s="11" t="s">
        <v>576</v>
      </c>
      <c r="K168" s="32" t="str">
        <f aca="false">IF(I168=1,"ACCEPTED","OPEN")</f>
        <v>OPEN</v>
      </c>
    </row>
    <row r="169" customFormat="false" ht="15" hidden="false" customHeight="false" outlineLevel="0" collapsed="false">
      <c r="A169" s="19" t="str">
        <f aca="false">"PKT-"&amp;B169&amp;"-METROLOGY"</f>
        <v>PKT-MTH-CT-REC-L1-METROLOGY</v>
      </c>
      <c r="B169" s="19" t="str">
        <f aca="false">'Object Crosswalk'!A39</f>
        <v>MTH-CT-REC-L1</v>
      </c>
      <c r="C169" s="19" t="str">
        <f aca="false">'Object Crosswalk'!B39</f>
        <v>Method lineage</v>
      </c>
      <c r="D169" s="19" t="str">
        <f aca="false">'Object Crosswalk'!D39</f>
        <v>MS-CT</v>
      </c>
      <c r="E169" s="19" t="str">
        <f aca="false">'Object Crosswalk'!E39</f>
        <v>CT-C</v>
      </c>
      <c r="F169" s="19" t="str">
        <f aca="false">'Object Crosswalk'!F39</f>
        <v>RECONSTRUCTION</v>
      </c>
      <c r="G169" s="9" t="s">
        <v>729</v>
      </c>
      <c r="H169" s="11" t="s">
        <v>58</v>
      </c>
      <c r="I169" s="32" t="n">
        <f aca="false">0</f>
        <v>0</v>
      </c>
      <c r="J169" s="11" t="s">
        <v>576</v>
      </c>
      <c r="K169" s="32" t="str">
        <f aca="false">IF(I169=1,"ACCEPTED","OPEN")</f>
        <v>OPEN</v>
      </c>
    </row>
    <row r="170" customFormat="false" ht="15" hidden="false" customHeight="false" outlineLevel="0" collapsed="false">
      <c r="A170" s="19" t="str">
        <f aca="false">"PKT-"&amp;B170&amp;"-SAFETY"</f>
        <v>PKT-MTH-CT-REC-L1-SAFETY</v>
      </c>
      <c r="B170" s="19" t="str">
        <f aca="false">'Object Crosswalk'!A39</f>
        <v>MTH-CT-REC-L1</v>
      </c>
      <c r="C170" s="19" t="str">
        <f aca="false">'Object Crosswalk'!B39</f>
        <v>Method lineage</v>
      </c>
      <c r="D170" s="19" t="str">
        <f aca="false">'Object Crosswalk'!D39</f>
        <v>MS-CT</v>
      </c>
      <c r="E170" s="19" t="str">
        <f aca="false">'Object Crosswalk'!E39</f>
        <v>CT-C</v>
      </c>
      <c r="F170" s="19" t="str">
        <f aca="false">'Object Crosswalk'!F39</f>
        <v>RECONSTRUCTION</v>
      </c>
      <c r="G170" s="9" t="s">
        <v>730</v>
      </c>
      <c r="H170" s="11" t="s">
        <v>58</v>
      </c>
      <c r="I170" s="32" t="n">
        <f aca="false">0</f>
        <v>0</v>
      </c>
      <c r="J170" s="11" t="s">
        <v>576</v>
      </c>
      <c r="K170" s="32" t="str">
        <f aca="false">IF(I170=1,"ACCEPTED","OPEN")</f>
        <v>OPEN</v>
      </c>
    </row>
    <row r="171" customFormat="false" ht="15" hidden="false" customHeight="false" outlineLevel="0" collapsed="false">
      <c r="A171" s="19" t="str">
        <f aca="false">"PKT-"&amp;B171&amp;"-RECONSTRUCTION"</f>
        <v>PKT-MTH-CT-REC-L1-RECONSTRUCTION</v>
      </c>
      <c r="B171" s="19" t="str">
        <f aca="false">'Object Crosswalk'!A39</f>
        <v>MTH-CT-REC-L1</v>
      </c>
      <c r="C171" s="19" t="str">
        <f aca="false">'Object Crosswalk'!B39</f>
        <v>Method lineage</v>
      </c>
      <c r="D171" s="19" t="str">
        <f aca="false">'Object Crosswalk'!D39</f>
        <v>MS-CT</v>
      </c>
      <c r="E171" s="19" t="str">
        <f aca="false">'Object Crosswalk'!E39</f>
        <v>CT-C</v>
      </c>
      <c r="F171" s="19" t="str">
        <f aca="false">'Object Crosswalk'!F39</f>
        <v>RECONSTRUCTION</v>
      </c>
      <c r="G171" s="9" t="s">
        <v>341</v>
      </c>
      <c r="H171" s="11" t="s">
        <v>58</v>
      </c>
      <c r="I171" s="32" t="n">
        <f aca="false">0</f>
        <v>0</v>
      </c>
      <c r="J171" s="11" t="s">
        <v>576</v>
      </c>
      <c r="K171" s="32" t="str">
        <f aca="false">IF(I171=1,"ACCEPTED","OPEN")</f>
        <v>OPEN</v>
      </c>
    </row>
    <row r="172" customFormat="false" ht="15" hidden="false" customHeight="false" outlineLevel="0" collapsed="false">
      <c r="A172" s="19" t="str">
        <f aca="false">"PKT-"&amp;B172&amp;"-CONFIGURATION"</f>
        <v>PKT-MTH-CT-REC-L2-CONFIGURATION</v>
      </c>
      <c r="B172" s="19" t="str">
        <f aca="false">'Object Crosswalk'!A40</f>
        <v>MTH-CT-REC-L2</v>
      </c>
      <c r="C172" s="19" t="str">
        <f aca="false">'Object Crosswalk'!B40</f>
        <v>Method lineage</v>
      </c>
      <c r="D172" s="19" t="str">
        <f aca="false">'Object Crosswalk'!D40</f>
        <v>MS-CT</v>
      </c>
      <c r="E172" s="19" t="str">
        <f aca="false">'Object Crosswalk'!E40</f>
        <v>CT-C</v>
      </c>
      <c r="F172" s="19" t="str">
        <f aca="false">'Object Crosswalk'!F40</f>
        <v>RECONSTRUCTION</v>
      </c>
      <c r="G172" s="9" t="s">
        <v>728</v>
      </c>
      <c r="H172" s="11" t="s">
        <v>58</v>
      </c>
      <c r="I172" s="32" t="n">
        <f aca="false">0</f>
        <v>0</v>
      </c>
      <c r="J172" s="11" t="s">
        <v>576</v>
      </c>
      <c r="K172" s="32" t="str">
        <f aca="false">IF(I172=1,"ACCEPTED","OPEN")</f>
        <v>OPEN</v>
      </c>
    </row>
    <row r="173" customFormat="false" ht="15" hidden="false" customHeight="false" outlineLevel="0" collapsed="false">
      <c r="A173" s="19" t="str">
        <f aca="false">"PKT-"&amp;B173&amp;"-CONTROL"</f>
        <v>PKT-MTH-CT-REC-L2-CONTROL</v>
      </c>
      <c r="B173" s="19" t="str">
        <f aca="false">'Object Crosswalk'!A40</f>
        <v>MTH-CT-REC-L2</v>
      </c>
      <c r="C173" s="19" t="str">
        <f aca="false">'Object Crosswalk'!B40</f>
        <v>Method lineage</v>
      </c>
      <c r="D173" s="19" t="str">
        <f aca="false">'Object Crosswalk'!D40</f>
        <v>MS-CT</v>
      </c>
      <c r="E173" s="19" t="str">
        <f aca="false">'Object Crosswalk'!E40</f>
        <v>CT-C</v>
      </c>
      <c r="F173" s="19" t="str">
        <f aca="false">'Object Crosswalk'!F40</f>
        <v>RECONSTRUCTION</v>
      </c>
      <c r="G173" s="9" t="s">
        <v>333</v>
      </c>
      <c r="H173" s="11" t="s">
        <v>58</v>
      </c>
      <c r="I173" s="32" t="n">
        <f aca="false">0</f>
        <v>0</v>
      </c>
      <c r="J173" s="11" t="s">
        <v>576</v>
      </c>
      <c r="K173" s="32" t="str">
        <f aca="false">IF(I173=1,"ACCEPTED","OPEN")</f>
        <v>OPEN</v>
      </c>
    </row>
    <row r="174" customFormat="false" ht="15" hidden="false" customHeight="false" outlineLevel="0" collapsed="false">
      <c r="A174" s="19" t="str">
        <f aca="false">"PKT-"&amp;B174&amp;"-METROLOGY"</f>
        <v>PKT-MTH-CT-REC-L2-METROLOGY</v>
      </c>
      <c r="B174" s="19" t="str">
        <f aca="false">'Object Crosswalk'!A40</f>
        <v>MTH-CT-REC-L2</v>
      </c>
      <c r="C174" s="19" t="str">
        <f aca="false">'Object Crosswalk'!B40</f>
        <v>Method lineage</v>
      </c>
      <c r="D174" s="19" t="str">
        <f aca="false">'Object Crosswalk'!D40</f>
        <v>MS-CT</v>
      </c>
      <c r="E174" s="19" t="str">
        <f aca="false">'Object Crosswalk'!E40</f>
        <v>CT-C</v>
      </c>
      <c r="F174" s="19" t="str">
        <f aca="false">'Object Crosswalk'!F40</f>
        <v>RECONSTRUCTION</v>
      </c>
      <c r="G174" s="9" t="s">
        <v>729</v>
      </c>
      <c r="H174" s="11" t="s">
        <v>58</v>
      </c>
      <c r="I174" s="32" t="n">
        <f aca="false">0</f>
        <v>0</v>
      </c>
      <c r="J174" s="11" t="s">
        <v>576</v>
      </c>
      <c r="K174" s="32" t="str">
        <f aca="false">IF(I174=1,"ACCEPTED","OPEN")</f>
        <v>OPEN</v>
      </c>
    </row>
    <row r="175" customFormat="false" ht="15" hidden="false" customHeight="false" outlineLevel="0" collapsed="false">
      <c r="A175" s="19" t="str">
        <f aca="false">"PKT-"&amp;B175&amp;"-SAFETY"</f>
        <v>PKT-MTH-CT-REC-L2-SAFETY</v>
      </c>
      <c r="B175" s="19" t="str">
        <f aca="false">'Object Crosswalk'!A40</f>
        <v>MTH-CT-REC-L2</v>
      </c>
      <c r="C175" s="19" t="str">
        <f aca="false">'Object Crosswalk'!B40</f>
        <v>Method lineage</v>
      </c>
      <c r="D175" s="19" t="str">
        <f aca="false">'Object Crosswalk'!D40</f>
        <v>MS-CT</v>
      </c>
      <c r="E175" s="19" t="str">
        <f aca="false">'Object Crosswalk'!E40</f>
        <v>CT-C</v>
      </c>
      <c r="F175" s="19" t="str">
        <f aca="false">'Object Crosswalk'!F40</f>
        <v>RECONSTRUCTION</v>
      </c>
      <c r="G175" s="9" t="s">
        <v>730</v>
      </c>
      <c r="H175" s="11" t="s">
        <v>58</v>
      </c>
      <c r="I175" s="32" t="n">
        <f aca="false">0</f>
        <v>0</v>
      </c>
      <c r="J175" s="11" t="s">
        <v>576</v>
      </c>
      <c r="K175" s="32" t="str">
        <f aca="false">IF(I175=1,"ACCEPTED","OPEN")</f>
        <v>OPEN</v>
      </c>
    </row>
    <row r="176" customFormat="false" ht="15" hidden="false" customHeight="false" outlineLevel="0" collapsed="false">
      <c r="A176" s="19" t="str">
        <f aca="false">"PKT-"&amp;B176&amp;"-RECONSTRUCTION"</f>
        <v>PKT-MTH-CT-REC-L2-RECONSTRUCTION</v>
      </c>
      <c r="B176" s="19" t="str">
        <f aca="false">'Object Crosswalk'!A40</f>
        <v>MTH-CT-REC-L2</v>
      </c>
      <c r="C176" s="19" t="str">
        <f aca="false">'Object Crosswalk'!B40</f>
        <v>Method lineage</v>
      </c>
      <c r="D176" s="19" t="str">
        <f aca="false">'Object Crosswalk'!D40</f>
        <v>MS-CT</v>
      </c>
      <c r="E176" s="19" t="str">
        <f aca="false">'Object Crosswalk'!E40</f>
        <v>CT-C</v>
      </c>
      <c r="F176" s="19" t="str">
        <f aca="false">'Object Crosswalk'!F40</f>
        <v>RECONSTRUCTION</v>
      </c>
      <c r="G176" s="9" t="s">
        <v>341</v>
      </c>
      <c r="H176" s="11" t="s">
        <v>58</v>
      </c>
      <c r="I176" s="32" t="n">
        <f aca="false">0</f>
        <v>0</v>
      </c>
      <c r="J176" s="11" t="s">
        <v>576</v>
      </c>
      <c r="K176" s="32" t="str">
        <f aca="false">IF(I176=1,"ACCEPTED","OPEN")</f>
        <v>OPEN</v>
      </c>
    </row>
    <row r="177" customFormat="false" ht="15" hidden="false" customHeight="false" outlineLevel="0" collapsed="false">
      <c r="A177" s="19" t="str">
        <f aca="false">"PKT-"&amp;B177&amp;"-CONFIGURATION"</f>
        <v>PKT-REG-CT-REC-CONFIGURATION</v>
      </c>
      <c r="B177" s="19" t="str">
        <f aca="false">'Object Crosswalk'!A41</f>
        <v>REG-CT-REC</v>
      </c>
      <c r="C177" s="19" t="str">
        <f aca="false">'Object Crosswalk'!B41</f>
        <v>Regeneration tool</v>
      </c>
      <c r="D177" s="19" t="str">
        <f aca="false">'Object Crosswalk'!D41</f>
        <v>MS-CT</v>
      </c>
      <c r="E177" s="19" t="str">
        <f aca="false">'Object Crosswalk'!E41</f>
        <v>CT-C</v>
      </c>
      <c r="F177" s="19" t="str">
        <f aca="false">'Object Crosswalk'!F41</f>
        <v>RECONSTRUCTION</v>
      </c>
      <c r="G177" s="9" t="s">
        <v>728</v>
      </c>
      <c r="H177" s="11" t="s">
        <v>58</v>
      </c>
      <c r="I177" s="32" t="n">
        <f aca="false">0</f>
        <v>0</v>
      </c>
      <c r="J177" s="11" t="s">
        <v>576</v>
      </c>
      <c r="K177" s="32" t="str">
        <f aca="false">IF(I177=1,"ACCEPTED","OPEN")</f>
        <v>OPEN</v>
      </c>
    </row>
    <row r="178" customFormat="false" ht="15" hidden="false" customHeight="false" outlineLevel="0" collapsed="false">
      <c r="A178" s="19" t="str">
        <f aca="false">"PKT-"&amp;B178&amp;"-CONTROL"</f>
        <v>PKT-REG-CT-REC-CONTROL</v>
      </c>
      <c r="B178" s="19" t="str">
        <f aca="false">'Object Crosswalk'!A41</f>
        <v>REG-CT-REC</v>
      </c>
      <c r="C178" s="19" t="str">
        <f aca="false">'Object Crosswalk'!B41</f>
        <v>Regeneration tool</v>
      </c>
      <c r="D178" s="19" t="str">
        <f aca="false">'Object Crosswalk'!D41</f>
        <v>MS-CT</v>
      </c>
      <c r="E178" s="19" t="str">
        <f aca="false">'Object Crosswalk'!E41</f>
        <v>CT-C</v>
      </c>
      <c r="F178" s="19" t="str">
        <f aca="false">'Object Crosswalk'!F41</f>
        <v>RECONSTRUCTION</v>
      </c>
      <c r="G178" s="9" t="s">
        <v>333</v>
      </c>
      <c r="H178" s="11" t="s">
        <v>58</v>
      </c>
      <c r="I178" s="32" t="n">
        <f aca="false">0</f>
        <v>0</v>
      </c>
      <c r="J178" s="11" t="s">
        <v>576</v>
      </c>
      <c r="K178" s="32" t="str">
        <f aca="false">IF(I178=1,"ACCEPTED","OPEN")</f>
        <v>OPEN</v>
      </c>
    </row>
    <row r="179" customFormat="false" ht="15" hidden="false" customHeight="false" outlineLevel="0" collapsed="false">
      <c r="A179" s="19" t="str">
        <f aca="false">"PKT-"&amp;B179&amp;"-METROLOGY"</f>
        <v>PKT-REG-CT-REC-METROLOGY</v>
      </c>
      <c r="B179" s="19" t="str">
        <f aca="false">'Object Crosswalk'!A41</f>
        <v>REG-CT-REC</v>
      </c>
      <c r="C179" s="19" t="str">
        <f aca="false">'Object Crosswalk'!B41</f>
        <v>Regeneration tool</v>
      </c>
      <c r="D179" s="19" t="str">
        <f aca="false">'Object Crosswalk'!D41</f>
        <v>MS-CT</v>
      </c>
      <c r="E179" s="19" t="str">
        <f aca="false">'Object Crosswalk'!E41</f>
        <v>CT-C</v>
      </c>
      <c r="F179" s="19" t="str">
        <f aca="false">'Object Crosswalk'!F41</f>
        <v>RECONSTRUCTION</v>
      </c>
      <c r="G179" s="9" t="s">
        <v>729</v>
      </c>
      <c r="H179" s="11" t="s">
        <v>58</v>
      </c>
      <c r="I179" s="32" t="n">
        <f aca="false">0</f>
        <v>0</v>
      </c>
      <c r="J179" s="11" t="s">
        <v>576</v>
      </c>
      <c r="K179" s="32" t="str">
        <f aca="false">IF(I179=1,"ACCEPTED","OPEN")</f>
        <v>OPEN</v>
      </c>
    </row>
    <row r="180" customFormat="false" ht="15" hidden="false" customHeight="false" outlineLevel="0" collapsed="false">
      <c r="A180" s="19" t="str">
        <f aca="false">"PKT-"&amp;B180&amp;"-SAFETY"</f>
        <v>PKT-REG-CT-REC-SAFETY</v>
      </c>
      <c r="B180" s="19" t="str">
        <f aca="false">'Object Crosswalk'!A41</f>
        <v>REG-CT-REC</v>
      </c>
      <c r="C180" s="19" t="str">
        <f aca="false">'Object Crosswalk'!B41</f>
        <v>Regeneration tool</v>
      </c>
      <c r="D180" s="19" t="str">
        <f aca="false">'Object Crosswalk'!D41</f>
        <v>MS-CT</v>
      </c>
      <c r="E180" s="19" t="str">
        <f aca="false">'Object Crosswalk'!E41</f>
        <v>CT-C</v>
      </c>
      <c r="F180" s="19" t="str">
        <f aca="false">'Object Crosswalk'!F41</f>
        <v>RECONSTRUCTION</v>
      </c>
      <c r="G180" s="9" t="s">
        <v>730</v>
      </c>
      <c r="H180" s="11" t="s">
        <v>58</v>
      </c>
      <c r="I180" s="32" t="n">
        <f aca="false">0</f>
        <v>0</v>
      </c>
      <c r="J180" s="11" t="s">
        <v>576</v>
      </c>
      <c r="K180" s="32" t="str">
        <f aca="false">IF(I180=1,"ACCEPTED","OPEN")</f>
        <v>OPEN</v>
      </c>
    </row>
    <row r="181" customFormat="false" ht="15" hidden="false" customHeight="false" outlineLevel="0" collapsed="false">
      <c r="A181" s="19" t="str">
        <f aca="false">"PKT-"&amp;B181&amp;"-RECONSTRUCTION"</f>
        <v>PKT-REG-CT-REC-RECONSTRUCTION</v>
      </c>
      <c r="B181" s="19" t="str">
        <f aca="false">'Object Crosswalk'!A41</f>
        <v>REG-CT-REC</v>
      </c>
      <c r="C181" s="19" t="str">
        <f aca="false">'Object Crosswalk'!B41</f>
        <v>Regeneration tool</v>
      </c>
      <c r="D181" s="19" t="str">
        <f aca="false">'Object Crosswalk'!D41</f>
        <v>MS-CT</v>
      </c>
      <c r="E181" s="19" t="str">
        <f aca="false">'Object Crosswalk'!E41</f>
        <v>CT-C</v>
      </c>
      <c r="F181" s="19" t="str">
        <f aca="false">'Object Crosswalk'!F41</f>
        <v>RECONSTRUCTION</v>
      </c>
      <c r="G181" s="9" t="s">
        <v>341</v>
      </c>
      <c r="H181" s="11" t="s">
        <v>58</v>
      </c>
      <c r="I181" s="32" t="n">
        <f aca="false">0</f>
        <v>0</v>
      </c>
      <c r="J181" s="11" t="s">
        <v>576</v>
      </c>
      <c r="K181" s="32" t="str">
        <f aca="false">IF(I181=1,"ACCEPTED","OPEN")</f>
        <v>OPEN</v>
      </c>
    </row>
    <row r="182" customFormat="false" ht="15" hidden="false" customHeight="false" outlineLevel="0" collapsed="false">
      <c r="A182" s="19" t="str">
        <f aca="false">"PKT-"&amp;B182&amp;"-CONFIGURATION"</f>
        <v>PKT-INT-CT-REC-CONFIGURATION</v>
      </c>
      <c r="B182" s="19" t="str">
        <f aca="false">'Object Crosswalk'!A42</f>
        <v>INT-CT-REC</v>
      </c>
      <c r="C182" s="19" t="str">
        <f aca="false">'Object Crosswalk'!B42</f>
        <v>Station integration</v>
      </c>
      <c r="D182" s="19" t="str">
        <f aca="false">'Object Crosswalk'!D42</f>
        <v>MS-CT</v>
      </c>
      <c r="E182" s="19" t="str">
        <f aca="false">'Object Crosswalk'!E42</f>
        <v>CT-C</v>
      </c>
      <c r="F182" s="19" t="str">
        <f aca="false">'Object Crosswalk'!F42</f>
        <v>RECONSTRUCTION</v>
      </c>
      <c r="G182" s="9" t="s">
        <v>728</v>
      </c>
      <c r="H182" s="11" t="s">
        <v>58</v>
      </c>
      <c r="I182" s="32" t="n">
        <f aca="false">0</f>
        <v>0</v>
      </c>
      <c r="J182" s="11" t="s">
        <v>576</v>
      </c>
      <c r="K182" s="32" t="str">
        <f aca="false">IF(I182=1,"ACCEPTED","OPEN")</f>
        <v>OPEN</v>
      </c>
    </row>
    <row r="183" customFormat="false" ht="15" hidden="false" customHeight="false" outlineLevel="0" collapsed="false">
      <c r="A183" s="19" t="str">
        <f aca="false">"PKT-"&amp;B183&amp;"-CONTROL"</f>
        <v>PKT-INT-CT-REC-CONTROL</v>
      </c>
      <c r="B183" s="19" t="str">
        <f aca="false">'Object Crosswalk'!A42</f>
        <v>INT-CT-REC</v>
      </c>
      <c r="C183" s="19" t="str">
        <f aca="false">'Object Crosswalk'!B42</f>
        <v>Station integration</v>
      </c>
      <c r="D183" s="19" t="str">
        <f aca="false">'Object Crosswalk'!D42</f>
        <v>MS-CT</v>
      </c>
      <c r="E183" s="19" t="str">
        <f aca="false">'Object Crosswalk'!E42</f>
        <v>CT-C</v>
      </c>
      <c r="F183" s="19" t="str">
        <f aca="false">'Object Crosswalk'!F42</f>
        <v>RECONSTRUCTION</v>
      </c>
      <c r="G183" s="9" t="s">
        <v>333</v>
      </c>
      <c r="H183" s="11" t="s">
        <v>58</v>
      </c>
      <c r="I183" s="32" t="n">
        <f aca="false">0</f>
        <v>0</v>
      </c>
      <c r="J183" s="11" t="s">
        <v>576</v>
      </c>
      <c r="K183" s="32" t="str">
        <f aca="false">IF(I183=1,"ACCEPTED","OPEN")</f>
        <v>OPEN</v>
      </c>
    </row>
    <row r="184" customFormat="false" ht="15" hidden="false" customHeight="false" outlineLevel="0" collapsed="false">
      <c r="A184" s="19" t="str">
        <f aca="false">"PKT-"&amp;B184&amp;"-METROLOGY"</f>
        <v>PKT-INT-CT-REC-METROLOGY</v>
      </c>
      <c r="B184" s="19" t="str">
        <f aca="false">'Object Crosswalk'!A42</f>
        <v>INT-CT-REC</v>
      </c>
      <c r="C184" s="19" t="str">
        <f aca="false">'Object Crosswalk'!B42</f>
        <v>Station integration</v>
      </c>
      <c r="D184" s="19" t="str">
        <f aca="false">'Object Crosswalk'!D42</f>
        <v>MS-CT</v>
      </c>
      <c r="E184" s="19" t="str">
        <f aca="false">'Object Crosswalk'!E42</f>
        <v>CT-C</v>
      </c>
      <c r="F184" s="19" t="str">
        <f aca="false">'Object Crosswalk'!F42</f>
        <v>RECONSTRUCTION</v>
      </c>
      <c r="G184" s="9" t="s">
        <v>729</v>
      </c>
      <c r="H184" s="11" t="s">
        <v>58</v>
      </c>
      <c r="I184" s="32" t="n">
        <f aca="false">0</f>
        <v>0</v>
      </c>
      <c r="J184" s="11" t="s">
        <v>576</v>
      </c>
      <c r="K184" s="32" t="str">
        <f aca="false">IF(I184=1,"ACCEPTED","OPEN")</f>
        <v>OPEN</v>
      </c>
    </row>
    <row r="185" customFormat="false" ht="15" hidden="false" customHeight="false" outlineLevel="0" collapsed="false">
      <c r="A185" s="19" t="str">
        <f aca="false">"PKT-"&amp;B185&amp;"-SAFETY"</f>
        <v>PKT-INT-CT-REC-SAFETY</v>
      </c>
      <c r="B185" s="19" t="str">
        <f aca="false">'Object Crosswalk'!A42</f>
        <v>INT-CT-REC</v>
      </c>
      <c r="C185" s="19" t="str">
        <f aca="false">'Object Crosswalk'!B42</f>
        <v>Station integration</v>
      </c>
      <c r="D185" s="19" t="str">
        <f aca="false">'Object Crosswalk'!D42</f>
        <v>MS-CT</v>
      </c>
      <c r="E185" s="19" t="str">
        <f aca="false">'Object Crosswalk'!E42</f>
        <v>CT-C</v>
      </c>
      <c r="F185" s="19" t="str">
        <f aca="false">'Object Crosswalk'!F42</f>
        <v>RECONSTRUCTION</v>
      </c>
      <c r="G185" s="9" t="s">
        <v>730</v>
      </c>
      <c r="H185" s="11" t="s">
        <v>58</v>
      </c>
      <c r="I185" s="32" t="n">
        <f aca="false">0</f>
        <v>0</v>
      </c>
      <c r="J185" s="11" t="s">
        <v>576</v>
      </c>
      <c r="K185" s="32" t="str">
        <f aca="false">IF(I185=1,"ACCEPTED","OPEN")</f>
        <v>OPEN</v>
      </c>
    </row>
    <row r="186" customFormat="false" ht="15" hidden="false" customHeight="false" outlineLevel="0" collapsed="false">
      <c r="A186" s="19" t="str">
        <f aca="false">"PKT-"&amp;B186&amp;"-RECONSTRUCTION"</f>
        <v>PKT-INT-CT-REC-RECONSTRUCTION</v>
      </c>
      <c r="B186" s="19" t="str">
        <f aca="false">'Object Crosswalk'!A42</f>
        <v>INT-CT-REC</v>
      </c>
      <c r="C186" s="19" t="str">
        <f aca="false">'Object Crosswalk'!B42</f>
        <v>Station integration</v>
      </c>
      <c r="D186" s="19" t="str">
        <f aca="false">'Object Crosswalk'!D42</f>
        <v>MS-CT</v>
      </c>
      <c r="E186" s="19" t="str">
        <f aca="false">'Object Crosswalk'!E42</f>
        <v>CT-C</v>
      </c>
      <c r="F186" s="19" t="str">
        <f aca="false">'Object Crosswalk'!F42</f>
        <v>RECONSTRUCTION</v>
      </c>
      <c r="G186" s="9" t="s">
        <v>341</v>
      </c>
      <c r="H186" s="11" t="s">
        <v>58</v>
      </c>
      <c r="I186" s="32" t="n">
        <f aca="false">0</f>
        <v>0</v>
      </c>
      <c r="J186" s="11" t="s">
        <v>576</v>
      </c>
      <c r="K186" s="32" t="str">
        <f aca="false">IF(I186=1,"ACCEPTED","OPEN")</f>
        <v>OPEN</v>
      </c>
    </row>
    <row r="187" customFormat="false" ht="15" hidden="false" customHeight="false" outlineLevel="0" collapsed="false">
      <c r="A187" s="19" t="str">
        <f aca="false">"PKT-"&amp;B187&amp;"-CONFIGURATION"</f>
        <v>PKT-RIG-HC-CHA-CONFIGURATION</v>
      </c>
      <c r="B187" s="19" t="str">
        <f aca="false">'Object Crosswalk'!A43</f>
        <v>RIG-HC-CHA</v>
      </c>
      <c r="C187" s="19" t="str">
        <f aca="false">'Object Crosswalk'!B43</f>
        <v>Root-native rig</v>
      </c>
      <c r="D187" s="19" t="str">
        <f aca="false">'Object Crosswalk'!D43</f>
        <v>MS-HC</v>
      </c>
      <c r="E187" s="19" t="str">
        <f aca="false">'Object Crosswalk'!E43</f>
        <v>HC-A</v>
      </c>
      <c r="F187" s="19" t="str">
        <f aca="false">'Object Crosswalk'!F43</f>
        <v>CHALLENGE</v>
      </c>
      <c r="G187" s="9" t="s">
        <v>728</v>
      </c>
      <c r="H187" s="11" t="s">
        <v>58</v>
      </c>
      <c r="I187" s="32" t="n">
        <f aca="false">0</f>
        <v>0</v>
      </c>
      <c r="J187" s="11" t="s">
        <v>576</v>
      </c>
      <c r="K187" s="32" t="str">
        <f aca="false">IF(I187=1,"ACCEPTED","OPEN")</f>
        <v>OPEN</v>
      </c>
    </row>
    <row r="188" customFormat="false" ht="15" hidden="false" customHeight="false" outlineLevel="0" collapsed="false">
      <c r="A188" s="19" t="str">
        <f aca="false">"PKT-"&amp;B188&amp;"-CONTROL"</f>
        <v>PKT-RIG-HC-CHA-CONTROL</v>
      </c>
      <c r="B188" s="19" t="str">
        <f aca="false">'Object Crosswalk'!A43</f>
        <v>RIG-HC-CHA</v>
      </c>
      <c r="C188" s="19" t="str">
        <f aca="false">'Object Crosswalk'!B43</f>
        <v>Root-native rig</v>
      </c>
      <c r="D188" s="19" t="str">
        <f aca="false">'Object Crosswalk'!D43</f>
        <v>MS-HC</v>
      </c>
      <c r="E188" s="19" t="str">
        <f aca="false">'Object Crosswalk'!E43</f>
        <v>HC-A</v>
      </c>
      <c r="F188" s="19" t="str">
        <f aca="false">'Object Crosswalk'!F43</f>
        <v>CHALLENGE</v>
      </c>
      <c r="G188" s="9" t="s">
        <v>333</v>
      </c>
      <c r="H188" s="11" t="s">
        <v>58</v>
      </c>
      <c r="I188" s="32" t="n">
        <f aca="false">0</f>
        <v>0</v>
      </c>
      <c r="J188" s="11" t="s">
        <v>576</v>
      </c>
      <c r="K188" s="32" t="str">
        <f aca="false">IF(I188=1,"ACCEPTED","OPEN")</f>
        <v>OPEN</v>
      </c>
    </row>
    <row r="189" customFormat="false" ht="15" hidden="false" customHeight="false" outlineLevel="0" collapsed="false">
      <c r="A189" s="19" t="str">
        <f aca="false">"PKT-"&amp;B189&amp;"-METROLOGY"</f>
        <v>PKT-RIG-HC-CHA-METROLOGY</v>
      </c>
      <c r="B189" s="19" t="str">
        <f aca="false">'Object Crosswalk'!A43</f>
        <v>RIG-HC-CHA</v>
      </c>
      <c r="C189" s="19" t="str">
        <f aca="false">'Object Crosswalk'!B43</f>
        <v>Root-native rig</v>
      </c>
      <c r="D189" s="19" t="str">
        <f aca="false">'Object Crosswalk'!D43</f>
        <v>MS-HC</v>
      </c>
      <c r="E189" s="19" t="str">
        <f aca="false">'Object Crosswalk'!E43</f>
        <v>HC-A</v>
      </c>
      <c r="F189" s="19" t="str">
        <f aca="false">'Object Crosswalk'!F43</f>
        <v>CHALLENGE</v>
      </c>
      <c r="G189" s="9" t="s">
        <v>729</v>
      </c>
      <c r="H189" s="11" t="s">
        <v>58</v>
      </c>
      <c r="I189" s="32" t="n">
        <f aca="false">0</f>
        <v>0</v>
      </c>
      <c r="J189" s="11" t="s">
        <v>576</v>
      </c>
      <c r="K189" s="32" t="str">
        <f aca="false">IF(I189=1,"ACCEPTED","OPEN")</f>
        <v>OPEN</v>
      </c>
    </row>
    <row r="190" customFormat="false" ht="15" hidden="false" customHeight="false" outlineLevel="0" collapsed="false">
      <c r="A190" s="19" t="str">
        <f aca="false">"PKT-"&amp;B190&amp;"-SAFETY"</f>
        <v>PKT-RIG-HC-CHA-SAFETY</v>
      </c>
      <c r="B190" s="19" t="str">
        <f aca="false">'Object Crosswalk'!A43</f>
        <v>RIG-HC-CHA</v>
      </c>
      <c r="C190" s="19" t="str">
        <f aca="false">'Object Crosswalk'!B43</f>
        <v>Root-native rig</v>
      </c>
      <c r="D190" s="19" t="str">
        <f aca="false">'Object Crosswalk'!D43</f>
        <v>MS-HC</v>
      </c>
      <c r="E190" s="19" t="str">
        <f aca="false">'Object Crosswalk'!E43</f>
        <v>HC-A</v>
      </c>
      <c r="F190" s="19" t="str">
        <f aca="false">'Object Crosswalk'!F43</f>
        <v>CHALLENGE</v>
      </c>
      <c r="G190" s="9" t="s">
        <v>730</v>
      </c>
      <c r="H190" s="11" t="s">
        <v>58</v>
      </c>
      <c r="I190" s="32" t="n">
        <f aca="false">0</f>
        <v>0</v>
      </c>
      <c r="J190" s="11" t="s">
        <v>576</v>
      </c>
      <c r="K190" s="32" t="str">
        <f aca="false">IF(I190=1,"ACCEPTED","OPEN")</f>
        <v>OPEN</v>
      </c>
    </row>
    <row r="191" customFormat="false" ht="15" hidden="false" customHeight="false" outlineLevel="0" collapsed="false">
      <c r="A191" s="19" t="str">
        <f aca="false">"PKT-"&amp;B191&amp;"-RECONSTRUCTION"</f>
        <v>PKT-RIG-HC-CHA-RECONSTRUCTION</v>
      </c>
      <c r="B191" s="19" t="str">
        <f aca="false">'Object Crosswalk'!A43</f>
        <v>RIG-HC-CHA</v>
      </c>
      <c r="C191" s="19" t="str">
        <f aca="false">'Object Crosswalk'!B43</f>
        <v>Root-native rig</v>
      </c>
      <c r="D191" s="19" t="str">
        <f aca="false">'Object Crosswalk'!D43</f>
        <v>MS-HC</v>
      </c>
      <c r="E191" s="19" t="str">
        <f aca="false">'Object Crosswalk'!E43</f>
        <v>HC-A</v>
      </c>
      <c r="F191" s="19" t="str">
        <f aca="false">'Object Crosswalk'!F43</f>
        <v>CHALLENGE</v>
      </c>
      <c r="G191" s="9" t="s">
        <v>341</v>
      </c>
      <c r="H191" s="11" t="s">
        <v>58</v>
      </c>
      <c r="I191" s="32" t="n">
        <f aca="false">0</f>
        <v>0</v>
      </c>
      <c r="J191" s="11" t="s">
        <v>576</v>
      </c>
      <c r="K191" s="32" t="str">
        <f aca="false">IF(I191=1,"ACCEPTED","OPEN")</f>
        <v>OPEN</v>
      </c>
    </row>
    <row r="192" customFormat="false" ht="15" hidden="false" customHeight="false" outlineLevel="0" collapsed="false">
      <c r="A192" s="19" t="str">
        <f aca="false">"PKT-"&amp;B192&amp;"-CONFIGURATION"</f>
        <v>PKT-MTH-HC-CHA-L1-CONFIGURATION</v>
      </c>
      <c r="B192" s="19" t="str">
        <f aca="false">'Object Crosswalk'!A44</f>
        <v>MTH-HC-CHA-L1</v>
      </c>
      <c r="C192" s="19" t="str">
        <f aca="false">'Object Crosswalk'!B44</f>
        <v>Method lineage</v>
      </c>
      <c r="D192" s="19" t="str">
        <f aca="false">'Object Crosswalk'!D44</f>
        <v>MS-HC</v>
      </c>
      <c r="E192" s="19" t="str">
        <f aca="false">'Object Crosswalk'!E44</f>
        <v>HC-A</v>
      </c>
      <c r="F192" s="19" t="str">
        <f aca="false">'Object Crosswalk'!F44</f>
        <v>CHALLENGE</v>
      </c>
      <c r="G192" s="9" t="s">
        <v>728</v>
      </c>
      <c r="H192" s="11" t="s">
        <v>58</v>
      </c>
      <c r="I192" s="32" t="n">
        <f aca="false">0</f>
        <v>0</v>
      </c>
      <c r="J192" s="11" t="s">
        <v>576</v>
      </c>
      <c r="K192" s="32" t="str">
        <f aca="false">IF(I192=1,"ACCEPTED","OPEN")</f>
        <v>OPEN</v>
      </c>
    </row>
    <row r="193" customFormat="false" ht="15" hidden="false" customHeight="false" outlineLevel="0" collapsed="false">
      <c r="A193" s="19" t="str">
        <f aca="false">"PKT-"&amp;B193&amp;"-CONTROL"</f>
        <v>PKT-MTH-HC-CHA-L1-CONTROL</v>
      </c>
      <c r="B193" s="19" t="str">
        <f aca="false">'Object Crosswalk'!A44</f>
        <v>MTH-HC-CHA-L1</v>
      </c>
      <c r="C193" s="19" t="str">
        <f aca="false">'Object Crosswalk'!B44</f>
        <v>Method lineage</v>
      </c>
      <c r="D193" s="19" t="str">
        <f aca="false">'Object Crosswalk'!D44</f>
        <v>MS-HC</v>
      </c>
      <c r="E193" s="19" t="str">
        <f aca="false">'Object Crosswalk'!E44</f>
        <v>HC-A</v>
      </c>
      <c r="F193" s="19" t="str">
        <f aca="false">'Object Crosswalk'!F44</f>
        <v>CHALLENGE</v>
      </c>
      <c r="G193" s="9" t="s">
        <v>333</v>
      </c>
      <c r="H193" s="11" t="s">
        <v>58</v>
      </c>
      <c r="I193" s="32" t="n">
        <f aca="false">0</f>
        <v>0</v>
      </c>
      <c r="J193" s="11" t="s">
        <v>576</v>
      </c>
      <c r="K193" s="32" t="str">
        <f aca="false">IF(I193=1,"ACCEPTED","OPEN")</f>
        <v>OPEN</v>
      </c>
    </row>
    <row r="194" customFormat="false" ht="15" hidden="false" customHeight="false" outlineLevel="0" collapsed="false">
      <c r="A194" s="19" t="str">
        <f aca="false">"PKT-"&amp;B194&amp;"-METROLOGY"</f>
        <v>PKT-MTH-HC-CHA-L1-METROLOGY</v>
      </c>
      <c r="B194" s="19" t="str">
        <f aca="false">'Object Crosswalk'!A44</f>
        <v>MTH-HC-CHA-L1</v>
      </c>
      <c r="C194" s="19" t="str">
        <f aca="false">'Object Crosswalk'!B44</f>
        <v>Method lineage</v>
      </c>
      <c r="D194" s="19" t="str">
        <f aca="false">'Object Crosswalk'!D44</f>
        <v>MS-HC</v>
      </c>
      <c r="E194" s="19" t="str">
        <f aca="false">'Object Crosswalk'!E44</f>
        <v>HC-A</v>
      </c>
      <c r="F194" s="19" t="str">
        <f aca="false">'Object Crosswalk'!F44</f>
        <v>CHALLENGE</v>
      </c>
      <c r="G194" s="9" t="s">
        <v>729</v>
      </c>
      <c r="H194" s="11" t="s">
        <v>58</v>
      </c>
      <c r="I194" s="32" t="n">
        <f aca="false">0</f>
        <v>0</v>
      </c>
      <c r="J194" s="11" t="s">
        <v>576</v>
      </c>
      <c r="K194" s="32" t="str">
        <f aca="false">IF(I194=1,"ACCEPTED","OPEN")</f>
        <v>OPEN</v>
      </c>
    </row>
    <row r="195" customFormat="false" ht="15" hidden="false" customHeight="false" outlineLevel="0" collapsed="false">
      <c r="A195" s="19" t="str">
        <f aca="false">"PKT-"&amp;B195&amp;"-SAFETY"</f>
        <v>PKT-MTH-HC-CHA-L1-SAFETY</v>
      </c>
      <c r="B195" s="19" t="str">
        <f aca="false">'Object Crosswalk'!A44</f>
        <v>MTH-HC-CHA-L1</v>
      </c>
      <c r="C195" s="19" t="str">
        <f aca="false">'Object Crosswalk'!B44</f>
        <v>Method lineage</v>
      </c>
      <c r="D195" s="19" t="str">
        <f aca="false">'Object Crosswalk'!D44</f>
        <v>MS-HC</v>
      </c>
      <c r="E195" s="19" t="str">
        <f aca="false">'Object Crosswalk'!E44</f>
        <v>HC-A</v>
      </c>
      <c r="F195" s="19" t="str">
        <f aca="false">'Object Crosswalk'!F44</f>
        <v>CHALLENGE</v>
      </c>
      <c r="G195" s="9" t="s">
        <v>730</v>
      </c>
      <c r="H195" s="11" t="s">
        <v>58</v>
      </c>
      <c r="I195" s="32" t="n">
        <f aca="false">0</f>
        <v>0</v>
      </c>
      <c r="J195" s="11" t="s">
        <v>576</v>
      </c>
      <c r="K195" s="32" t="str">
        <f aca="false">IF(I195=1,"ACCEPTED","OPEN")</f>
        <v>OPEN</v>
      </c>
    </row>
    <row r="196" customFormat="false" ht="15" hidden="false" customHeight="false" outlineLevel="0" collapsed="false">
      <c r="A196" s="19" t="str">
        <f aca="false">"PKT-"&amp;B196&amp;"-RECONSTRUCTION"</f>
        <v>PKT-MTH-HC-CHA-L1-RECONSTRUCTION</v>
      </c>
      <c r="B196" s="19" t="str">
        <f aca="false">'Object Crosswalk'!A44</f>
        <v>MTH-HC-CHA-L1</v>
      </c>
      <c r="C196" s="19" t="str">
        <f aca="false">'Object Crosswalk'!B44</f>
        <v>Method lineage</v>
      </c>
      <c r="D196" s="19" t="str">
        <f aca="false">'Object Crosswalk'!D44</f>
        <v>MS-HC</v>
      </c>
      <c r="E196" s="19" t="str">
        <f aca="false">'Object Crosswalk'!E44</f>
        <v>HC-A</v>
      </c>
      <c r="F196" s="19" t="str">
        <f aca="false">'Object Crosswalk'!F44</f>
        <v>CHALLENGE</v>
      </c>
      <c r="G196" s="9" t="s">
        <v>341</v>
      </c>
      <c r="H196" s="11" t="s">
        <v>58</v>
      </c>
      <c r="I196" s="32" t="n">
        <f aca="false">0</f>
        <v>0</v>
      </c>
      <c r="J196" s="11" t="s">
        <v>576</v>
      </c>
      <c r="K196" s="32" t="str">
        <f aca="false">IF(I196=1,"ACCEPTED","OPEN")</f>
        <v>OPEN</v>
      </c>
    </row>
    <row r="197" customFormat="false" ht="15" hidden="false" customHeight="false" outlineLevel="0" collapsed="false">
      <c r="A197" s="19" t="str">
        <f aca="false">"PKT-"&amp;B197&amp;"-CONFIGURATION"</f>
        <v>PKT-MTH-HC-CHA-L2-CONFIGURATION</v>
      </c>
      <c r="B197" s="19" t="str">
        <f aca="false">'Object Crosswalk'!A45</f>
        <v>MTH-HC-CHA-L2</v>
      </c>
      <c r="C197" s="19" t="str">
        <f aca="false">'Object Crosswalk'!B45</f>
        <v>Method lineage</v>
      </c>
      <c r="D197" s="19" t="str">
        <f aca="false">'Object Crosswalk'!D45</f>
        <v>MS-HC</v>
      </c>
      <c r="E197" s="19" t="str">
        <f aca="false">'Object Crosswalk'!E45</f>
        <v>HC-A</v>
      </c>
      <c r="F197" s="19" t="str">
        <f aca="false">'Object Crosswalk'!F45</f>
        <v>CHALLENGE</v>
      </c>
      <c r="G197" s="9" t="s">
        <v>728</v>
      </c>
      <c r="H197" s="11" t="s">
        <v>58</v>
      </c>
      <c r="I197" s="32" t="n">
        <f aca="false">0</f>
        <v>0</v>
      </c>
      <c r="J197" s="11" t="s">
        <v>576</v>
      </c>
      <c r="K197" s="32" t="str">
        <f aca="false">IF(I197=1,"ACCEPTED","OPEN")</f>
        <v>OPEN</v>
      </c>
    </row>
    <row r="198" customFormat="false" ht="15" hidden="false" customHeight="false" outlineLevel="0" collapsed="false">
      <c r="A198" s="19" t="str">
        <f aca="false">"PKT-"&amp;B198&amp;"-CONTROL"</f>
        <v>PKT-MTH-HC-CHA-L2-CONTROL</v>
      </c>
      <c r="B198" s="19" t="str">
        <f aca="false">'Object Crosswalk'!A45</f>
        <v>MTH-HC-CHA-L2</v>
      </c>
      <c r="C198" s="19" t="str">
        <f aca="false">'Object Crosswalk'!B45</f>
        <v>Method lineage</v>
      </c>
      <c r="D198" s="19" t="str">
        <f aca="false">'Object Crosswalk'!D45</f>
        <v>MS-HC</v>
      </c>
      <c r="E198" s="19" t="str">
        <f aca="false">'Object Crosswalk'!E45</f>
        <v>HC-A</v>
      </c>
      <c r="F198" s="19" t="str">
        <f aca="false">'Object Crosswalk'!F45</f>
        <v>CHALLENGE</v>
      </c>
      <c r="G198" s="9" t="s">
        <v>333</v>
      </c>
      <c r="H198" s="11" t="s">
        <v>58</v>
      </c>
      <c r="I198" s="32" t="n">
        <f aca="false">0</f>
        <v>0</v>
      </c>
      <c r="J198" s="11" t="s">
        <v>576</v>
      </c>
      <c r="K198" s="32" t="str">
        <f aca="false">IF(I198=1,"ACCEPTED","OPEN")</f>
        <v>OPEN</v>
      </c>
    </row>
    <row r="199" customFormat="false" ht="15" hidden="false" customHeight="false" outlineLevel="0" collapsed="false">
      <c r="A199" s="19" t="str">
        <f aca="false">"PKT-"&amp;B199&amp;"-METROLOGY"</f>
        <v>PKT-MTH-HC-CHA-L2-METROLOGY</v>
      </c>
      <c r="B199" s="19" t="str">
        <f aca="false">'Object Crosswalk'!A45</f>
        <v>MTH-HC-CHA-L2</v>
      </c>
      <c r="C199" s="19" t="str">
        <f aca="false">'Object Crosswalk'!B45</f>
        <v>Method lineage</v>
      </c>
      <c r="D199" s="19" t="str">
        <f aca="false">'Object Crosswalk'!D45</f>
        <v>MS-HC</v>
      </c>
      <c r="E199" s="19" t="str">
        <f aca="false">'Object Crosswalk'!E45</f>
        <v>HC-A</v>
      </c>
      <c r="F199" s="19" t="str">
        <f aca="false">'Object Crosswalk'!F45</f>
        <v>CHALLENGE</v>
      </c>
      <c r="G199" s="9" t="s">
        <v>729</v>
      </c>
      <c r="H199" s="11" t="s">
        <v>58</v>
      </c>
      <c r="I199" s="32" t="n">
        <f aca="false">0</f>
        <v>0</v>
      </c>
      <c r="J199" s="11" t="s">
        <v>576</v>
      </c>
      <c r="K199" s="32" t="str">
        <f aca="false">IF(I199=1,"ACCEPTED","OPEN")</f>
        <v>OPEN</v>
      </c>
    </row>
    <row r="200" customFormat="false" ht="15" hidden="false" customHeight="false" outlineLevel="0" collapsed="false">
      <c r="A200" s="19" t="str">
        <f aca="false">"PKT-"&amp;B200&amp;"-SAFETY"</f>
        <v>PKT-MTH-HC-CHA-L2-SAFETY</v>
      </c>
      <c r="B200" s="19" t="str">
        <f aca="false">'Object Crosswalk'!A45</f>
        <v>MTH-HC-CHA-L2</v>
      </c>
      <c r="C200" s="19" t="str">
        <f aca="false">'Object Crosswalk'!B45</f>
        <v>Method lineage</v>
      </c>
      <c r="D200" s="19" t="str">
        <f aca="false">'Object Crosswalk'!D45</f>
        <v>MS-HC</v>
      </c>
      <c r="E200" s="19" t="str">
        <f aca="false">'Object Crosswalk'!E45</f>
        <v>HC-A</v>
      </c>
      <c r="F200" s="19" t="str">
        <f aca="false">'Object Crosswalk'!F45</f>
        <v>CHALLENGE</v>
      </c>
      <c r="G200" s="9" t="s">
        <v>730</v>
      </c>
      <c r="H200" s="11" t="s">
        <v>58</v>
      </c>
      <c r="I200" s="32" t="n">
        <f aca="false">0</f>
        <v>0</v>
      </c>
      <c r="J200" s="11" t="s">
        <v>576</v>
      </c>
      <c r="K200" s="32" t="str">
        <f aca="false">IF(I200=1,"ACCEPTED","OPEN")</f>
        <v>OPEN</v>
      </c>
    </row>
    <row r="201" customFormat="false" ht="15" hidden="false" customHeight="false" outlineLevel="0" collapsed="false">
      <c r="A201" s="19" t="str">
        <f aca="false">"PKT-"&amp;B201&amp;"-RECONSTRUCTION"</f>
        <v>PKT-MTH-HC-CHA-L2-RECONSTRUCTION</v>
      </c>
      <c r="B201" s="19" t="str">
        <f aca="false">'Object Crosswalk'!A45</f>
        <v>MTH-HC-CHA-L2</v>
      </c>
      <c r="C201" s="19" t="str">
        <f aca="false">'Object Crosswalk'!B45</f>
        <v>Method lineage</v>
      </c>
      <c r="D201" s="19" t="str">
        <f aca="false">'Object Crosswalk'!D45</f>
        <v>MS-HC</v>
      </c>
      <c r="E201" s="19" t="str">
        <f aca="false">'Object Crosswalk'!E45</f>
        <v>HC-A</v>
      </c>
      <c r="F201" s="19" t="str">
        <f aca="false">'Object Crosswalk'!F45</f>
        <v>CHALLENGE</v>
      </c>
      <c r="G201" s="9" t="s">
        <v>341</v>
      </c>
      <c r="H201" s="11" t="s">
        <v>58</v>
      </c>
      <c r="I201" s="32" t="n">
        <f aca="false">0</f>
        <v>0</v>
      </c>
      <c r="J201" s="11" t="s">
        <v>576</v>
      </c>
      <c r="K201" s="32" t="str">
        <f aca="false">IF(I201=1,"ACCEPTED","OPEN")</f>
        <v>OPEN</v>
      </c>
    </row>
    <row r="202" customFormat="false" ht="15" hidden="false" customHeight="false" outlineLevel="0" collapsed="false">
      <c r="A202" s="19" t="str">
        <f aca="false">"PKT-"&amp;B202&amp;"-CONFIGURATION"</f>
        <v>PKT-REG-HC-CHA-CONFIGURATION</v>
      </c>
      <c r="B202" s="19" t="str">
        <f aca="false">'Object Crosswalk'!A46</f>
        <v>REG-HC-CHA</v>
      </c>
      <c r="C202" s="19" t="str">
        <f aca="false">'Object Crosswalk'!B46</f>
        <v>Regeneration tool</v>
      </c>
      <c r="D202" s="19" t="str">
        <f aca="false">'Object Crosswalk'!D46</f>
        <v>MS-HC</v>
      </c>
      <c r="E202" s="19" t="str">
        <f aca="false">'Object Crosswalk'!E46</f>
        <v>HC-A</v>
      </c>
      <c r="F202" s="19" t="str">
        <f aca="false">'Object Crosswalk'!F46</f>
        <v>CHALLENGE</v>
      </c>
      <c r="G202" s="9" t="s">
        <v>728</v>
      </c>
      <c r="H202" s="11" t="s">
        <v>58</v>
      </c>
      <c r="I202" s="32" t="n">
        <f aca="false">0</f>
        <v>0</v>
      </c>
      <c r="J202" s="11" t="s">
        <v>576</v>
      </c>
      <c r="K202" s="32" t="str">
        <f aca="false">IF(I202=1,"ACCEPTED","OPEN")</f>
        <v>OPEN</v>
      </c>
    </row>
    <row r="203" customFormat="false" ht="15" hidden="false" customHeight="false" outlineLevel="0" collapsed="false">
      <c r="A203" s="19" t="str">
        <f aca="false">"PKT-"&amp;B203&amp;"-CONTROL"</f>
        <v>PKT-REG-HC-CHA-CONTROL</v>
      </c>
      <c r="B203" s="19" t="str">
        <f aca="false">'Object Crosswalk'!A46</f>
        <v>REG-HC-CHA</v>
      </c>
      <c r="C203" s="19" t="str">
        <f aca="false">'Object Crosswalk'!B46</f>
        <v>Regeneration tool</v>
      </c>
      <c r="D203" s="19" t="str">
        <f aca="false">'Object Crosswalk'!D46</f>
        <v>MS-HC</v>
      </c>
      <c r="E203" s="19" t="str">
        <f aca="false">'Object Crosswalk'!E46</f>
        <v>HC-A</v>
      </c>
      <c r="F203" s="19" t="str">
        <f aca="false">'Object Crosswalk'!F46</f>
        <v>CHALLENGE</v>
      </c>
      <c r="G203" s="9" t="s">
        <v>333</v>
      </c>
      <c r="H203" s="11" t="s">
        <v>58</v>
      </c>
      <c r="I203" s="32" t="n">
        <f aca="false">0</f>
        <v>0</v>
      </c>
      <c r="J203" s="11" t="s">
        <v>576</v>
      </c>
      <c r="K203" s="32" t="str">
        <f aca="false">IF(I203=1,"ACCEPTED","OPEN")</f>
        <v>OPEN</v>
      </c>
    </row>
    <row r="204" customFormat="false" ht="15" hidden="false" customHeight="false" outlineLevel="0" collapsed="false">
      <c r="A204" s="19" t="str">
        <f aca="false">"PKT-"&amp;B204&amp;"-METROLOGY"</f>
        <v>PKT-REG-HC-CHA-METROLOGY</v>
      </c>
      <c r="B204" s="19" t="str">
        <f aca="false">'Object Crosswalk'!A46</f>
        <v>REG-HC-CHA</v>
      </c>
      <c r="C204" s="19" t="str">
        <f aca="false">'Object Crosswalk'!B46</f>
        <v>Regeneration tool</v>
      </c>
      <c r="D204" s="19" t="str">
        <f aca="false">'Object Crosswalk'!D46</f>
        <v>MS-HC</v>
      </c>
      <c r="E204" s="19" t="str">
        <f aca="false">'Object Crosswalk'!E46</f>
        <v>HC-A</v>
      </c>
      <c r="F204" s="19" t="str">
        <f aca="false">'Object Crosswalk'!F46</f>
        <v>CHALLENGE</v>
      </c>
      <c r="G204" s="9" t="s">
        <v>729</v>
      </c>
      <c r="H204" s="11" t="s">
        <v>58</v>
      </c>
      <c r="I204" s="32" t="n">
        <f aca="false">0</f>
        <v>0</v>
      </c>
      <c r="J204" s="11" t="s">
        <v>576</v>
      </c>
      <c r="K204" s="32" t="str">
        <f aca="false">IF(I204=1,"ACCEPTED","OPEN")</f>
        <v>OPEN</v>
      </c>
    </row>
    <row r="205" customFormat="false" ht="15" hidden="false" customHeight="false" outlineLevel="0" collapsed="false">
      <c r="A205" s="19" t="str">
        <f aca="false">"PKT-"&amp;B205&amp;"-SAFETY"</f>
        <v>PKT-REG-HC-CHA-SAFETY</v>
      </c>
      <c r="B205" s="19" t="str">
        <f aca="false">'Object Crosswalk'!A46</f>
        <v>REG-HC-CHA</v>
      </c>
      <c r="C205" s="19" t="str">
        <f aca="false">'Object Crosswalk'!B46</f>
        <v>Regeneration tool</v>
      </c>
      <c r="D205" s="19" t="str">
        <f aca="false">'Object Crosswalk'!D46</f>
        <v>MS-HC</v>
      </c>
      <c r="E205" s="19" t="str">
        <f aca="false">'Object Crosswalk'!E46</f>
        <v>HC-A</v>
      </c>
      <c r="F205" s="19" t="str">
        <f aca="false">'Object Crosswalk'!F46</f>
        <v>CHALLENGE</v>
      </c>
      <c r="G205" s="9" t="s">
        <v>730</v>
      </c>
      <c r="H205" s="11" t="s">
        <v>58</v>
      </c>
      <c r="I205" s="32" t="n">
        <f aca="false">0</f>
        <v>0</v>
      </c>
      <c r="J205" s="11" t="s">
        <v>576</v>
      </c>
      <c r="K205" s="32" t="str">
        <f aca="false">IF(I205=1,"ACCEPTED","OPEN")</f>
        <v>OPEN</v>
      </c>
    </row>
    <row r="206" customFormat="false" ht="15" hidden="false" customHeight="false" outlineLevel="0" collapsed="false">
      <c r="A206" s="19" t="str">
        <f aca="false">"PKT-"&amp;B206&amp;"-RECONSTRUCTION"</f>
        <v>PKT-REG-HC-CHA-RECONSTRUCTION</v>
      </c>
      <c r="B206" s="19" t="str">
        <f aca="false">'Object Crosswalk'!A46</f>
        <v>REG-HC-CHA</v>
      </c>
      <c r="C206" s="19" t="str">
        <f aca="false">'Object Crosswalk'!B46</f>
        <v>Regeneration tool</v>
      </c>
      <c r="D206" s="19" t="str">
        <f aca="false">'Object Crosswalk'!D46</f>
        <v>MS-HC</v>
      </c>
      <c r="E206" s="19" t="str">
        <f aca="false">'Object Crosswalk'!E46</f>
        <v>HC-A</v>
      </c>
      <c r="F206" s="19" t="str">
        <f aca="false">'Object Crosswalk'!F46</f>
        <v>CHALLENGE</v>
      </c>
      <c r="G206" s="9" t="s">
        <v>341</v>
      </c>
      <c r="H206" s="11" t="s">
        <v>58</v>
      </c>
      <c r="I206" s="32" t="n">
        <f aca="false">0</f>
        <v>0</v>
      </c>
      <c r="J206" s="11" t="s">
        <v>576</v>
      </c>
      <c r="K206" s="32" t="str">
        <f aca="false">IF(I206=1,"ACCEPTED","OPEN")</f>
        <v>OPEN</v>
      </c>
    </row>
    <row r="207" customFormat="false" ht="15" hidden="false" customHeight="false" outlineLevel="0" collapsed="false">
      <c r="A207" s="19" t="str">
        <f aca="false">"PKT-"&amp;B207&amp;"-CONFIGURATION"</f>
        <v>PKT-INT-HC-CHA-CONFIGURATION</v>
      </c>
      <c r="B207" s="19" t="str">
        <f aca="false">'Object Crosswalk'!A47</f>
        <v>INT-HC-CHA</v>
      </c>
      <c r="C207" s="19" t="str">
        <f aca="false">'Object Crosswalk'!B47</f>
        <v>Station integration</v>
      </c>
      <c r="D207" s="19" t="str">
        <f aca="false">'Object Crosswalk'!D47</f>
        <v>MS-HC</v>
      </c>
      <c r="E207" s="19" t="str">
        <f aca="false">'Object Crosswalk'!E47</f>
        <v>HC-A</v>
      </c>
      <c r="F207" s="19" t="str">
        <f aca="false">'Object Crosswalk'!F47</f>
        <v>CHALLENGE</v>
      </c>
      <c r="G207" s="9" t="s">
        <v>728</v>
      </c>
      <c r="H207" s="11" t="s">
        <v>58</v>
      </c>
      <c r="I207" s="32" t="n">
        <f aca="false">0</f>
        <v>0</v>
      </c>
      <c r="J207" s="11" t="s">
        <v>576</v>
      </c>
      <c r="K207" s="32" t="str">
        <f aca="false">IF(I207=1,"ACCEPTED","OPEN")</f>
        <v>OPEN</v>
      </c>
    </row>
    <row r="208" customFormat="false" ht="15" hidden="false" customHeight="false" outlineLevel="0" collapsed="false">
      <c r="A208" s="19" t="str">
        <f aca="false">"PKT-"&amp;B208&amp;"-CONTROL"</f>
        <v>PKT-INT-HC-CHA-CONTROL</v>
      </c>
      <c r="B208" s="19" t="str">
        <f aca="false">'Object Crosswalk'!A47</f>
        <v>INT-HC-CHA</v>
      </c>
      <c r="C208" s="19" t="str">
        <f aca="false">'Object Crosswalk'!B47</f>
        <v>Station integration</v>
      </c>
      <c r="D208" s="19" t="str">
        <f aca="false">'Object Crosswalk'!D47</f>
        <v>MS-HC</v>
      </c>
      <c r="E208" s="19" t="str">
        <f aca="false">'Object Crosswalk'!E47</f>
        <v>HC-A</v>
      </c>
      <c r="F208" s="19" t="str">
        <f aca="false">'Object Crosswalk'!F47</f>
        <v>CHALLENGE</v>
      </c>
      <c r="G208" s="9" t="s">
        <v>333</v>
      </c>
      <c r="H208" s="11" t="s">
        <v>58</v>
      </c>
      <c r="I208" s="32" t="n">
        <f aca="false">0</f>
        <v>0</v>
      </c>
      <c r="J208" s="11" t="s">
        <v>576</v>
      </c>
      <c r="K208" s="32" t="str">
        <f aca="false">IF(I208=1,"ACCEPTED","OPEN")</f>
        <v>OPEN</v>
      </c>
    </row>
    <row r="209" customFormat="false" ht="15" hidden="false" customHeight="false" outlineLevel="0" collapsed="false">
      <c r="A209" s="19" t="str">
        <f aca="false">"PKT-"&amp;B209&amp;"-METROLOGY"</f>
        <v>PKT-INT-HC-CHA-METROLOGY</v>
      </c>
      <c r="B209" s="19" t="str">
        <f aca="false">'Object Crosswalk'!A47</f>
        <v>INT-HC-CHA</v>
      </c>
      <c r="C209" s="19" t="str">
        <f aca="false">'Object Crosswalk'!B47</f>
        <v>Station integration</v>
      </c>
      <c r="D209" s="19" t="str">
        <f aca="false">'Object Crosswalk'!D47</f>
        <v>MS-HC</v>
      </c>
      <c r="E209" s="19" t="str">
        <f aca="false">'Object Crosswalk'!E47</f>
        <v>HC-A</v>
      </c>
      <c r="F209" s="19" t="str">
        <f aca="false">'Object Crosswalk'!F47</f>
        <v>CHALLENGE</v>
      </c>
      <c r="G209" s="9" t="s">
        <v>729</v>
      </c>
      <c r="H209" s="11" t="s">
        <v>58</v>
      </c>
      <c r="I209" s="32" t="n">
        <f aca="false">0</f>
        <v>0</v>
      </c>
      <c r="J209" s="11" t="s">
        <v>576</v>
      </c>
      <c r="K209" s="32" t="str">
        <f aca="false">IF(I209=1,"ACCEPTED","OPEN")</f>
        <v>OPEN</v>
      </c>
    </row>
    <row r="210" customFormat="false" ht="15" hidden="false" customHeight="false" outlineLevel="0" collapsed="false">
      <c r="A210" s="19" t="str">
        <f aca="false">"PKT-"&amp;B210&amp;"-SAFETY"</f>
        <v>PKT-INT-HC-CHA-SAFETY</v>
      </c>
      <c r="B210" s="19" t="str">
        <f aca="false">'Object Crosswalk'!A47</f>
        <v>INT-HC-CHA</v>
      </c>
      <c r="C210" s="19" t="str">
        <f aca="false">'Object Crosswalk'!B47</f>
        <v>Station integration</v>
      </c>
      <c r="D210" s="19" t="str">
        <f aca="false">'Object Crosswalk'!D47</f>
        <v>MS-HC</v>
      </c>
      <c r="E210" s="19" t="str">
        <f aca="false">'Object Crosswalk'!E47</f>
        <v>HC-A</v>
      </c>
      <c r="F210" s="19" t="str">
        <f aca="false">'Object Crosswalk'!F47</f>
        <v>CHALLENGE</v>
      </c>
      <c r="G210" s="9" t="s">
        <v>730</v>
      </c>
      <c r="H210" s="11" t="s">
        <v>58</v>
      </c>
      <c r="I210" s="32" t="n">
        <f aca="false">0</f>
        <v>0</v>
      </c>
      <c r="J210" s="11" t="s">
        <v>576</v>
      </c>
      <c r="K210" s="32" t="str">
        <f aca="false">IF(I210=1,"ACCEPTED","OPEN")</f>
        <v>OPEN</v>
      </c>
    </row>
    <row r="211" customFormat="false" ht="15" hidden="false" customHeight="false" outlineLevel="0" collapsed="false">
      <c r="A211" s="19" t="str">
        <f aca="false">"PKT-"&amp;B211&amp;"-RECONSTRUCTION"</f>
        <v>PKT-INT-HC-CHA-RECONSTRUCTION</v>
      </c>
      <c r="B211" s="19" t="str">
        <f aca="false">'Object Crosswalk'!A47</f>
        <v>INT-HC-CHA</v>
      </c>
      <c r="C211" s="19" t="str">
        <f aca="false">'Object Crosswalk'!B47</f>
        <v>Station integration</v>
      </c>
      <c r="D211" s="19" t="str">
        <f aca="false">'Object Crosswalk'!D47</f>
        <v>MS-HC</v>
      </c>
      <c r="E211" s="19" t="str">
        <f aca="false">'Object Crosswalk'!E47</f>
        <v>HC-A</v>
      </c>
      <c r="F211" s="19" t="str">
        <f aca="false">'Object Crosswalk'!F47</f>
        <v>CHALLENGE</v>
      </c>
      <c r="G211" s="9" t="s">
        <v>341</v>
      </c>
      <c r="H211" s="11" t="s">
        <v>58</v>
      </c>
      <c r="I211" s="32" t="n">
        <f aca="false">0</f>
        <v>0</v>
      </c>
      <c r="J211" s="11" t="s">
        <v>576</v>
      </c>
      <c r="K211" s="32" t="str">
        <f aca="false">IF(I211=1,"ACCEPTED","OPEN")</f>
        <v>OPEN</v>
      </c>
    </row>
    <row r="212" customFormat="false" ht="15" hidden="false" customHeight="false" outlineLevel="0" collapsed="false">
      <c r="A212" s="19" t="str">
        <f aca="false">"PKT-"&amp;B212&amp;"-CONFIGURATION"</f>
        <v>PKT-RIG-HC-CON-CONFIGURATION</v>
      </c>
      <c r="B212" s="19" t="str">
        <f aca="false">'Object Crosswalk'!A48</f>
        <v>RIG-HC-CON</v>
      </c>
      <c r="C212" s="19" t="str">
        <f aca="false">'Object Crosswalk'!B48</f>
        <v>Root-native rig</v>
      </c>
      <c r="D212" s="19" t="str">
        <f aca="false">'Object Crosswalk'!D48</f>
        <v>MS-HC</v>
      </c>
      <c r="E212" s="19" t="str">
        <f aca="false">'Object Crosswalk'!E48</f>
        <v>HC-A</v>
      </c>
      <c r="F212" s="19" t="str">
        <f aca="false">'Object Crosswalk'!F48</f>
        <v>CONTROL</v>
      </c>
      <c r="G212" s="9" t="s">
        <v>728</v>
      </c>
      <c r="H212" s="11" t="s">
        <v>58</v>
      </c>
      <c r="I212" s="32" t="n">
        <f aca="false">0</f>
        <v>0</v>
      </c>
      <c r="J212" s="11" t="s">
        <v>576</v>
      </c>
      <c r="K212" s="32" t="str">
        <f aca="false">IF(I212=1,"ACCEPTED","OPEN")</f>
        <v>OPEN</v>
      </c>
    </row>
    <row r="213" customFormat="false" ht="15" hidden="false" customHeight="false" outlineLevel="0" collapsed="false">
      <c r="A213" s="19" t="str">
        <f aca="false">"PKT-"&amp;B213&amp;"-CONTROL"</f>
        <v>PKT-RIG-HC-CON-CONTROL</v>
      </c>
      <c r="B213" s="19" t="str">
        <f aca="false">'Object Crosswalk'!A48</f>
        <v>RIG-HC-CON</v>
      </c>
      <c r="C213" s="19" t="str">
        <f aca="false">'Object Crosswalk'!B48</f>
        <v>Root-native rig</v>
      </c>
      <c r="D213" s="19" t="str">
        <f aca="false">'Object Crosswalk'!D48</f>
        <v>MS-HC</v>
      </c>
      <c r="E213" s="19" t="str">
        <f aca="false">'Object Crosswalk'!E48</f>
        <v>HC-A</v>
      </c>
      <c r="F213" s="19" t="str">
        <f aca="false">'Object Crosswalk'!F48</f>
        <v>CONTROL</v>
      </c>
      <c r="G213" s="9" t="s">
        <v>333</v>
      </c>
      <c r="H213" s="11" t="s">
        <v>58</v>
      </c>
      <c r="I213" s="32" t="n">
        <f aca="false">0</f>
        <v>0</v>
      </c>
      <c r="J213" s="11" t="s">
        <v>576</v>
      </c>
      <c r="K213" s="32" t="str">
        <f aca="false">IF(I213=1,"ACCEPTED","OPEN")</f>
        <v>OPEN</v>
      </c>
    </row>
    <row r="214" customFormat="false" ht="15" hidden="false" customHeight="false" outlineLevel="0" collapsed="false">
      <c r="A214" s="19" t="str">
        <f aca="false">"PKT-"&amp;B214&amp;"-METROLOGY"</f>
        <v>PKT-RIG-HC-CON-METROLOGY</v>
      </c>
      <c r="B214" s="19" t="str">
        <f aca="false">'Object Crosswalk'!A48</f>
        <v>RIG-HC-CON</v>
      </c>
      <c r="C214" s="19" t="str">
        <f aca="false">'Object Crosswalk'!B48</f>
        <v>Root-native rig</v>
      </c>
      <c r="D214" s="19" t="str">
        <f aca="false">'Object Crosswalk'!D48</f>
        <v>MS-HC</v>
      </c>
      <c r="E214" s="19" t="str">
        <f aca="false">'Object Crosswalk'!E48</f>
        <v>HC-A</v>
      </c>
      <c r="F214" s="19" t="str">
        <f aca="false">'Object Crosswalk'!F48</f>
        <v>CONTROL</v>
      </c>
      <c r="G214" s="9" t="s">
        <v>729</v>
      </c>
      <c r="H214" s="11" t="s">
        <v>58</v>
      </c>
      <c r="I214" s="32" t="n">
        <f aca="false">0</f>
        <v>0</v>
      </c>
      <c r="J214" s="11" t="s">
        <v>576</v>
      </c>
      <c r="K214" s="32" t="str">
        <f aca="false">IF(I214=1,"ACCEPTED","OPEN")</f>
        <v>OPEN</v>
      </c>
    </row>
    <row r="215" customFormat="false" ht="15" hidden="false" customHeight="false" outlineLevel="0" collapsed="false">
      <c r="A215" s="19" t="str">
        <f aca="false">"PKT-"&amp;B215&amp;"-SAFETY"</f>
        <v>PKT-RIG-HC-CON-SAFETY</v>
      </c>
      <c r="B215" s="19" t="str">
        <f aca="false">'Object Crosswalk'!A48</f>
        <v>RIG-HC-CON</v>
      </c>
      <c r="C215" s="19" t="str">
        <f aca="false">'Object Crosswalk'!B48</f>
        <v>Root-native rig</v>
      </c>
      <c r="D215" s="19" t="str">
        <f aca="false">'Object Crosswalk'!D48</f>
        <v>MS-HC</v>
      </c>
      <c r="E215" s="19" t="str">
        <f aca="false">'Object Crosswalk'!E48</f>
        <v>HC-A</v>
      </c>
      <c r="F215" s="19" t="str">
        <f aca="false">'Object Crosswalk'!F48</f>
        <v>CONTROL</v>
      </c>
      <c r="G215" s="9" t="s">
        <v>730</v>
      </c>
      <c r="H215" s="11" t="s">
        <v>58</v>
      </c>
      <c r="I215" s="32" t="n">
        <f aca="false">0</f>
        <v>0</v>
      </c>
      <c r="J215" s="11" t="s">
        <v>576</v>
      </c>
      <c r="K215" s="32" t="str">
        <f aca="false">IF(I215=1,"ACCEPTED","OPEN")</f>
        <v>OPEN</v>
      </c>
    </row>
    <row r="216" customFormat="false" ht="15" hidden="false" customHeight="false" outlineLevel="0" collapsed="false">
      <c r="A216" s="19" t="str">
        <f aca="false">"PKT-"&amp;B216&amp;"-RECONSTRUCTION"</f>
        <v>PKT-RIG-HC-CON-RECONSTRUCTION</v>
      </c>
      <c r="B216" s="19" t="str">
        <f aca="false">'Object Crosswalk'!A48</f>
        <v>RIG-HC-CON</v>
      </c>
      <c r="C216" s="19" t="str">
        <f aca="false">'Object Crosswalk'!B48</f>
        <v>Root-native rig</v>
      </c>
      <c r="D216" s="19" t="str">
        <f aca="false">'Object Crosswalk'!D48</f>
        <v>MS-HC</v>
      </c>
      <c r="E216" s="19" t="str">
        <f aca="false">'Object Crosswalk'!E48</f>
        <v>HC-A</v>
      </c>
      <c r="F216" s="19" t="str">
        <f aca="false">'Object Crosswalk'!F48</f>
        <v>CONTROL</v>
      </c>
      <c r="G216" s="9" t="s">
        <v>341</v>
      </c>
      <c r="H216" s="11" t="s">
        <v>58</v>
      </c>
      <c r="I216" s="32" t="n">
        <f aca="false">0</f>
        <v>0</v>
      </c>
      <c r="J216" s="11" t="s">
        <v>576</v>
      </c>
      <c r="K216" s="32" t="str">
        <f aca="false">IF(I216=1,"ACCEPTED","OPEN")</f>
        <v>OPEN</v>
      </c>
    </row>
    <row r="217" customFormat="false" ht="15" hidden="false" customHeight="false" outlineLevel="0" collapsed="false">
      <c r="A217" s="19" t="str">
        <f aca="false">"PKT-"&amp;B217&amp;"-CONFIGURATION"</f>
        <v>PKT-MTH-HC-CON-L1-CONFIGURATION</v>
      </c>
      <c r="B217" s="19" t="str">
        <f aca="false">'Object Crosswalk'!A49</f>
        <v>MTH-HC-CON-L1</v>
      </c>
      <c r="C217" s="19" t="str">
        <f aca="false">'Object Crosswalk'!B49</f>
        <v>Method lineage</v>
      </c>
      <c r="D217" s="19" t="str">
        <f aca="false">'Object Crosswalk'!D49</f>
        <v>MS-HC</v>
      </c>
      <c r="E217" s="19" t="str">
        <f aca="false">'Object Crosswalk'!E49</f>
        <v>HC-A</v>
      </c>
      <c r="F217" s="19" t="str">
        <f aca="false">'Object Crosswalk'!F49</f>
        <v>CONTROL</v>
      </c>
      <c r="G217" s="9" t="s">
        <v>728</v>
      </c>
      <c r="H217" s="11" t="s">
        <v>58</v>
      </c>
      <c r="I217" s="32" t="n">
        <f aca="false">0</f>
        <v>0</v>
      </c>
      <c r="J217" s="11" t="s">
        <v>576</v>
      </c>
      <c r="K217" s="32" t="str">
        <f aca="false">IF(I217=1,"ACCEPTED","OPEN")</f>
        <v>OPEN</v>
      </c>
    </row>
    <row r="218" customFormat="false" ht="15" hidden="false" customHeight="false" outlineLevel="0" collapsed="false">
      <c r="A218" s="19" t="str">
        <f aca="false">"PKT-"&amp;B218&amp;"-CONTROL"</f>
        <v>PKT-MTH-HC-CON-L1-CONTROL</v>
      </c>
      <c r="B218" s="19" t="str">
        <f aca="false">'Object Crosswalk'!A49</f>
        <v>MTH-HC-CON-L1</v>
      </c>
      <c r="C218" s="19" t="str">
        <f aca="false">'Object Crosswalk'!B49</f>
        <v>Method lineage</v>
      </c>
      <c r="D218" s="19" t="str">
        <f aca="false">'Object Crosswalk'!D49</f>
        <v>MS-HC</v>
      </c>
      <c r="E218" s="19" t="str">
        <f aca="false">'Object Crosswalk'!E49</f>
        <v>HC-A</v>
      </c>
      <c r="F218" s="19" t="str">
        <f aca="false">'Object Crosswalk'!F49</f>
        <v>CONTROL</v>
      </c>
      <c r="G218" s="9" t="s">
        <v>333</v>
      </c>
      <c r="H218" s="11" t="s">
        <v>58</v>
      </c>
      <c r="I218" s="32" t="n">
        <f aca="false">0</f>
        <v>0</v>
      </c>
      <c r="J218" s="11" t="s">
        <v>576</v>
      </c>
      <c r="K218" s="32" t="str">
        <f aca="false">IF(I218=1,"ACCEPTED","OPEN")</f>
        <v>OPEN</v>
      </c>
    </row>
    <row r="219" customFormat="false" ht="15" hidden="false" customHeight="false" outlineLevel="0" collapsed="false">
      <c r="A219" s="19" t="str">
        <f aca="false">"PKT-"&amp;B219&amp;"-METROLOGY"</f>
        <v>PKT-MTH-HC-CON-L1-METROLOGY</v>
      </c>
      <c r="B219" s="19" t="str">
        <f aca="false">'Object Crosswalk'!A49</f>
        <v>MTH-HC-CON-L1</v>
      </c>
      <c r="C219" s="19" t="str">
        <f aca="false">'Object Crosswalk'!B49</f>
        <v>Method lineage</v>
      </c>
      <c r="D219" s="19" t="str">
        <f aca="false">'Object Crosswalk'!D49</f>
        <v>MS-HC</v>
      </c>
      <c r="E219" s="19" t="str">
        <f aca="false">'Object Crosswalk'!E49</f>
        <v>HC-A</v>
      </c>
      <c r="F219" s="19" t="str">
        <f aca="false">'Object Crosswalk'!F49</f>
        <v>CONTROL</v>
      </c>
      <c r="G219" s="9" t="s">
        <v>729</v>
      </c>
      <c r="H219" s="11" t="s">
        <v>58</v>
      </c>
      <c r="I219" s="32" t="n">
        <f aca="false">0</f>
        <v>0</v>
      </c>
      <c r="J219" s="11" t="s">
        <v>576</v>
      </c>
      <c r="K219" s="32" t="str">
        <f aca="false">IF(I219=1,"ACCEPTED","OPEN")</f>
        <v>OPEN</v>
      </c>
    </row>
    <row r="220" customFormat="false" ht="15" hidden="false" customHeight="false" outlineLevel="0" collapsed="false">
      <c r="A220" s="19" t="str">
        <f aca="false">"PKT-"&amp;B220&amp;"-SAFETY"</f>
        <v>PKT-MTH-HC-CON-L1-SAFETY</v>
      </c>
      <c r="B220" s="19" t="str">
        <f aca="false">'Object Crosswalk'!A49</f>
        <v>MTH-HC-CON-L1</v>
      </c>
      <c r="C220" s="19" t="str">
        <f aca="false">'Object Crosswalk'!B49</f>
        <v>Method lineage</v>
      </c>
      <c r="D220" s="19" t="str">
        <f aca="false">'Object Crosswalk'!D49</f>
        <v>MS-HC</v>
      </c>
      <c r="E220" s="19" t="str">
        <f aca="false">'Object Crosswalk'!E49</f>
        <v>HC-A</v>
      </c>
      <c r="F220" s="19" t="str">
        <f aca="false">'Object Crosswalk'!F49</f>
        <v>CONTROL</v>
      </c>
      <c r="G220" s="9" t="s">
        <v>730</v>
      </c>
      <c r="H220" s="11" t="s">
        <v>58</v>
      </c>
      <c r="I220" s="32" t="n">
        <f aca="false">0</f>
        <v>0</v>
      </c>
      <c r="J220" s="11" t="s">
        <v>576</v>
      </c>
      <c r="K220" s="32" t="str">
        <f aca="false">IF(I220=1,"ACCEPTED","OPEN")</f>
        <v>OPEN</v>
      </c>
    </row>
    <row r="221" customFormat="false" ht="15" hidden="false" customHeight="false" outlineLevel="0" collapsed="false">
      <c r="A221" s="19" t="str">
        <f aca="false">"PKT-"&amp;B221&amp;"-RECONSTRUCTION"</f>
        <v>PKT-MTH-HC-CON-L1-RECONSTRUCTION</v>
      </c>
      <c r="B221" s="19" t="str">
        <f aca="false">'Object Crosswalk'!A49</f>
        <v>MTH-HC-CON-L1</v>
      </c>
      <c r="C221" s="19" t="str">
        <f aca="false">'Object Crosswalk'!B49</f>
        <v>Method lineage</v>
      </c>
      <c r="D221" s="19" t="str">
        <f aca="false">'Object Crosswalk'!D49</f>
        <v>MS-HC</v>
      </c>
      <c r="E221" s="19" t="str">
        <f aca="false">'Object Crosswalk'!E49</f>
        <v>HC-A</v>
      </c>
      <c r="F221" s="19" t="str">
        <f aca="false">'Object Crosswalk'!F49</f>
        <v>CONTROL</v>
      </c>
      <c r="G221" s="9" t="s">
        <v>341</v>
      </c>
      <c r="H221" s="11" t="s">
        <v>58</v>
      </c>
      <c r="I221" s="32" t="n">
        <f aca="false">0</f>
        <v>0</v>
      </c>
      <c r="J221" s="11" t="s">
        <v>576</v>
      </c>
      <c r="K221" s="32" t="str">
        <f aca="false">IF(I221=1,"ACCEPTED","OPEN")</f>
        <v>OPEN</v>
      </c>
    </row>
    <row r="222" customFormat="false" ht="15" hidden="false" customHeight="false" outlineLevel="0" collapsed="false">
      <c r="A222" s="19" t="str">
        <f aca="false">"PKT-"&amp;B222&amp;"-CONFIGURATION"</f>
        <v>PKT-MTH-HC-CON-L2-CONFIGURATION</v>
      </c>
      <c r="B222" s="19" t="str">
        <f aca="false">'Object Crosswalk'!A50</f>
        <v>MTH-HC-CON-L2</v>
      </c>
      <c r="C222" s="19" t="str">
        <f aca="false">'Object Crosswalk'!B50</f>
        <v>Method lineage</v>
      </c>
      <c r="D222" s="19" t="str">
        <f aca="false">'Object Crosswalk'!D50</f>
        <v>MS-HC</v>
      </c>
      <c r="E222" s="19" t="str">
        <f aca="false">'Object Crosswalk'!E50</f>
        <v>HC-A</v>
      </c>
      <c r="F222" s="19" t="str">
        <f aca="false">'Object Crosswalk'!F50</f>
        <v>CONTROL</v>
      </c>
      <c r="G222" s="9" t="s">
        <v>728</v>
      </c>
      <c r="H222" s="11" t="s">
        <v>58</v>
      </c>
      <c r="I222" s="32" t="n">
        <f aca="false">0</f>
        <v>0</v>
      </c>
      <c r="J222" s="11" t="s">
        <v>576</v>
      </c>
      <c r="K222" s="32" t="str">
        <f aca="false">IF(I222=1,"ACCEPTED","OPEN")</f>
        <v>OPEN</v>
      </c>
    </row>
    <row r="223" customFormat="false" ht="15" hidden="false" customHeight="false" outlineLevel="0" collapsed="false">
      <c r="A223" s="19" t="str">
        <f aca="false">"PKT-"&amp;B223&amp;"-CONTROL"</f>
        <v>PKT-MTH-HC-CON-L2-CONTROL</v>
      </c>
      <c r="B223" s="19" t="str">
        <f aca="false">'Object Crosswalk'!A50</f>
        <v>MTH-HC-CON-L2</v>
      </c>
      <c r="C223" s="19" t="str">
        <f aca="false">'Object Crosswalk'!B50</f>
        <v>Method lineage</v>
      </c>
      <c r="D223" s="19" t="str">
        <f aca="false">'Object Crosswalk'!D50</f>
        <v>MS-HC</v>
      </c>
      <c r="E223" s="19" t="str">
        <f aca="false">'Object Crosswalk'!E50</f>
        <v>HC-A</v>
      </c>
      <c r="F223" s="19" t="str">
        <f aca="false">'Object Crosswalk'!F50</f>
        <v>CONTROL</v>
      </c>
      <c r="G223" s="9" t="s">
        <v>333</v>
      </c>
      <c r="H223" s="11" t="s">
        <v>58</v>
      </c>
      <c r="I223" s="32" t="n">
        <f aca="false">0</f>
        <v>0</v>
      </c>
      <c r="J223" s="11" t="s">
        <v>576</v>
      </c>
      <c r="K223" s="32" t="str">
        <f aca="false">IF(I223=1,"ACCEPTED","OPEN")</f>
        <v>OPEN</v>
      </c>
    </row>
    <row r="224" customFormat="false" ht="15" hidden="false" customHeight="false" outlineLevel="0" collapsed="false">
      <c r="A224" s="19" t="str">
        <f aca="false">"PKT-"&amp;B224&amp;"-METROLOGY"</f>
        <v>PKT-MTH-HC-CON-L2-METROLOGY</v>
      </c>
      <c r="B224" s="19" t="str">
        <f aca="false">'Object Crosswalk'!A50</f>
        <v>MTH-HC-CON-L2</v>
      </c>
      <c r="C224" s="19" t="str">
        <f aca="false">'Object Crosswalk'!B50</f>
        <v>Method lineage</v>
      </c>
      <c r="D224" s="19" t="str">
        <f aca="false">'Object Crosswalk'!D50</f>
        <v>MS-HC</v>
      </c>
      <c r="E224" s="19" t="str">
        <f aca="false">'Object Crosswalk'!E50</f>
        <v>HC-A</v>
      </c>
      <c r="F224" s="19" t="str">
        <f aca="false">'Object Crosswalk'!F50</f>
        <v>CONTROL</v>
      </c>
      <c r="G224" s="9" t="s">
        <v>729</v>
      </c>
      <c r="H224" s="11" t="s">
        <v>58</v>
      </c>
      <c r="I224" s="32" t="n">
        <f aca="false">0</f>
        <v>0</v>
      </c>
      <c r="J224" s="11" t="s">
        <v>576</v>
      </c>
      <c r="K224" s="32" t="str">
        <f aca="false">IF(I224=1,"ACCEPTED","OPEN")</f>
        <v>OPEN</v>
      </c>
    </row>
    <row r="225" customFormat="false" ht="15" hidden="false" customHeight="false" outlineLevel="0" collapsed="false">
      <c r="A225" s="19" t="str">
        <f aca="false">"PKT-"&amp;B225&amp;"-SAFETY"</f>
        <v>PKT-MTH-HC-CON-L2-SAFETY</v>
      </c>
      <c r="B225" s="19" t="str">
        <f aca="false">'Object Crosswalk'!A50</f>
        <v>MTH-HC-CON-L2</v>
      </c>
      <c r="C225" s="19" t="str">
        <f aca="false">'Object Crosswalk'!B50</f>
        <v>Method lineage</v>
      </c>
      <c r="D225" s="19" t="str">
        <f aca="false">'Object Crosswalk'!D50</f>
        <v>MS-HC</v>
      </c>
      <c r="E225" s="19" t="str">
        <f aca="false">'Object Crosswalk'!E50</f>
        <v>HC-A</v>
      </c>
      <c r="F225" s="19" t="str">
        <f aca="false">'Object Crosswalk'!F50</f>
        <v>CONTROL</v>
      </c>
      <c r="G225" s="9" t="s">
        <v>730</v>
      </c>
      <c r="H225" s="11" t="s">
        <v>58</v>
      </c>
      <c r="I225" s="32" t="n">
        <f aca="false">0</f>
        <v>0</v>
      </c>
      <c r="J225" s="11" t="s">
        <v>576</v>
      </c>
      <c r="K225" s="32" t="str">
        <f aca="false">IF(I225=1,"ACCEPTED","OPEN")</f>
        <v>OPEN</v>
      </c>
    </row>
    <row r="226" customFormat="false" ht="15" hidden="false" customHeight="false" outlineLevel="0" collapsed="false">
      <c r="A226" s="19" t="str">
        <f aca="false">"PKT-"&amp;B226&amp;"-RECONSTRUCTION"</f>
        <v>PKT-MTH-HC-CON-L2-RECONSTRUCTION</v>
      </c>
      <c r="B226" s="19" t="str">
        <f aca="false">'Object Crosswalk'!A50</f>
        <v>MTH-HC-CON-L2</v>
      </c>
      <c r="C226" s="19" t="str">
        <f aca="false">'Object Crosswalk'!B50</f>
        <v>Method lineage</v>
      </c>
      <c r="D226" s="19" t="str">
        <f aca="false">'Object Crosswalk'!D50</f>
        <v>MS-HC</v>
      </c>
      <c r="E226" s="19" t="str">
        <f aca="false">'Object Crosswalk'!E50</f>
        <v>HC-A</v>
      </c>
      <c r="F226" s="19" t="str">
        <f aca="false">'Object Crosswalk'!F50</f>
        <v>CONTROL</v>
      </c>
      <c r="G226" s="9" t="s">
        <v>341</v>
      </c>
      <c r="H226" s="11" t="s">
        <v>58</v>
      </c>
      <c r="I226" s="32" t="n">
        <f aca="false">0</f>
        <v>0</v>
      </c>
      <c r="J226" s="11" t="s">
        <v>576</v>
      </c>
      <c r="K226" s="32" t="str">
        <f aca="false">IF(I226=1,"ACCEPTED","OPEN")</f>
        <v>OPEN</v>
      </c>
    </row>
    <row r="227" customFormat="false" ht="15" hidden="false" customHeight="false" outlineLevel="0" collapsed="false">
      <c r="A227" s="19" t="str">
        <f aca="false">"PKT-"&amp;B227&amp;"-CONFIGURATION"</f>
        <v>PKT-REG-HC-CON-CONFIGURATION</v>
      </c>
      <c r="B227" s="19" t="str">
        <f aca="false">'Object Crosswalk'!A51</f>
        <v>REG-HC-CON</v>
      </c>
      <c r="C227" s="19" t="str">
        <f aca="false">'Object Crosswalk'!B51</f>
        <v>Regeneration tool</v>
      </c>
      <c r="D227" s="19" t="str">
        <f aca="false">'Object Crosswalk'!D51</f>
        <v>MS-HC</v>
      </c>
      <c r="E227" s="19" t="str">
        <f aca="false">'Object Crosswalk'!E51</f>
        <v>HC-A</v>
      </c>
      <c r="F227" s="19" t="str">
        <f aca="false">'Object Crosswalk'!F51</f>
        <v>CONTROL</v>
      </c>
      <c r="G227" s="9" t="s">
        <v>728</v>
      </c>
      <c r="H227" s="11" t="s">
        <v>58</v>
      </c>
      <c r="I227" s="32" t="n">
        <f aca="false">0</f>
        <v>0</v>
      </c>
      <c r="J227" s="11" t="s">
        <v>576</v>
      </c>
      <c r="K227" s="32" t="str">
        <f aca="false">IF(I227=1,"ACCEPTED","OPEN")</f>
        <v>OPEN</v>
      </c>
    </row>
    <row r="228" customFormat="false" ht="15" hidden="false" customHeight="false" outlineLevel="0" collapsed="false">
      <c r="A228" s="19" t="str">
        <f aca="false">"PKT-"&amp;B228&amp;"-CONTROL"</f>
        <v>PKT-REG-HC-CON-CONTROL</v>
      </c>
      <c r="B228" s="19" t="str">
        <f aca="false">'Object Crosswalk'!A51</f>
        <v>REG-HC-CON</v>
      </c>
      <c r="C228" s="19" t="str">
        <f aca="false">'Object Crosswalk'!B51</f>
        <v>Regeneration tool</v>
      </c>
      <c r="D228" s="19" t="str">
        <f aca="false">'Object Crosswalk'!D51</f>
        <v>MS-HC</v>
      </c>
      <c r="E228" s="19" t="str">
        <f aca="false">'Object Crosswalk'!E51</f>
        <v>HC-A</v>
      </c>
      <c r="F228" s="19" t="str">
        <f aca="false">'Object Crosswalk'!F51</f>
        <v>CONTROL</v>
      </c>
      <c r="G228" s="9" t="s">
        <v>333</v>
      </c>
      <c r="H228" s="11" t="s">
        <v>58</v>
      </c>
      <c r="I228" s="32" t="n">
        <f aca="false">0</f>
        <v>0</v>
      </c>
      <c r="J228" s="11" t="s">
        <v>576</v>
      </c>
      <c r="K228" s="32" t="str">
        <f aca="false">IF(I228=1,"ACCEPTED","OPEN")</f>
        <v>OPEN</v>
      </c>
    </row>
    <row r="229" customFormat="false" ht="15" hidden="false" customHeight="false" outlineLevel="0" collapsed="false">
      <c r="A229" s="19" t="str">
        <f aca="false">"PKT-"&amp;B229&amp;"-METROLOGY"</f>
        <v>PKT-REG-HC-CON-METROLOGY</v>
      </c>
      <c r="B229" s="19" t="str">
        <f aca="false">'Object Crosswalk'!A51</f>
        <v>REG-HC-CON</v>
      </c>
      <c r="C229" s="19" t="str">
        <f aca="false">'Object Crosswalk'!B51</f>
        <v>Regeneration tool</v>
      </c>
      <c r="D229" s="19" t="str">
        <f aca="false">'Object Crosswalk'!D51</f>
        <v>MS-HC</v>
      </c>
      <c r="E229" s="19" t="str">
        <f aca="false">'Object Crosswalk'!E51</f>
        <v>HC-A</v>
      </c>
      <c r="F229" s="19" t="str">
        <f aca="false">'Object Crosswalk'!F51</f>
        <v>CONTROL</v>
      </c>
      <c r="G229" s="9" t="s">
        <v>729</v>
      </c>
      <c r="H229" s="11" t="s">
        <v>58</v>
      </c>
      <c r="I229" s="32" t="n">
        <f aca="false">0</f>
        <v>0</v>
      </c>
      <c r="J229" s="11" t="s">
        <v>576</v>
      </c>
      <c r="K229" s="32" t="str">
        <f aca="false">IF(I229=1,"ACCEPTED","OPEN")</f>
        <v>OPEN</v>
      </c>
    </row>
    <row r="230" customFormat="false" ht="15" hidden="false" customHeight="false" outlineLevel="0" collapsed="false">
      <c r="A230" s="19" t="str">
        <f aca="false">"PKT-"&amp;B230&amp;"-SAFETY"</f>
        <v>PKT-REG-HC-CON-SAFETY</v>
      </c>
      <c r="B230" s="19" t="str">
        <f aca="false">'Object Crosswalk'!A51</f>
        <v>REG-HC-CON</v>
      </c>
      <c r="C230" s="19" t="str">
        <f aca="false">'Object Crosswalk'!B51</f>
        <v>Regeneration tool</v>
      </c>
      <c r="D230" s="19" t="str">
        <f aca="false">'Object Crosswalk'!D51</f>
        <v>MS-HC</v>
      </c>
      <c r="E230" s="19" t="str">
        <f aca="false">'Object Crosswalk'!E51</f>
        <v>HC-A</v>
      </c>
      <c r="F230" s="19" t="str">
        <f aca="false">'Object Crosswalk'!F51</f>
        <v>CONTROL</v>
      </c>
      <c r="G230" s="9" t="s">
        <v>730</v>
      </c>
      <c r="H230" s="11" t="s">
        <v>58</v>
      </c>
      <c r="I230" s="32" t="n">
        <f aca="false">0</f>
        <v>0</v>
      </c>
      <c r="J230" s="11" t="s">
        <v>576</v>
      </c>
      <c r="K230" s="32" t="str">
        <f aca="false">IF(I230=1,"ACCEPTED","OPEN")</f>
        <v>OPEN</v>
      </c>
    </row>
    <row r="231" customFormat="false" ht="15" hidden="false" customHeight="false" outlineLevel="0" collapsed="false">
      <c r="A231" s="19" t="str">
        <f aca="false">"PKT-"&amp;B231&amp;"-RECONSTRUCTION"</f>
        <v>PKT-REG-HC-CON-RECONSTRUCTION</v>
      </c>
      <c r="B231" s="19" t="str">
        <f aca="false">'Object Crosswalk'!A51</f>
        <v>REG-HC-CON</v>
      </c>
      <c r="C231" s="19" t="str">
        <f aca="false">'Object Crosswalk'!B51</f>
        <v>Regeneration tool</v>
      </c>
      <c r="D231" s="19" t="str">
        <f aca="false">'Object Crosswalk'!D51</f>
        <v>MS-HC</v>
      </c>
      <c r="E231" s="19" t="str">
        <f aca="false">'Object Crosswalk'!E51</f>
        <v>HC-A</v>
      </c>
      <c r="F231" s="19" t="str">
        <f aca="false">'Object Crosswalk'!F51</f>
        <v>CONTROL</v>
      </c>
      <c r="G231" s="9" t="s">
        <v>341</v>
      </c>
      <c r="H231" s="11" t="s">
        <v>58</v>
      </c>
      <c r="I231" s="32" t="n">
        <f aca="false">0</f>
        <v>0</v>
      </c>
      <c r="J231" s="11" t="s">
        <v>576</v>
      </c>
      <c r="K231" s="32" t="str">
        <f aca="false">IF(I231=1,"ACCEPTED","OPEN")</f>
        <v>OPEN</v>
      </c>
    </row>
    <row r="232" customFormat="false" ht="15" hidden="false" customHeight="false" outlineLevel="0" collapsed="false">
      <c r="A232" s="19" t="str">
        <f aca="false">"PKT-"&amp;B232&amp;"-CONFIGURATION"</f>
        <v>PKT-INT-HC-CON-CONFIGURATION</v>
      </c>
      <c r="B232" s="19" t="str">
        <f aca="false">'Object Crosswalk'!A52</f>
        <v>INT-HC-CON</v>
      </c>
      <c r="C232" s="19" t="str">
        <f aca="false">'Object Crosswalk'!B52</f>
        <v>Station integration</v>
      </c>
      <c r="D232" s="19" t="str">
        <f aca="false">'Object Crosswalk'!D52</f>
        <v>MS-HC</v>
      </c>
      <c r="E232" s="19" t="str">
        <f aca="false">'Object Crosswalk'!E52</f>
        <v>HC-A</v>
      </c>
      <c r="F232" s="19" t="str">
        <f aca="false">'Object Crosswalk'!F52</f>
        <v>CONTROL</v>
      </c>
      <c r="G232" s="9" t="s">
        <v>728</v>
      </c>
      <c r="H232" s="11" t="s">
        <v>58</v>
      </c>
      <c r="I232" s="32" t="n">
        <f aca="false">0</f>
        <v>0</v>
      </c>
      <c r="J232" s="11" t="s">
        <v>576</v>
      </c>
      <c r="K232" s="32" t="str">
        <f aca="false">IF(I232=1,"ACCEPTED","OPEN")</f>
        <v>OPEN</v>
      </c>
    </row>
    <row r="233" customFormat="false" ht="15" hidden="false" customHeight="false" outlineLevel="0" collapsed="false">
      <c r="A233" s="19" t="str">
        <f aca="false">"PKT-"&amp;B233&amp;"-CONTROL"</f>
        <v>PKT-INT-HC-CON-CONTROL</v>
      </c>
      <c r="B233" s="19" t="str">
        <f aca="false">'Object Crosswalk'!A52</f>
        <v>INT-HC-CON</v>
      </c>
      <c r="C233" s="19" t="str">
        <f aca="false">'Object Crosswalk'!B52</f>
        <v>Station integration</v>
      </c>
      <c r="D233" s="19" t="str">
        <f aca="false">'Object Crosswalk'!D52</f>
        <v>MS-HC</v>
      </c>
      <c r="E233" s="19" t="str">
        <f aca="false">'Object Crosswalk'!E52</f>
        <v>HC-A</v>
      </c>
      <c r="F233" s="19" t="str">
        <f aca="false">'Object Crosswalk'!F52</f>
        <v>CONTROL</v>
      </c>
      <c r="G233" s="9" t="s">
        <v>333</v>
      </c>
      <c r="H233" s="11" t="s">
        <v>58</v>
      </c>
      <c r="I233" s="32" t="n">
        <f aca="false">0</f>
        <v>0</v>
      </c>
      <c r="J233" s="11" t="s">
        <v>576</v>
      </c>
      <c r="K233" s="32" t="str">
        <f aca="false">IF(I233=1,"ACCEPTED","OPEN")</f>
        <v>OPEN</v>
      </c>
    </row>
    <row r="234" customFormat="false" ht="15" hidden="false" customHeight="false" outlineLevel="0" collapsed="false">
      <c r="A234" s="19" t="str">
        <f aca="false">"PKT-"&amp;B234&amp;"-METROLOGY"</f>
        <v>PKT-INT-HC-CON-METROLOGY</v>
      </c>
      <c r="B234" s="19" t="str">
        <f aca="false">'Object Crosswalk'!A52</f>
        <v>INT-HC-CON</v>
      </c>
      <c r="C234" s="19" t="str">
        <f aca="false">'Object Crosswalk'!B52</f>
        <v>Station integration</v>
      </c>
      <c r="D234" s="19" t="str">
        <f aca="false">'Object Crosswalk'!D52</f>
        <v>MS-HC</v>
      </c>
      <c r="E234" s="19" t="str">
        <f aca="false">'Object Crosswalk'!E52</f>
        <v>HC-A</v>
      </c>
      <c r="F234" s="19" t="str">
        <f aca="false">'Object Crosswalk'!F52</f>
        <v>CONTROL</v>
      </c>
      <c r="G234" s="9" t="s">
        <v>729</v>
      </c>
      <c r="H234" s="11" t="s">
        <v>58</v>
      </c>
      <c r="I234" s="32" t="n">
        <f aca="false">0</f>
        <v>0</v>
      </c>
      <c r="J234" s="11" t="s">
        <v>576</v>
      </c>
      <c r="K234" s="32" t="str">
        <f aca="false">IF(I234=1,"ACCEPTED","OPEN")</f>
        <v>OPEN</v>
      </c>
    </row>
    <row r="235" customFormat="false" ht="15" hidden="false" customHeight="false" outlineLevel="0" collapsed="false">
      <c r="A235" s="19" t="str">
        <f aca="false">"PKT-"&amp;B235&amp;"-SAFETY"</f>
        <v>PKT-INT-HC-CON-SAFETY</v>
      </c>
      <c r="B235" s="19" t="str">
        <f aca="false">'Object Crosswalk'!A52</f>
        <v>INT-HC-CON</v>
      </c>
      <c r="C235" s="19" t="str">
        <f aca="false">'Object Crosswalk'!B52</f>
        <v>Station integration</v>
      </c>
      <c r="D235" s="19" t="str">
        <f aca="false">'Object Crosswalk'!D52</f>
        <v>MS-HC</v>
      </c>
      <c r="E235" s="19" t="str">
        <f aca="false">'Object Crosswalk'!E52</f>
        <v>HC-A</v>
      </c>
      <c r="F235" s="19" t="str">
        <f aca="false">'Object Crosswalk'!F52</f>
        <v>CONTROL</v>
      </c>
      <c r="G235" s="9" t="s">
        <v>730</v>
      </c>
      <c r="H235" s="11" t="s">
        <v>58</v>
      </c>
      <c r="I235" s="32" t="n">
        <f aca="false">0</f>
        <v>0</v>
      </c>
      <c r="J235" s="11" t="s">
        <v>576</v>
      </c>
      <c r="K235" s="32" t="str">
        <f aca="false">IF(I235=1,"ACCEPTED","OPEN")</f>
        <v>OPEN</v>
      </c>
    </row>
    <row r="236" customFormat="false" ht="15" hidden="false" customHeight="false" outlineLevel="0" collapsed="false">
      <c r="A236" s="19" t="str">
        <f aca="false">"PKT-"&amp;B236&amp;"-RECONSTRUCTION"</f>
        <v>PKT-INT-HC-CON-RECONSTRUCTION</v>
      </c>
      <c r="B236" s="19" t="str">
        <f aca="false">'Object Crosswalk'!A52</f>
        <v>INT-HC-CON</v>
      </c>
      <c r="C236" s="19" t="str">
        <f aca="false">'Object Crosswalk'!B52</f>
        <v>Station integration</v>
      </c>
      <c r="D236" s="19" t="str">
        <f aca="false">'Object Crosswalk'!D52</f>
        <v>MS-HC</v>
      </c>
      <c r="E236" s="19" t="str">
        <f aca="false">'Object Crosswalk'!E52</f>
        <v>HC-A</v>
      </c>
      <c r="F236" s="19" t="str">
        <f aca="false">'Object Crosswalk'!F52</f>
        <v>CONTROL</v>
      </c>
      <c r="G236" s="9" t="s">
        <v>341</v>
      </c>
      <c r="H236" s="11" t="s">
        <v>58</v>
      </c>
      <c r="I236" s="32" t="n">
        <f aca="false">0</f>
        <v>0</v>
      </c>
      <c r="J236" s="11" t="s">
        <v>576</v>
      </c>
      <c r="K236" s="32" t="str">
        <f aca="false">IF(I236=1,"ACCEPTED","OPEN")</f>
        <v>OPEN</v>
      </c>
    </row>
    <row r="237" customFormat="false" ht="15" hidden="false" customHeight="false" outlineLevel="0" collapsed="false">
      <c r="A237" s="19" t="str">
        <f aca="false">"PKT-"&amp;B237&amp;"-CONFIGURATION"</f>
        <v>PKT-RIG-HC-REC-CONFIGURATION</v>
      </c>
      <c r="B237" s="19" t="str">
        <f aca="false">'Object Crosswalk'!A53</f>
        <v>RIG-HC-REC</v>
      </c>
      <c r="C237" s="19" t="str">
        <f aca="false">'Object Crosswalk'!B53</f>
        <v>Root-native rig</v>
      </c>
      <c r="D237" s="19" t="str">
        <f aca="false">'Object Crosswalk'!D53</f>
        <v>MS-HC</v>
      </c>
      <c r="E237" s="19" t="str">
        <f aca="false">'Object Crosswalk'!E53</f>
        <v>HC-A</v>
      </c>
      <c r="F237" s="19" t="str">
        <f aca="false">'Object Crosswalk'!F53</f>
        <v>RECONSTRUCTION</v>
      </c>
      <c r="G237" s="9" t="s">
        <v>728</v>
      </c>
      <c r="H237" s="11" t="s">
        <v>58</v>
      </c>
      <c r="I237" s="32" t="n">
        <f aca="false">0</f>
        <v>0</v>
      </c>
      <c r="J237" s="11" t="s">
        <v>576</v>
      </c>
      <c r="K237" s="32" t="str">
        <f aca="false">IF(I237=1,"ACCEPTED","OPEN")</f>
        <v>OPEN</v>
      </c>
    </row>
    <row r="238" customFormat="false" ht="15" hidden="false" customHeight="false" outlineLevel="0" collapsed="false">
      <c r="A238" s="19" t="str">
        <f aca="false">"PKT-"&amp;B238&amp;"-CONTROL"</f>
        <v>PKT-RIG-HC-REC-CONTROL</v>
      </c>
      <c r="B238" s="19" t="str">
        <f aca="false">'Object Crosswalk'!A53</f>
        <v>RIG-HC-REC</v>
      </c>
      <c r="C238" s="19" t="str">
        <f aca="false">'Object Crosswalk'!B53</f>
        <v>Root-native rig</v>
      </c>
      <c r="D238" s="19" t="str">
        <f aca="false">'Object Crosswalk'!D53</f>
        <v>MS-HC</v>
      </c>
      <c r="E238" s="19" t="str">
        <f aca="false">'Object Crosswalk'!E53</f>
        <v>HC-A</v>
      </c>
      <c r="F238" s="19" t="str">
        <f aca="false">'Object Crosswalk'!F53</f>
        <v>RECONSTRUCTION</v>
      </c>
      <c r="G238" s="9" t="s">
        <v>333</v>
      </c>
      <c r="H238" s="11" t="s">
        <v>58</v>
      </c>
      <c r="I238" s="32" t="n">
        <f aca="false">0</f>
        <v>0</v>
      </c>
      <c r="J238" s="11" t="s">
        <v>576</v>
      </c>
      <c r="K238" s="32" t="str">
        <f aca="false">IF(I238=1,"ACCEPTED","OPEN")</f>
        <v>OPEN</v>
      </c>
    </row>
    <row r="239" customFormat="false" ht="15" hidden="false" customHeight="false" outlineLevel="0" collapsed="false">
      <c r="A239" s="19" t="str">
        <f aca="false">"PKT-"&amp;B239&amp;"-METROLOGY"</f>
        <v>PKT-RIG-HC-REC-METROLOGY</v>
      </c>
      <c r="B239" s="19" t="str">
        <f aca="false">'Object Crosswalk'!A53</f>
        <v>RIG-HC-REC</v>
      </c>
      <c r="C239" s="19" t="str">
        <f aca="false">'Object Crosswalk'!B53</f>
        <v>Root-native rig</v>
      </c>
      <c r="D239" s="19" t="str">
        <f aca="false">'Object Crosswalk'!D53</f>
        <v>MS-HC</v>
      </c>
      <c r="E239" s="19" t="str">
        <f aca="false">'Object Crosswalk'!E53</f>
        <v>HC-A</v>
      </c>
      <c r="F239" s="19" t="str">
        <f aca="false">'Object Crosswalk'!F53</f>
        <v>RECONSTRUCTION</v>
      </c>
      <c r="G239" s="9" t="s">
        <v>729</v>
      </c>
      <c r="H239" s="11" t="s">
        <v>58</v>
      </c>
      <c r="I239" s="32" t="n">
        <f aca="false">0</f>
        <v>0</v>
      </c>
      <c r="J239" s="11" t="s">
        <v>576</v>
      </c>
      <c r="K239" s="32" t="str">
        <f aca="false">IF(I239=1,"ACCEPTED","OPEN")</f>
        <v>OPEN</v>
      </c>
    </row>
    <row r="240" customFormat="false" ht="15" hidden="false" customHeight="false" outlineLevel="0" collapsed="false">
      <c r="A240" s="19" t="str">
        <f aca="false">"PKT-"&amp;B240&amp;"-SAFETY"</f>
        <v>PKT-RIG-HC-REC-SAFETY</v>
      </c>
      <c r="B240" s="19" t="str">
        <f aca="false">'Object Crosswalk'!A53</f>
        <v>RIG-HC-REC</v>
      </c>
      <c r="C240" s="19" t="str">
        <f aca="false">'Object Crosswalk'!B53</f>
        <v>Root-native rig</v>
      </c>
      <c r="D240" s="19" t="str">
        <f aca="false">'Object Crosswalk'!D53</f>
        <v>MS-HC</v>
      </c>
      <c r="E240" s="19" t="str">
        <f aca="false">'Object Crosswalk'!E53</f>
        <v>HC-A</v>
      </c>
      <c r="F240" s="19" t="str">
        <f aca="false">'Object Crosswalk'!F53</f>
        <v>RECONSTRUCTION</v>
      </c>
      <c r="G240" s="9" t="s">
        <v>730</v>
      </c>
      <c r="H240" s="11" t="s">
        <v>58</v>
      </c>
      <c r="I240" s="32" t="n">
        <f aca="false">0</f>
        <v>0</v>
      </c>
      <c r="J240" s="11" t="s">
        <v>576</v>
      </c>
      <c r="K240" s="32" t="str">
        <f aca="false">IF(I240=1,"ACCEPTED","OPEN")</f>
        <v>OPEN</v>
      </c>
    </row>
    <row r="241" customFormat="false" ht="15" hidden="false" customHeight="false" outlineLevel="0" collapsed="false">
      <c r="A241" s="19" t="str">
        <f aca="false">"PKT-"&amp;B241&amp;"-RECONSTRUCTION"</f>
        <v>PKT-RIG-HC-REC-RECONSTRUCTION</v>
      </c>
      <c r="B241" s="19" t="str">
        <f aca="false">'Object Crosswalk'!A53</f>
        <v>RIG-HC-REC</v>
      </c>
      <c r="C241" s="19" t="str">
        <f aca="false">'Object Crosswalk'!B53</f>
        <v>Root-native rig</v>
      </c>
      <c r="D241" s="19" t="str">
        <f aca="false">'Object Crosswalk'!D53</f>
        <v>MS-HC</v>
      </c>
      <c r="E241" s="19" t="str">
        <f aca="false">'Object Crosswalk'!E53</f>
        <v>HC-A</v>
      </c>
      <c r="F241" s="19" t="str">
        <f aca="false">'Object Crosswalk'!F53</f>
        <v>RECONSTRUCTION</v>
      </c>
      <c r="G241" s="9" t="s">
        <v>341</v>
      </c>
      <c r="H241" s="11" t="s">
        <v>58</v>
      </c>
      <c r="I241" s="32" t="n">
        <f aca="false">0</f>
        <v>0</v>
      </c>
      <c r="J241" s="11" t="s">
        <v>576</v>
      </c>
      <c r="K241" s="32" t="str">
        <f aca="false">IF(I241=1,"ACCEPTED","OPEN")</f>
        <v>OPEN</v>
      </c>
    </row>
    <row r="242" customFormat="false" ht="15" hidden="false" customHeight="false" outlineLevel="0" collapsed="false">
      <c r="A242" s="19" t="str">
        <f aca="false">"PKT-"&amp;B242&amp;"-CONFIGURATION"</f>
        <v>PKT-MTH-HC-REC-L1-CONFIGURATION</v>
      </c>
      <c r="B242" s="19" t="str">
        <f aca="false">'Object Crosswalk'!A54</f>
        <v>MTH-HC-REC-L1</v>
      </c>
      <c r="C242" s="19" t="str">
        <f aca="false">'Object Crosswalk'!B54</f>
        <v>Method lineage</v>
      </c>
      <c r="D242" s="19" t="str">
        <f aca="false">'Object Crosswalk'!D54</f>
        <v>MS-HC</v>
      </c>
      <c r="E242" s="19" t="str">
        <f aca="false">'Object Crosswalk'!E54</f>
        <v>HC-A</v>
      </c>
      <c r="F242" s="19" t="str">
        <f aca="false">'Object Crosswalk'!F54</f>
        <v>RECONSTRUCTION</v>
      </c>
      <c r="G242" s="9" t="s">
        <v>728</v>
      </c>
      <c r="H242" s="11" t="s">
        <v>58</v>
      </c>
      <c r="I242" s="32" t="n">
        <f aca="false">0</f>
        <v>0</v>
      </c>
      <c r="J242" s="11" t="s">
        <v>576</v>
      </c>
      <c r="K242" s="32" t="str">
        <f aca="false">IF(I242=1,"ACCEPTED","OPEN")</f>
        <v>OPEN</v>
      </c>
    </row>
    <row r="243" customFormat="false" ht="15" hidden="false" customHeight="false" outlineLevel="0" collapsed="false">
      <c r="A243" s="19" t="str">
        <f aca="false">"PKT-"&amp;B243&amp;"-CONTROL"</f>
        <v>PKT-MTH-HC-REC-L1-CONTROL</v>
      </c>
      <c r="B243" s="19" t="str">
        <f aca="false">'Object Crosswalk'!A54</f>
        <v>MTH-HC-REC-L1</v>
      </c>
      <c r="C243" s="19" t="str">
        <f aca="false">'Object Crosswalk'!B54</f>
        <v>Method lineage</v>
      </c>
      <c r="D243" s="19" t="str">
        <f aca="false">'Object Crosswalk'!D54</f>
        <v>MS-HC</v>
      </c>
      <c r="E243" s="19" t="str">
        <f aca="false">'Object Crosswalk'!E54</f>
        <v>HC-A</v>
      </c>
      <c r="F243" s="19" t="str">
        <f aca="false">'Object Crosswalk'!F54</f>
        <v>RECONSTRUCTION</v>
      </c>
      <c r="G243" s="9" t="s">
        <v>333</v>
      </c>
      <c r="H243" s="11" t="s">
        <v>58</v>
      </c>
      <c r="I243" s="32" t="n">
        <f aca="false">0</f>
        <v>0</v>
      </c>
      <c r="J243" s="11" t="s">
        <v>576</v>
      </c>
      <c r="K243" s="32" t="str">
        <f aca="false">IF(I243=1,"ACCEPTED","OPEN")</f>
        <v>OPEN</v>
      </c>
    </row>
    <row r="244" customFormat="false" ht="15" hidden="false" customHeight="false" outlineLevel="0" collapsed="false">
      <c r="A244" s="19" t="str">
        <f aca="false">"PKT-"&amp;B244&amp;"-METROLOGY"</f>
        <v>PKT-MTH-HC-REC-L1-METROLOGY</v>
      </c>
      <c r="B244" s="19" t="str">
        <f aca="false">'Object Crosswalk'!A54</f>
        <v>MTH-HC-REC-L1</v>
      </c>
      <c r="C244" s="19" t="str">
        <f aca="false">'Object Crosswalk'!B54</f>
        <v>Method lineage</v>
      </c>
      <c r="D244" s="19" t="str">
        <f aca="false">'Object Crosswalk'!D54</f>
        <v>MS-HC</v>
      </c>
      <c r="E244" s="19" t="str">
        <f aca="false">'Object Crosswalk'!E54</f>
        <v>HC-A</v>
      </c>
      <c r="F244" s="19" t="str">
        <f aca="false">'Object Crosswalk'!F54</f>
        <v>RECONSTRUCTION</v>
      </c>
      <c r="G244" s="9" t="s">
        <v>729</v>
      </c>
      <c r="H244" s="11" t="s">
        <v>58</v>
      </c>
      <c r="I244" s="32" t="n">
        <f aca="false">0</f>
        <v>0</v>
      </c>
      <c r="J244" s="11" t="s">
        <v>576</v>
      </c>
      <c r="K244" s="32" t="str">
        <f aca="false">IF(I244=1,"ACCEPTED","OPEN")</f>
        <v>OPEN</v>
      </c>
    </row>
    <row r="245" customFormat="false" ht="15" hidden="false" customHeight="false" outlineLevel="0" collapsed="false">
      <c r="A245" s="19" t="str">
        <f aca="false">"PKT-"&amp;B245&amp;"-SAFETY"</f>
        <v>PKT-MTH-HC-REC-L1-SAFETY</v>
      </c>
      <c r="B245" s="19" t="str">
        <f aca="false">'Object Crosswalk'!A54</f>
        <v>MTH-HC-REC-L1</v>
      </c>
      <c r="C245" s="19" t="str">
        <f aca="false">'Object Crosswalk'!B54</f>
        <v>Method lineage</v>
      </c>
      <c r="D245" s="19" t="str">
        <f aca="false">'Object Crosswalk'!D54</f>
        <v>MS-HC</v>
      </c>
      <c r="E245" s="19" t="str">
        <f aca="false">'Object Crosswalk'!E54</f>
        <v>HC-A</v>
      </c>
      <c r="F245" s="19" t="str">
        <f aca="false">'Object Crosswalk'!F54</f>
        <v>RECONSTRUCTION</v>
      </c>
      <c r="G245" s="9" t="s">
        <v>730</v>
      </c>
      <c r="H245" s="11" t="s">
        <v>58</v>
      </c>
      <c r="I245" s="32" t="n">
        <f aca="false">0</f>
        <v>0</v>
      </c>
      <c r="J245" s="11" t="s">
        <v>576</v>
      </c>
      <c r="K245" s="32" t="str">
        <f aca="false">IF(I245=1,"ACCEPTED","OPEN")</f>
        <v>OPEN</v>
      </c>
    </row>
    <row r="246" customFormat="false" ht="15" hidden="false" customHeight="false" outlineLevel="0" collapsed="false">
      <c r="A246" s="19" t="str">
        <f aca="false">"PKT-"&amp;B246&amp;"-RECONSTRUCTION"</f>
        <v>PKT-MTH-HC-REC-L1-RECONSTRUCTION</v>
      </c>
      <c r="B246" s="19" t="str">
        <f aca="false">'Object Crosswalk'!A54</f>
        <v>MTH-HC-REC-L1</v>
      </c>
      <c r="C246" s="19" t="str">
        <f aca="false">'Object Crosswalk'!B54</f>
        <v>Method lineage</v>
      </c>
      <c r="D246" s="19" t="str">
        <f aca="false">'Object Crosswalk'!D54</f>
        <v>MS-HC</v>
      </c>
      <c r="E246" s="19" t="str">
        <f aca="false">'Object Crosswalk'!E54</f>
        <v>HC-A</v>
      </c>
      <c r="F246" s="19" t="str">
        <f aca="false">'Object Crosswalk'!F54</f>
        <v>RECONSTRUCTION</v>
      </c>
      <c r="G246" s="9" t="s">
        <v>341</v>
      </c>
      <c r="H246" s="11" t="s">
        <v>58</v>
      </c>
      <c r="I246" s="32" t="n">
        <f aca="false">0</f>
        <v>0</v>
      </c>
      <c r="J246" s="11" t="s">
        <v>576</v>
      </c>
      <c r="K246" s="32" t="str">
        <f aca="false">IF(I246=1,"ACCEPTED","OPEN")</f>
        <v>OPEN</v>
      </c>
    </row>
    <row r="247" customFormat="false" ht="15" hidden="false" customHeight="false" outlineLevel="0" collapsed="false">
      <c r="A247" s="19" t="str">
        <f aca="false">"PKT-"&amp;B247&amp;"-CONFIGURATION"</f>
        <v>PKT-MTH-HC-REC-L2-CONFIGURATION</v>
      </c>
      <c r="B247" s="19" t="str">
        <f aca="false">'Object Crosswalk'!A55</f>
        <v>MTH-HC-REC-L2</v>
      </c>
      <c r="C247" s="19" t="str">
        <f aca="false">'Object Crosswalk'!B55</f>
        <v>Method lineage</v>
      </c>
      <c r="D247" s="19" t="str">
        <f aca="false">'Object Crosswalk'!D55</f>
        <v>MS-HC</v>
      </c>
      <c r="E247" s="19" t="str">
        <f aca="false">'Object Crosswalk'!E55</f>
        <v>HC-A</v>
      </c>
      <c r="F247" s="19" t="str">
        <f aca="false">'Object Crosswalk'!F55</f>
        <v>RECONSTRUCTION</v>
      </c>
      <c r="G247" s="9" t="s">
        <v>728</v>
      </c>
      <c r="H247" s="11" t="s">
        <v>58</v>
      </c>
      <c r="I247" s="32" t="n">
        <f aca="false">0</f>
        <v>0</v>
      </c>
      <c r="J247" s="11" t="s">
        <v>576</v>
      </c>
      <c r="K247" s="32" t="str">
        <f aca="false">IF(I247=1,"ACCEPTED","OPEN")</f>
        <v>OPEN</v>
      </c>
    </row>
    <row r="248" customFormat="false" ht="15" hidden="false" customHeight="false" outlineLevel="0" collapsed="false">
      <c r="A248" s="19" t="str">
        <f aca="false">"PKT-"&amp;B248&amp;"-CONTROL"</f>
        <v>PKT-MTH-HC-REC-L2-CONTROL</v>
      </c>
      <c r="B248" s="19" t="str">
        <f aca="false">'Object Crosswalk'!A55</f>
        <v>MTH-HC-REC-L2</v>
      </c>
      <c r="C248" s="19" t="str">
        <f aca="false">'Object Crosswalk'!B55</f>
        <v>Method lineage</v>
      </c>
      <c r="D248" s="19" t="str">
        <f aca="false">'Object Crosswalk'!D55</f>
        <v>MS-HC</v>
      </c>
      <c r="E248" s="19" t="str">
        <f aca="false">'Object Crosswalk'!E55</f>
        <v>HC-A</v>
      </c>
      <c r="F248" s="19" t="str">
        <f aca="false">'Object Crosswalk'!F55</f>
        <v>RECONSTRUCTION</v>
      </c>
      <c r="G248" s="9" t="s">
        <v>333</v>
      </c>
      <c r="H248" s="11" t="s">
        <v>58</v>
      </c>
      <c r="I248" s="32" t="n">
        <f aca="false">0</f>
        <v>0</v>
      </c>
      <c r="J248" s="11" t="s">
        <v>576</v>
      </c>
      <c r="K248" s="32" t="str">
        <f aca="false">IF(I248=1,"ACCEPTED","OPEN")</f>
        <v>OPEN</v>
      </c>
    </row>
    <row r="249" customFormat="false" ht="15" hidden="false" customHeight="false" outlineLevel="0" collapsed="false">
      <c r="A249" s="19" t="str">
        <f aca="false">"PKT-"&amp;B249&amp;"-METROLOGY"</f>
        <v>PKT-MTH-HC-REC-L2-METROLOGY</v>
      </c>
      <c r="B249" s="19" t="str">
        <f aca="false">'Object Crosswalk'!A55</f>
        <v>MTH-HC-REC-L2</v>
      </c>
      <c r="C249" s="19" t="str">
        <f aca="false">'Object Crosswalk'!B55</f>
        <v>Method lineage</v>
      </c>
      <c r="D249" s="19" t="str">
        <f aca="false">'Object Crosswalk'!D55</f>
        <v>MS-HC</v>
      </c>
      <c r="E249" s="19" t="str">
        <f aca="false">'Object Crosswalk'!E55</f>
        <v>HC-A</v>
      </c>
      <c r="F249" s="19" t="str">
        <f aca="false">'Object Crosswalk'!F55</f>
        <v>RECONSTRUCTION</v>
      </c>
      <c r="G249" s="9" t="s">
        <v>729</v>
      </c>
      <c r="H249" s="11" t="s">
        <v>58</v>
      </c>
      <c r="I249" s="32" t="n">
        <f aca="false">0</f>
        <v>0</v>
      </c>
      <c r="J249" s="11" t="s">
        <v>576</v>
      </c>
      <c r="K249" s="32" t="str">
        <f aca="false">IF(I249=1,"ACCEPTED","OPEN")</f>
        <v>OPEN</v>
      </c>
    </row>
    <row r="250" customFormat="false" ht="15" hidden="false" customHeight="false" outlineLevel="0" collapsed="false">
      <c r="A250" s="19" t="str">
        <f aca="false">"PKT-"&amp;B250&amp;"-SAFETY"</f>
        <v>PKT-MTH-HC-REC-L2-SAFETY</v>
      </c>
      <c r="B250" s="19" t="str">
        <f aca="false">'Object Crosswalk'!A55</f>
        <v>MTH-HC-REC-L2</v>
      </c>
      <c r="C250" s="19" t="str">
        <f aca="false">'Object Crosswalk'!B55</f>
        <v>Method lineage</v>
      </c>
      <c r="D250" s="19" t="str">
        <f aca="false">'Object Crosswalk'!D55</f>
        <v>MS-HC</v>
      </c>
      <c r="E250" s="19" t="str">
        <f aca="false">'Object Crosswalk'!E55</f>
        <v>HC-A</v>
      </c>
      <c r="F250" s="19" t="str">
        <f aca="false">'Object Crosswalk'!F55</f>
        <v>RECONSTRUCTION</v>
      </c>
      <c r="G250" s="9" t="s">
        <v>730</v>
      </c>
      <c r="H250" s="11" t="s">
        <v>58</v>
      </c>
      <c r="I250" s="32" t="n">
        <f aca="false">0</f>
        <v>0</v>
      </c>
      <c r="J250" s="11" t="s">
        <v>576</v>
      </c>
      <c r="K250" s="32" t="str">
        <f aca="false">IF(I250=1,"ACCEPTED","OPEN")</f>
        <v>OPEN</v>
      </c>
    </row>
    <row r="251" customFormat="false" ht="15" hidden="false" customHeight="false" outlineLevel="0" collapsed="false">
      <c r="A251" s="19" t="str">
        <f aca="false">"PKT-"&amp;B251&amp;"-RECONSTRUCTION"</f>
        <v>PKT-MTH-HC-REC-L2-RECONSTRUCTION</v>
      </c>
      <c r="B251" s="19" t="str">
        <f aca="false">'Object Crosswalk'!A55</f>
        <v>MTH-HC-REC-L2</v>
      </c>
      <c r="C251" s="19" t="str">
        <f aca="false">'Object Crosswalk'!B55</f>
        <v>Method lineage</v>
      </c>
      <c r="D251" s="19" t="str">
        <f aca="false">'Object Crosswalk'!D55</f>
        <v>MS-HC</v>
      </c>
      <c r="E251" s="19" t="str">
        <f aca="false">'Object Crosswalk'!E55</f>
        <v>HC-A</v>
      </c>
      <c r="F251" s="19" t="str">
        <f aca="false">'Object Crosswalk'!F55</f>
        <v>RECONSTRUCTION</v>
      </c>
      <c r="G251" s="9" t="s">
        <v>341</v>
      </c>
      <c r="H251" s="11" t="s">
        <v>58</v>
      </c>
      <c r="I251" s="32" t="n">
        <f aca="false">0</f>
        <v>0</v>
      </c>
      <c r="J251" s="11" t="s">
        <v>576</v>
      </c>
      <c r="K251" s="32" t="str">
        <f aca="false">IF(I251=1,"ACCEPTED","OPEN")</f>
        <v>OPEN</v>
      </c>
    </row>
    <row r="252" customFormat="false" ht="15" hidden="false" customHeight="false" outlineLevel="0" collapsed="false">
      <c r="A252" s="19" t="str">
        <f aca="false">"PKT-"&amp;B252&amp;"-CONFIGURATION"</f>
        <v>PKT-REG-HC-REC-CONFIGURATION</v>
      </c>
      <c r="B252" s="19" t="str">
        <f aca="false">'Object Crosswalk'!A56</f>
        <v>REG-HC-REC</v>
      </c>
      <c r="C252" s="19" t="str">
        <f aca="false">'Object Crosswalk'!B56</f>
        <v>Regeneration tool</v>
      </c>
      <c r="D252" s="19" t="str">
        <f aca="false">'Object Crosswalk'!D56</f>
        <v>MS-HC</v>
      </c>
      <c r="E252" s="19" t="str">
        <f aca="false">'Object Crosswalk'!E56</f>
        <v>HC-A</v>
      </c>
      <c r="F252" s="19" t="str">
        <f aca="false">'Object Crosswalk'!F56</f>
        <v>RECONSTRUCTION</v>
      </c>
      <c r="G252" s="9" t="s">
        <v>728</v>
      </c>
      <c r="H252" s="11" t="s">
        <v>58</v>
      </c>
      <c r="I252" s="32" t="n">
        <f aca="false">0</f>
        <v>0</v>
      </c>
      <c r="J252" s="11" t="s">
        <v>576</v>
      </c>
      <c r="K252" s="32" t="str">
        <f aca="false">IF(I252=1,"ACCEPTED","OPEN")</f>
        <v>OPEN</v>
      </c>
    </row>
    <row r="253" customFormat="false" ht="15" hidden="false" customHeight="false" outlineLevel="0" collapsed="false">
      <c r="A253" s="19" t="str">
        <f aca="false">"PKT-"&amp;B253&amp;"-CONTROL"</f>
        <v>PKT-REG-HC-REC-CONTROL</v>
      </c>
      <c r="B253" s="19" t="str">
        <f aca="false">'Object Crosswalk'!A56</f>
        <v>REG-HC-REC</v>
      </c>
      <c r="C253" s="19" t="str">
        <f aca="false">'Object Crosswalk'!B56</f>
        <v>Regeneration tool</v>
      </c>
      <c r="D253" s="19" t="str">
        <f aca="false">'Object Crosswalk'!D56</f>
        <v>MS-HC</v>
      </c>
      <c r="E253" s="19" t="str">
        <f aca="false">'Object Crosswalk'!E56</f>
        <v>HC-A</v>
      </c>
      <c r="F253" s="19" t="str">
        <f aca="false">'Object Crosswalk'!F56</f>
        <v>RECONSTRUCTION</v>
      </c>
      <c r="G253" s="9" t="s">
        <v>333</v>
      </c>
      <c r="H253" s="11" t="s">
        <v>58</v>
      </c>
      <c r="I253" s="32" t="n">
        <f aca="false">0</f>
        <v>0</v>
      </c>
      <c r="J253" s="11" t="s">
        <v>576</v>
      </c>
      <c r="K253" s="32" t="str">
        <f aca="false">IF(I253=1,"ACCEPTED","OPEN")</f>
        <v>OPEN</v>
      </c>
    </row>
    <row r="254" customFormat="false" ht="15" hidden="false" customHeight="false" outlineLevel="0" collapsed="false">
      <c r="A254" s="19" t="str">
        <f aca="false">"PKT-"&amp;B254&amp;"-METROLOGY"</f>
        <v>PKT-REG-HC-REC-METROLOGY</v>
      </c>
      <c r="B254" s="19" t="str">
        <f aca="false">'Object Crosswalk'!A56</f>
        <v>REG-HC-REC</v>
      </c>
      <c r="C254" s="19" t="str">
        <f aca="false">'Object Crosswalk'!B56</f>
        <v>Regeneration tool</v>
      </c>
      <c r="D254" s="19" t="str">
        <f aca="false">'Object Crosswalk'!D56</f>
        <v>MS-HC</v>
      </c>
      <c r="E254" s="19" t="str">
        <f aca="false">'Object Crosswalk'!E56</f>
        <v>HC-A</v>
      </c>
      <c r="F254" s="19" t="str">
        <f aca="false">'Object Crosswalk'!F56</f>
        <v>RECONSTRUCTION</v>
      </c>
      <c r="G254" s="9" t="s">
        <v>729</v>
      </c>
      <c r="H254" s="11" t="s">
        <v>58</v>
      </c>
      <c r="I254" s="32" t="n">
        <f aca="false">0</f>
        <v>0</v>
      </c>
      <c r="J254" s="11" t="s">
        <v>576</v>
      </c>
      <c r="K254" s="32" t="str">
        <f aca="false">IF(I254=1,"ACCEPTED","OPEN")</f>
        <v>OPEN</v>
      </c>
    </row>
    <row r="255" customFormat="false" ht="15" hidden="false" customHeight="false" outlineLevel="0" collapsed="false">
      <c r="A255" s="19" t="str">
        <f aca="false">"PKT-"&amp;B255&amp;"-SAFETY"</f>
        <v>PKT-REG-HC-REC-SAFETY</v>
      </c>
      <c r="B255" s="19" t="str">
        <f aca="false">'Object Crosswalk'!A56</f>
        <v>REG-HC-REC</v>
      </c>
      <c r="C255" s="19" t="str">
        <f aca="false">'Object Crosswalk'!B56</f>
        <v>Regeneration tool</v>
      </c>
      <c r="D255" s="19" t="str">
        <f aca="false">'Object Crosswalk'!D56</f>
        <v>MS-HC</v>
      </c>
      <c r="E255" s="19" t="str">
        <f aca="false">'Object Crosswalk'!E56</f>
        <v>HC-A</v>
      </c>
      <c r="F255" s="19" t="str">
        <f aca="false">'Object Crosswalk'!F56</f>
        <v>RECONSTRUCTION</v>
      </c>
      <c r="G255" s="9" t="s">
        <v>730</v>
      </c>
      <c r="H255" s="11" t="s">
        <v>58</v>
      </c>
      <c r="I255" s="32" t="n">
        <f aca="false">0</f>
        <v>0</v>
      </c>
      <c r="J255" s="11" t="s">
        <v>576</v>
      </c>
      <c r="K255" s="32" t="str">
        <f aca="false">IF(I255=1,"ACCEPTED","OPEN")</f>
        <v>OPEN</v>
      </c>
    </row>
    <row r="256" customFormat="false" ht="15" hidden="false" customHeight="false" outlineLevel="0" collapsed="false">
      <c r="A256" s="19" t="str">
        <f aca="false">"PKT-"&amp;B256&amp;"-RECONSTRUCTION"</f>
        <v>PKT-REG-HC-REC-RECONSTRUCTION</v>
      </c>
      <c r="B256" s="19" t="str">
        <f aca="false">'Object Crosswalk'!A56</f>
        <v>REG-HC-REC</v>
      </c>
      <c r="C256" s="19" t="str">
        <f aca="false">'Object Crosswalk'!B56</f>
        <v>Regeneration tool</v>
      </c>
      <c r="D256" s="19" t="str">
        <f aca="false">'Object Crosswalk'!D56</f>
        <v>MS-HC</v>
      </c>
      <c r="E256" s="19" t="str">
        <f aca="false">'Object Crosswalk'!E56</f>
        <v>HC-A</v>
      </c>
      <c r="F256" s="19" t="str">
        <f aca="false">'Object Crosswalk'!F56</f>
        <v>RECONSTRUCTION</v>
      </c>
      <c r="G256" s="9" t="s">
        <v>341</v>
      </c>
      <c r="H256" s="11" t="s">
        <v>58</v>
      </c>
      <c r="I256" s="32" t="n">
        <f aca="false">0</f>
        <v>0</v>
      </c>
      <c r="J256" s="11" t="s">
        <v>576</v>
      </c>
      <c r="K256" s="32" t="str">
        <f aca="false">IF(I256=1,"ACCEPTED","OPEN")</f>
        <v>OPEN</v>
      </c>
    </row>
    <row r="257" customFormat="false" ht="15" hidden="false" customHeight="false" outlineLevel="0" collapsed="false">
      <c r="A257" s="19" t="str">
        <f aca="false">"PKT-"&amp;B257&amp;"-CONFIGURATION"</f>
        <v>PKT-INT-HC-REC-CONFIGURATION</v>
      </c>
      <c r="B257" s="19" t="str">
        <f aca="false">'Object Crosswalk'!A57</f>
        <v>INT-HC-REC</v>
      </c>
      <c r="C257" s="19" t="str">
        <f aca="false">'Object Crosswalk'!B57</f>
        <v>Station integration</v>
      </c>
      <c r="D257" s="19" t="str">
        <f aca="false">'Object Crosswalk'!D57</f>
        <v>MS-HC</v>
      </c>
      <c r="E257" s="19" t="str">
        <f aca="false">'Object Crosswalk'!E57</f>
        <v>HC-A</v>
      </c>
      <c r="F257" s="19" t="str">
        <f aca="false">'Object Crosswalk'!F57</f>
        <v>RECONSTRUCTION</v>
      </c>
      <c r="G257" s="9" t="s">
        <v>728</v>
      </c>
      <c r="H257" s="11" t="s">
        <v>58</v>
      </c>
      <c r="I257" s="32" t="n">
        <f aca="false">0</f>
        <v>0</v>
      </c>
      <c r="J257" s="11" t="s">
        <v>576</v>
      </c>
      <c r="K257" s="32" t="str">
        <f aca="false">IF(I257=1,"ACCEPTED","OPEN")</f>
        <v>OPEN</v>
      </c>
    </row>
    <row r="258" customFormat="false" ht="15" hidden="false" customHeight="false" outlineLevel="0" collapsed="false">
      <c r="A258" s="19" t="str">
        <f aca="false">"PKT-"&amp;B258&amp;"-CONTROL"</f>
        <v>PKT-INT-HC-REC-CONTROL</v>
      </c>
      <c r="B258" s="19" t="str">
        <f aca="false">'Object Crosswalk'!A57</f>
        <v>INT-HC-REC</v>
      </c>
      <c r="C258" s="19" t="str">
        <f aca="false">'Object Crosswalk'!B57</f>
        <v>Station integration</v>
      </c>
      <c r="D258" s="19" t="str">
        <f aca="false">'Object Crosswalk'!D57</f>
        <v>MS-HC</v>
      </c>
      <c r="E258" s="19" t="str">
        <f aca="false">'Object Crosswalk'!E57</f>
        <v>HC-A</v>
      </c>
      <c r="F258" s="19" t="str">
        <f aca="false">'Object Crosswalk'!F57</f>
        <v>RECONSTRUCTION</v>
      </c>
      <c r="G258" s="9" t="s">
        <v>333</v>
      </c>
      <c r="H258" s="11" t="s">
        <v>58</v>
      </c>
      <c r="I258" s="32" t="n">
        <f aca="false">0</f>
        <v>0</v>
      </c>
      <c r="J258" s="11" t="s">
        <v>576</v>
      </c>
      <c r="K258" s="32" t="str">
        <f aca="false">IF(I258=1,"ACCEPTED","OPEN")</f>
        <v>OPEN</v>
      </c>
    </row>
    <row r="259" customFormat="false" ht="15" hidden="false" customHeight="false" outlineLevel="0" collapsed="false">
      <c r="A259" s="19" t="str">
        <f aca="false">"PKT-"&amp;B259&amp;"-METROLOGY"</f>
        <v>PKT-INT-HC-REC-METROLOGY</v>
      </c>
      <c r="B259" s="19" t="str">
        <f aca="false">'Object Crosswalk'!A57</f>
        <v>INT-HC-REC</v>
      </c>
      <c r="C259" s="19" t="str">
        <f aca="false">'Object Crosswalk'!B57</f>
        <v>Station integration</v>
      </c>
      <c r="D259" s="19" t="str">
        <f aca="false">'Object Crosswalk'!D57</f>
        <v>MS-HC</v>
      </c>
      <c r="E259" s="19" t="str">
        <f aca="false">'Object Crosswalk'!E57</f>
        <v>HC-A</v>
      </c>
      <c r="F259" s="19" t="str">
        <f aca="false">'Object Crosswalk'!F57</f>
        <v>RECONSTRUCTION</v>
      </c>
      <c r="G259" s="9" t="s">
        <v>729</v>
      </c>
      <c r="H259" s="11" t="s">
        <v>58</v>
      </c>
      <c r="I259" s="32" t="n">
        <f aca="false">0</f>
        <v>0</v>
      </c>
      <c r="J259" s="11" t="s">
        <v>576</v>
      </c>
      <c r="K259" s="32" t="str">
        <f aca="false">IF(I259=1,"ACCEPTED","OPEN")</f>
        <v>OPEN</v>
      </c>
    </row>
    <row r="260" customFormat="false" ht="15" hidden="false" customHeight="false" outlineLevel="0" collapsed="false">
      <c r="A260" s="19" t="str">
        <f aca="false">"PKT-"&amp;B260&amp;"-SAFETY"</f>
        <v>PKT-INT-HC-REC-SAFETY</v>
      </c>
      <c r="B260" s="19" t="str">
        <f aca="false">'Object Crosswalk'!A57</f>
        <v>INT-HC-REC</v>
      </c>
      <c r="C260" s="19" t="str">
        <f aca="false">'Object Crosswalk'!B57</f>
        <v>Station integration</v>
      </c>
      <c r="D260" s="19" t="str">
        <f aca="false">'Object Crosswalk'!D57</f>
        <v>MS-HC</v>
      </c>
      <c r="E260" s="19" t="str">
        <f aca="false">'Object Crosswalk'!E57</f>
        <v>HC-A</v>
      </c>
      <c r="F260" s="19" t="str">
        <f aca="false">'Object Crosswalk'!F57</f>
        <v>RECONSTRUCTION</v>
      </c>
      <c r="G260" s="9" t="s">
        <v>730</v>
      </c>
      <c r="H260" s="11" t="s">
        <v>58</v>
      </c>
      <c r="I260" s="32" t="n">
        <f aca="false">0</f>
        <v>0</v>
      </c>
      <c r="J260" s="11" t="s">
        <v>576</v>
      </c>
      <c r="K260" s="32" t="str">
        <f aca="false">IF(I260=1,"ACCEPTED","OPEN")</f>
        <v>OPEN</v>
      </c>
    </row>
    <row r="261" customFormat="false" ht="15" hidden="false" customHeight="false" outlineLevel="0" collapsed="false">
      <c r="A261" s="19" t="str">
        <f aca="false">"PKT-"&amp;B261&amp;"-RECONSTRUCTION"</f>
        <v>PKT-INT-HC-REC-RECONSTRUCTION</v>
      </c>
      <c r="B261" s="19" t="str">
        <f aca="false">'Object Crosswalk'!A57</f>
        <v>INT-HC-REC</v>
      </c>
      <c r="C261" s="19" t="str">
        <f aca="false">'Object Crosswalk'!B57</f>
        <v>Station integration</v>
      </c>
      <c r="D261" s="19" t="str">
        <f aca="false">'Object Crosswalk'!D57</f>
        <v>MS-HC</v>
      </c>
      <c r="E261" s="19" t="str">
        <f aca="false">'Object Crosswalk'!E57</f>
        <v>HC-A</v>
      </c>
      <c r="F261" s="19" t="str">
        <f aca="false">'Object Crosswalk'!F57</f>
        <v>RECONSTRUCTION</v>
      </c>
      <c r="G261" s="9" t="s">
        <v>341</v>
      </c>
      <c r="H261" s="11" t="s">
        <v>58</v>
      </c>
      <c r="I261" s="32" t="n">
        <f aca="false">0</f>
        <v>0</v>
      </c>
      <c r="J261" s="11" t="s">
        <v>576</v>
      </c>
      <c r="K261" s="32" t="str">
        <f aca="false">IF(I261=1,"ACCEPTED","OPEN")</f>
        <v>OPEN</v>
      </c>
    </row>
    <row r="262" customFormat="false" ht="15" hidden="false" customHeight="false" outlineLevel="0" collapsed="false">
      <c r="A262" s="19" t="str">
        <f aca="false">"PKT-"&amp;B262&amp;"-CONFIGURATION"</f>
        <v>PKT-RIG-LF-CHA-CONFIGURATION</v>
      </c>
      <c r="B262" s="19" t="str">
        <f aca="false">'Object Crosswalk'!A58</f>
        <v>RIG-LF-CHA</v>
      </c>
      <c r="C262" s="19" t="str">
        <f aca="false">'Object Crosswalk'!B58</f>
        <v>Root-native rig</v>
      </c>
      <c r="D262" s="19" t="str">
        <f aca="false">'Object Crosswalk'!D58</f>
        <v>MS-LF</v>
      </c>
      <c r="E262" s="19" t="str">
        <f aca="false">'Object Crosswalk'!E58</f>
        <v>LF-B</v>
      </c>
      <c r="F262" s="19" t="str">
        <f aca="false">'Object Crosswalk'!F58</f>
        <v>CHALLENGE</v>
      </c>
      <c r="G262" s="9" t="s">
        <v>728</v>
      </c>
      <c r="H262" s="11" t="s">
        <v>58</v>
      </c>
      <c r="I262" s="32" t="n">
        <f aca="false">0</f>
        <v>0</v>
      </c>
      <c r="J262" s="11" t="s">
        <v>576</v>
      </c>
      <c r="K262" s="32" t="str">
        <f aca="false">IF(I262=1,"ACCEPTED","OPEN")</f>
        <v>OPEN</v>
      </c>
    </row>
    <row r="263" customFormat="false" ht="15" hidden="false" customHeight="false" outlineLevel="0" collapsed="false">
      <c r="A263" s="19" t="str">
        <f aca="false">"PKT-"&amp;B263&amp;"-CONTROL"</f>
        <v>PKT-RIG-LF-CHA-CONTROL</v>
      </c>
      <c r="B263" s="19" t="str">
        <f aca="false">'Object Crosswalk'!A58</f>
        <v>RIG-LF-CHA</v>
      </c>
      <c r="C263" s="19" t="str">
        <f aca="false">'Object Crosswalk'!B58</f>
        <v>Root-native rig</v>
      </c>
      <c r="D263" s="19" t="str">
        <f aca="false">'Object Crosswalk'!D58</f>
        <v>MS-LF</v>
      </c>
      <c r="E263" s="19" t="str">
        <f aca="false">'Object Crosswalk'!E58</f>
        <v>LF-B</v>
      </c>
      <c r="F263" s="19" t="str">
        <f aca="false">'Object Crosswalk'!F58</f>
        <v>CHALLENGE</v>
      </c>
      <c r="G263" s="9" t="s">
        <v>333</v>
      </c>
      <c r="H263" s="11" t="s">
        <v>58</v>
      </c>
      <c r="I263" s="32" t="n">
        <f aca="false">0</f>
        <v>0</v>
      </c>
      <c r="J263" s="11" t="s">
        <v>576</v>
      </c>
      <c r="K263" s="32" t="str">
        <f aca="false">IF(I263=1,"ACCEPTED","OPEN")</f>
        <v>OPEN</v>
      </c>
    </row>
    <row r="264" customFormat="false" ht="15" hidden="false" customHeight="false" outlineLevel="0" collapsed="false">
      <c r="A264" s="19" t="str">
        <f aca="false">"PKT-"&amp;B264&amp;"-METROLOGY"</f>
        <v>PKT-RIG-LF-CHA-METROLOGY</v>
      </c>
      <c r="B264" s="19" t="str">
        <f aca="false">'Object Crosswalk'!A58</f>
        <v>RIG-LF-CHA</v>
      </c>
      <c r="C264" s="19" t="str">
        <f aca="false">'Object Crosswalk'!B58</f>
        <v>Root-native rig</v>
      </c>
      <c r="D264" s="19" t="str">
        <f aca="false">'Object Crosswalk'!D58</f>
        <v>MS-LF</v>
      </c>
      <c r="E264" s="19" t="str">
        <f aca="false">'Object Crosswalk'!E58</f>
        <v>LF-B</v>
      </c>
      <c r="F264" s="19" t="str">
        <f aca="false">'Object Crosswalk'!F58</f>
        <v>CHALLENGE</v>
      </c>
      <c r="G264" s="9" t="s">
        <v>729</v>
      </c>
      <c r="H264" s="11" t="s">
        <v>58</v>
      </c>
      <c r="I264" s="32" t="n">
        <f aca="false">0</f>
        <v>0</v>
      </c>
      <c r="J264" s="11" t="s">
        <v>576</v>
      </c>
      <c r="K264" s="32" t="str">
        <f aca="false">IF(I264=1,"ACCEPTED","OPEN")</f>
        <v>OPEN</v>
      </c>
    </row>
    <row r="265" customFormat="false" ht="15" hidden="false" customHeight="false" outlineLevel="0" collapsed="false">
      <c r="A265" s="19" t="str">
        <f aca="false">"PKT-"&amp;B265&amp;"-SAFETY"</f>
        <v>PKT-RIG-LF-CHA-SAFETY</v>
      </c>
      <c r="B265" s="19" t="str">
        <f aca="false">'Object Crosswalk'!A58</f>
        <v>RIG-LF-CHA</v>
      </c>
      <c r="C265" s="19" t="str">
        <f aca="false">'Object Crosswalk'!B58</f>
        <v>Root-native rig</v>
      </c>
      <c r="D265" s="19" t="str">
        <f aca="false">'Object Crosswalk'!D58</f>
        <v>MS-LF</v>
      </c>
      <c r="E265" s="19" t="str">
        <f aca="false">'Object Crosswalk'!E58</f>
        <v>LF-B</v>
      </c>
      <c r="F265" s="19" t="str">
        <f aca="false">'Object Crosswalk'!F58</f>
        <v>CHALLENGE</v>
      </c>
      <c r="G265" s="9" t="s">
        <v>730</v>
      </c>
      <c r="H265" s="11" t="s">
        <v>58</v>
      </c>
      <c r="I265" s="32" t="n">
        <f aca="false">0</f>
        <v>0</v>
      </c>
      <c r="J265" s="11" t="s">
        <v>576</v>
      </c>
      <c r="K265" s="32" t="str">
        <f aca="false">IF(I265=1,"ACCEPTED","OPEN")</f>
        <v>OPEN</v>
      </c>
    </row>
    <row r="266" customFormat="false" ht="15" hidden="false" customHeight="false" outlineLevel="0" collapsed="false">
      <c r="A266" s="19" t="str">
        <f aca="false">"PKT-"&amp;B266&amp;"-RECONSTRUCTION"</f>
        <v>PKT-RIG-LF-CHA-RECONSTRUCTION</v>
      </c>
      <c r="B266" s="19" t="str">
        <f aca="false">'Object Crosswalk'!A58</f>
        <v>RIG-LF-CHA</v>
      </c>
      <c r="C266" s="19" t="str">
        <f aca="false">'Object Crosswalk'!B58</f>
        <v>Root-native rig</v>
      </c>
      <c r="D266" s="19" t="str">
        <f aca="false">'Object Crosswalk'!D58</f>
        <v>MS-LF</v>
      </c>
      <c r="E266" s="19" t="str">
        <f aca="false">'Object Crosswalk'!E58</f>
        <v>LF-B</v>
      </c>
      <c r="F266" s="19" t="str">
        <f aca="false">'Object Crosswalk'!F58</f>
        <v>CHALLENGE</v>
      </c>
      <c r="G266" s="9" t="s">
        <v>341</v>
      </c>
      <c r="H266" s="11" t="s">
        <v>58</v>
      </c>
      <c r="I266" s="32" t="n">
        <f aca="false">0</f>
        <v>0</v>
      </c>
      <c r="J266" s="11" t="s">
        <v>576</v>
      </c>
      <c r="K266" s="32" t="str">
        <f aca="false">IF(I266=1,"ACCEPTED","OPEN")</f>
        <v>OPEN</v>
      </c>
    </row>
    <row r="267" customFormat="false" ht="15" hidden="false" customHeight="false" outlineLevel="0" collapsed="false">
      <c r="A267" s="19" t="str">
        <f aca="false">"PKT-"&amp;B267&amp;"-CONFIGURATION"</f>
        <v>PKT-MTH-LF-CHA-L1-CONFIGURATION</v>
      </c>
      <c r="B267" s="19" t="str">
        <f aca="false">'Object Crosswalk'!A59</f>
        <v>MTH-LF-CHA-L1</v>
      </c>
      <c r="C267" s="19" t="str">
        <f aca="false">'Object Crosswalk'!B59</f>
        <v>Method lineage</v>
      </c>
      <c r="D267" s="19" t="str">
        <f aca="false">'Object Crosswalk'!D59</f>
        <v>MS-LF</v>
      </c>
      <c r="E267" s="19" t="str">
        <f aca="false">'Object Crosswalk'!E59</f>
        <v>LF-B</v>
      </c>
      <c r="F267" s="19" t="str">
        <f aca="false">'Object Crosswalk'!F59</f>
        <v>CHALLENGE</v>
      </c>
      <c r="G267" s="9" t="s">
        <v>728</v>
      </c>
      <c r="H267" s="11" t="s">
        <v>58</v>
      </c>
      <c r="I267" s="32" t="n">
        <f aca="false">0</f>
        <v>0</v>
      </c>
      <c r="J267" s="11" t="s">
        <v>576</v>
      </c>
      <c r="K267" s="32" t="str">
        <f aca="false">IF(I267=1,"ACCEPTED","OPEN")</f>
        <v>OPEN</v>
      </c>
    </row>
    <row r="268" customFormat="false" ht="15" hidden="false" customHeight="false" outlineLevel="0" collapsed="false">
      <c r="A268" s="19" t="str">
        <f aca="false">"PKT-"&amp;B268&amp;"-CONTROL"</f>
        <v>PKT-MTH-LF-CHA-L1-CONTROL</v>
      </c>
      <c r="B268" s="19" t="str">
        <f aca="false">'Object Crosswalk'!A59</f>
        <v>MTH-LF-CHA-L1</v>
      </c>
      <c r="C268" s="19" t="str">
        <f aca="false">'Object Crosswalk'!B59</f>
        <v>Method lineage</v>
      </c>
      <c r="D268" s="19" t="str">
        <f aca="false">'Object Crosswalk'!D59</f>
        <v>MS-LF</v>
      </c>
      <c r="E268" s="19" t="str">
        <f aca="false">'Object Crosswalk'!E59</f>
        <v>LF-B</v>
      </c>
      <c r="F268" s="19" t="str">
        <f aca="false">'Object Crosswalk'!F59</f>
        <v>CHALLENGE</v>
      </c>
      <c r="G268" s="9" t="s">
        <v>333</v>
      </c>
      <c r="H268" s="11" t="s">
        <v>58</v>
      </c>
      <c r="I268" s="32" t="n">
        <f aca="false">0</f>
        <v>0</v>
      </c>
      <c r="J268" s="11" t="s">
        <v>576</v>
      </c>
      <c r="K268" s="32" t="str">
        <f aca="false">IF(I268=1,"ACCEPTED","OPEN")</f>
        <v>OPEN</v>
      </c>
    </row>
    <row r="269" customFormat="false" ht="15" hidden="false" customHeight="false" outlineLevel="0" collapsed="false">
      <c r="A269" s="19" t="str">
        <f aca="false">"PKT-"&amp;B269&amp;"-METROLOGY"</f>
        <v>PKT-MTH-LF-CHA-L1-METROLOGY</v>
      </c>
      <c r="B269" s="19" t="str">
        <f aca="false">'Object Crosswalk'!A59</f>
        <v>MTH-LF-CHA-L1</v>
      </c>
      <c r="C269" s="19" t="str">
        <f aca="false">'Object Crosswalk'!B59</f>
        <v>Method lineage</v>
      </c>
      <c r="D269" s="19" t="str">
        <f aca="false">'Object Crosswalk'!D59</f>
        <v>MS-LF</v>
      </c>
      <c r="E269" s="19" t="str">
        <f aca="false">'Object Crosswalk'!E59</f>
        <v>LF-B</v>
      </c>
      <c r="F269" s="19" t="str">
        <f aca="false">'Object Crosswalk'!F59</f>
        <v>CHALLENGE</v>
      </c>
      <c r="G269" s="9" t="s">
        <v>729</v>
      </c>
      <c r="H269" s="11" t="s">
        <v>58</v>
      </c>
      <c r="I269" s="32" t="n">
        <f aca="false">0</f>
        <v>0</v>
      </c>
      <c r="J269" s="11" t="s">
        <v>576</v>
      </c>
      <c r="K269" s="32" t="str">
        <f aca="false">IF(I269=1,"ACCEPTED","OPEN")</f>
        <v>OPEN</v>
      </c>
    </row>
    <row r="270" customFormat="false" ht="15" hidden="false" customHeight="false" outlineLevel="0" collapsed="false">
      <c r="A270" s="19" t="str">
        <f aca="false">"PKT-"&amp;B270&amp;"-SAFETY"</f>
        <v>PKT-MTH-LF-CHA-L1-SAFETY</v>
      </c>
      <c r="B270" s="19" t="str">
        <f aca="false">'Object Crosswalk'!A59</f>
        <v>MTH-LF-CHA-L1</v>
      </c>
      <c r="C270" s="19" t="str">
        <f aca="false">'Object Crosswalk'!B59</f>
        <v>Method lineage</v>
      </c>
      <c r="D270" s="19" t="str">
        <f aca="false">'Object Crosswalk'!D59</f>
        <v>MS-LF</v>
      </c>
      <c r="E270" s="19" t="str">
        <f aca="false">'Object Crosswalk'!E59</f>
        <v>LF-B</v>
      </c>
      <c r="F270" s="19" t="str">
        <f aca="false">'Object Crosswalk'!F59</f>
        <v>CHALLENGE</v>
      </c>
      <c r="G270" s="9" t="s">
        <v>730</v>
      </c>
      <c r="H270" s="11" t="s">
        <v>58</v>
      </c>
      <c r="I270" s="32" t="n">
        <f aca="false">0</f>
        <v>0</v>
      </c>
      <c r="J270" s="11" t="s">
        <v>576</v>
      </c>
      <c r="K270" s="32" t="str">
        <f aca="false">IF(I270=1,"ACCEPTED","OPEN")</f>
        <v>OPEN</v>
      </c>
    </row>
    <row r="271" customFormat="false" ht="15" hidden="false" customHeight="false" outlineLevel="0" collapsed="false">
      <c r="A271" s="19" t="str">
        <f aca="false">"PKT-"&amp;B271&amp;"-RECONSTRUCTION"</f>
        <v>PKT-MTH-LF-CHA-L1-RECONSTRUCTION</v>
      </c>
      <c r="B271" s="19" t="str">
        <f aca="false">'Object Crosswalk'!A59</f>
        <v>MTH-LF-CHA-L1</v>
      </c>
      <c r="C271" s="19" t="str">
        <f aca="false">'Object Crosswalk'!B59</f>
        <v>Method lineage</v>
      </c>
      <c r="D271" s="19" t="str">
        <f aca="false">'Object Crosswalk'!D59</f>
        <v>MS-LF</v>
      </c>
      <c r="E271" s="19" t="str">
        <f aca="false">'Object Crosswalk'!E59</f>
        <v>LF-B</v>
      </c>
      <c r="F271" s="19" t="str">
        <f aca="false">'Object Crosswalk'!F59</f>
        <v>CHALLENGE</v>
      </c>
      <c r="G271" s="9" t="s">
        <v>341</v>
      </c>
      <c r="H271" s="11" t="s">
        <v>58</v>
      </c>
      <c r="I271" s="32" t="n">
        <f aca="false">0</f>
        <v>0</v>
      </c>
      <c r="J271" s="11" t="s">
        <v>576</v>
      </c>
      <c r="K271" s="32" t="str">
        <f aca="false">IF(I271=1,"ACCEPTED","OPEN")</f>
        <v>OPEN</v>
      </c>
    </row>
    <row r="272" customFormat="false" ht="15" hidden="false" customHeight="false" outlineLevel="0" collapsed="false">
      <c r="A272" s="19" t="str">
        <f aca="false">"PKT-"&amp;B272&amp;"-CONFIGURATION"</f>
        <v>PKT-MTH-LF-CHA-L2-CONFIGURATION</v>
      </c>
      <c r="B272" s="19" t="str">
        <f aca="false">'Object Crosswalk'!A60</f>
        <v>MTH-LF-CHA-L2</v>
      </c>
      <c r="C272" s="19" t="str">
        <f aca="false">'Object Crosswalk'!B60</f>
        <v>Method lineage</v>
      </c>
      <c r="D272" s="19" t="str">
        <f aca="false">'Object Crosswalk'!D60</f>
        <v>MS-LF</v>
      </c>
      <c r="E272" s="19" t="str">
        <f aca="false">'Object Crosswalk'!E60</f>
        <v>LF-B</v>
      </c>
      <c r="F272" s="19" t="str">
        <f aca="false">'Object Crosswalk'!F60</f>
        <v>CHALLENGE</v>
      </c>
      <c r="G272" s="9" t="s">
        <v>728</v>
      </c>
      <c r="H272" s="11" t="s">
        <v>58</v>
      </c>
      <c r="I272" s="32" t="n">
        <f aca="false">0</f>
        <v>0</v>
      </c>
      <c r="J272" s="11" t="s">
        <v>576</v>
      </c>
      <c r="K272" s="32" t="str">
        <f aca="false">IF(I272=1,"ACCEPTED","OPEN")</f>
        <v>OPEN</v>
      </c>
    </row>
    <row r="273" customFormat="false" ht="15" hidden="false" customHeight="false" outlineLevel="0" collapsed="false">
      <c r="A273" s="19" t="str">
        <f aca="false">"PKT-"&amp;B273&amp;"-CONTROL"</f>
        <v>PKT-MTH-LF-CHA-L2-CONTROL</v>
      </c>
      <c r="B273" s="19" t="str">
        <f aca="false">'Object Crosswalk'!A60</f>
        <v>MTH-LF-CHA-L2</v>
      </c>
      <c r="C273" s="19" t="str">
        <f aca="false">'Object Crosswalk'!B60</f>
        <v>Method lineage</v>
      </c>
      <c r="D273" s="19" t="str">
        <f aca="false">'Object Crosswalk'!D60</f>
        <v>MS-LF</v>
      </c>
      <c r="E273" s="19" t="str">
        <f aca="false">'Object Crosswalk'!E60</f>
        <v>LF-B</v>
      </c>
      <c r="F273" s="19" t="str">
        <f aca="false">'Object Crosswalk'!F60</f>
        <v>CHALLENGE</v>
      </c>
      <c r="G273" s="9" t="s">
        <v>333</v>
      </c>
      <c r="H273" s="11" t="s">
        <v>58</v>
      </c>
      <c r="I273" s="32" t="n">
        <f aca="false">0</f>
        <v>0</v>
      </c>
      <c r="J273" s="11" t="s">
        <v>576</v>
      </c>
      <c r="K273" s="32" t="str">
        <f aca="false">IF(I273=1,"ACCEPTED","OPEN")</f>
        <v>OPEN</v>
      </c>
    </row>
    <row r="274" customFormat="false" ht="15" hidden="false" customHeight="false" outlineLevel="0" collapsed="false">
      <c r="A274" s="19" t="str">
        <f aca="false">"PKT-"&amp;B274&amp;"-METROLOGY"</f>
        <v>PKT-MTH-LF-CHA-L2-METROLOGY</v>
      </c>
      <c r="B274" s="19" t="str">
        <f aca="false">'Object Crosswalk'!A60</f>
        <v>MTH-LF-CHA-L2</v>
      </c>
      <c r="C274" s="19" t="str">
        <f aca="false">'Object Crosswalk'!B60</f>
        <v>Method lineage</v>
      </c>
      <c r="D274" s="19" t="str">
        <f aca="false">'Object Crosswalk'!D60</f>
        <v>MS-LF</v>
      </c>
      <c r="E274" s="19" t="str">
        <f aca="false">'Object Crosswalk'!E60</f>
        <v>LF-B</v>
      </c>
      <c r="F274" s="19" t="str">
        <f aca="false">'Object Crosswalk'!F60</f>
        <v>CHALLENGE</v>
      </c>
      <c r="G274" s="9" t="s">
        <v>729</v>
      </c>
      <c r="H274" s="11" t="s">
        <v>58</v>
      </c>
      <c r="I274" s="32" t="n">
        <f aca="false">0</f>
        <v>0</v>
      </c>
      <c r="J274" s="11" t="s">
        <v>576</v>
      </c>
      <c r="K274" s="32" t="str">
        <f aca="false">IF(I274=1,"ACCEPTED","OPEN")</f>
        <v>OPEN</v>
      </c>
    </row>
    <row r="275" customFormat="false" ht="15" hidden="false" customHeight="false" outlineLevel="0" collapsed="false">
      <c r="A275" s="19" t="str">
        <f aca="false">"PKT-"&amp;B275&amp;"-SAFETY"</f>
        <v>PKT-MTH-LF-CHA-L2-SAFETY</v>
      </c>
      <c r="B275" s="19" t="str">
        <f aca="false">'Object Crosswalk'!A60</f>
        <v>MTH-LF-CHA-L2</v>
      </c>
      <c r="C275" s="19" t="str">
        <f aca="false">'Object Crosswalk'!B60</f>
        <v>Method lineage</v>
      </c>
      <c r="D275" s="19" t="str">
        <f aca="false">'Object Crosswalk'!D60</f>
        <v>MS-LF</v>
      </c>
      <c r="E275" s="19" t="str">
        <f aca="false">'Object Crosswalk'!E60</f>
        <v>LF-B</v>
      </c>
      <c r="F275" s="19" t="str">
        <f aca="false">'Object Crosswalk'!F60</f>
        <v>CHALLENGE</v>
      </c>
      <c r="G275" s="9" t="s">
        <v>730</v>
      </c>
      <c r="H275" s="11" t="s">
        <v>58</v>
      </c>
      <c r="I275" s="32" t="n">
        <f aca="false">0</f>
        <v>0</v>
      </c>
      <c r="J275" s="11" t="s">
        <v>576</v>
      </c>
      <c r="K275" s="32" t="str">
        <f aca="false">IF(I275=1,"ACCEPTED","OPEN")</f>
        <v>OPEN</v>
      </c>
    </row>
    <row r="276" customFormat="false" ht="15" hidden="false" customHeight="false" outlineLevel="0" collapsed="false">
      <c r="A276" s="19" t="str">
        <f aca="false">"PKT-"&amp;B276&amp;"-RECONSTRUCTION"</f>
        <v>PKT-MTH-LF-CHA-L2-RECONSTRUCTION</v>
      </c>
      <c r="B276" s="19" t="str">
        <f aca="false">'Object Crosswalk'!A60</f>
        <v>MTH-LF-CHA-L2</v>
      </c>
      <c r="C276" s="19" t="str">
        <f aca="false">'Object Crosswalk'!B60</f>
        <v>Method lineage</v>
      </c>
      <c r="D276" s="19" t="str">
        <f aca="false">'Object Crosswalk'!D60</f>
        <v>MS-LF</v>
      </c>
      <c r="E276" s="19" t="str">
        <f aca="false">'Object Crosswalk'!E60</f>
        <v>LF-B</v>
      </c>
      <c r="F276" s="19" t="str">
        <f aca="false">'Object Crosswalk'!F60</f>
        <v>CHALLENGE</v>
      </c>
      <c r="G276" s="9" t="s">
        <v>341</v>
      </c>
      <c r="H276" s="11" t="s">
        <v>58</v>
      </c>
      <c r="I276" s="32" t="n">
        <f aca="false">0</f>
        <v>0</v>
      </c>
      <c r="J276" s="11" t="s">
        <v>576</v>
      </c>
      <c r="K276" s="32" t="str">
        <f aca="false">IF(I276=1,"ACCEPTED","OPEN")</f>
        <v>OPEN</v>
      </c>
    </row>
    <row r="277" customFormat="false" ht="15" hidden="false" customHeight="false" outlineLevel="0" collapsed="false">
      <c r="A277" s="19" t="str">
        <f aca="false">"PKT-"&amp;B277&amp;"-CONFIGURATION"</f>
        <v>PKT-REG-LF-CHA-CONFIGURATION</v>
      </c>
      <c r="B277" s="19" t="str">
        <f aca="false">'Object Crosswalk'!A61</f>
        <v>REG-LF-CHA</v>
      </c>
      <c r="C277" s="19" t="str">
        <f aca="false">'Object Crosswalk'!B61</f>
        <v>Regeneration tool</v>
      </c>
      <c r="D277" s="19" t="str">
        <f aca="false">'Object Crosswalk'!D61</f>
        <v>MS-LF</v>
      </c>
      <c r="E277" s="19" t="str">
        <f aca="false">'Object Crosswalk'!E61</f>
        <v>LF-B</v>
      </c>
      <c r="F277" s="19" t="str">
        <f aca="false">'Object Crosswalk'!F61</f>
        <v>CHALLENGE</v>
      </c>
      <c r="G277" s="9" t="s">
        <v>728</v>
      </c>
      <c r="H277" s="11" t="s">
        <v>58</v>
      </c>
      <c r="I277" s="32" t="n">
        <f aca="false">0</f>
        <v>0</v>
      </c>
      <c r="J277" s="11" t="s">
        <v>576</v>
      </c>
      <c r="K277" s="32" t="str">
        <f aca="false">IF(I277=1,"ACCEPTED","OPEN")</f>
        <v>OPEN</v>
      </c>
    </row>
    <row r="278" customFormat="false" ht="15" hidden="false" customHeight="false" outlineLevel="0" collapsed="false">
      <c r="A278" s="19" t="str">
        <f aca="false">"PKT-"&amp;B278&amp;"-CONTROL"</f>
        <v>PKT-REG-LF-CHA-CONTROL</v>
      </c>
      <c r="B278" s="19" t="str">
        <f aca="false">'Object Crosswalk'!A61</f>
        <v>REG-LF-CHA</v>
      </c>
      <c r="C278" s="19" t="str">
        <f aca="false">'Object Crosswalk'!B61</f>
        <v>Regeneration tool</v>
      </c>
      <c r="D278" s="19" t="str">
        <f aca="false">'Object Crosswalk'!D61</f>
        <v>MS-LF</v>
      </c>
      <c r="E278" s="19" t="str">
        <f aca="false">'Object Crosswalk'!E61</f>
        <v>LF-B</v>
      </c>
      <c r="F278" s="19" t="str">
        <f aca="false">'Object Crosswalk'!F61</f>
        <v>CHALLENGE</v>
      </c>
      <c r="G278" s="9" t="s">
        <v>333</v>
      </c>
      <c r="H278" s="11" t="s">
        <v>58</v>
      </c>
      <c r="I278" s="32" t="n">
        <f aca="false">0</f>
        <v>0</v>
      </c>
      <c r="J278" s="11" t="s">
        <v>576</v>
      </c>
      <c r="K278" s="32" t="str">
        <f aca="false">IF(I278=1,"ACCEPTED","OPEN")</f>
        <v>OPEN</v>
      </c>
    </row>
    <row r="279" customFormat="false" ht="15" hidden="false" customHeight="false" outlineLevel="0" collapsed="false">
      <c r="A279" s="19" t="str">
        <f aca="false">"PKT-"&amp;B279&amp;"-METROLOGY"</f>
        <v>PKT-REG-LF-CHA-METROLOGY</v>
      </c>
      <c r="B279" s="19" t="str">
        <f aca="false">'Object Crosswalk'!A61</f>
        <v>REG-LF-CHA</v>
      </c>
      <c r="C279" s="19" t="str">
        <f aca="false">'Object Crosswalk'!B61</f>
        <v>Regeneration tool</v>
      </c>
      <c r="D279" s="19" t="str">
        <f aca="false">'Object Crosswalk'!D61</f>
        <v>MS-LF</v>
      </c>
      <c r="E279" s="19" t="str">
        <f aca="false">'Object Crosswalk'!E61</f>
        <v>LF-B</v>
      </c>
      <c r="F279" s="19" t="str">
        <f aca="false">'Object Crosswalk'!F61</f>
        <v>CHALLENGE</v>
      </c>
      <c r="G279" s="9" t="s">
        <v>729</v>
      </c>
      <c r="H279" s="11" t="s">
        <v>58</v>
      </c>
      <c r="I279" s="32" t="n">
        <f aca="false">0</f>
        <v>0</v>
      </c>
      <c r="J279" s="11" t="s">
        <v>576</v>
      </c>
      <c r="K279" s="32" t="str">
        <f aca="false">IF(I279=1,"ACCEPTED","OPEN")</f>
        <v>OPEN</v>
      </c>
    </row>
    <row r="280" customFormat="false" ht="15" hidden="false" customHeight="false" outlineLevel="0" collapsed="false">
      <c r="A280" s="19" t="str">
        <f aca="false">"PKT-"&amp;B280&amp;"-SAFETY"</f>
        <v>PKT-REG-LF-CHA-SAFETY</v>
      </c>
      <c r="B280" s="19" t="str">
        <f aca="false">'Object Crosswalk'!A61</f>
        <v>REG-LF-CHA</v>
      </c>
      <c r="C280" s="19" t="str">
        <f aca="false">'Object Crosswalk'!B61</f>
        <v>Regeneration tool</v>
      </c>
      <c r="D280" s="19" t="str">
        <f aca="false">'Object Crosswalk'!D61</f>
        <v>MS-LF</v>
      </c>
      <c r="E280" s="19" t="str">
        <f aca="false">'Object Crosswalk'!E61</f>
        <v>LF-B</v>
      </c>
      <c r="F280" s="19" t="str">
        <f aca="false">'Object Crosswalk'!F61</f>
        <v>CHALLENGE</v>
      </c>
      <c r="G280" s="9" t="s">
        <v>730</v>
      </c>
      <c r="H280" s="11" t="s">
        <v>58</v>
      </c>
      <c r="I280" s="32" t="n">
        <f aca="false">0</f>
        <v>0</v>
      </c>
      <c r="J280" s="11" t="s">
        <v>576</v>
      </c>
      <c r="K280" s="32" t="str">
        <f aca="false">IF(I280=1,"ACCEPTED","OPEN")</f>
        <v>OPEN</v>
      </c>
    </row>
    <row r="281" customFormat="false" ht="15" hidden="false" customHeight="false" outlineLevel="0" collapsed="false">
      <c r="A281" s="19" t="str">
        <f aca="false">"PKT-"&amp;B281&amp;"-RECONSTRUCTION"</f>
        <v>PKT-REG-LF-CHA-RECONSTRUCTION</v>
      </c>
      <c r="B281" s="19" t="str">
        <f aca="false">'Object Crosswalk'!A61</f>
        <v>REG-LF-CHA</v>
      </c>
      <c r="C281" s="19" t="str">
        <f aca="false">'Object Crosswalk'!B61</f>
        <v>Regeneration tool</v>
      </c>
      <c r="D281" s="19" t="str">
        <f aca="false">'Object Crosswalk'!D61</f>
        <v>MS-LF</v>
      </c>
      <c r="E281" s="19" t="str">
        <f aca="false">'Object Crosswalk'!E61</f>
        <v>LF-B</v>
      </c>
      <c r="F281" s="19" t="str">
        <f aca="false">'Object Crosswalk'!F61</f>
        <v>CHALLENGE</v>
      </c>
      <c r="G281" s="9" t="s">
        <v>341</v>
      </c>
      <c r="H281" s="11" t="s">
        <v>58</v>
      </c>
      <c r="I281" s="32" t="n">
        <f aca="false">0</f>
        <v>0</v>
      </c>
      <c r="J281" s="11" t="s">
        <v>576</v>
      </c>
      <c r="K281" s="32" t="str">
        <f aca="false">IF(I281=1,"ACCEPTED","OPEN")</f>
        <v>OPEN</v>
      </c>
    </row>
    <row r="282" customFormat="false" ht="15" hidden="false" customHeight="false" outlineLevel="0" collapsed="false">
      <c r="A282" s="19" t="str">
        <f aca="false">"PKT-"&amp;B282&amp;"-CONFIGURATION"</f>
        <v>PKT-INT-LF-CHA-CONFIGURATION</v>
      </c>
      <c r="B282" s="19" t="str">
        <f aca="false">'Object Crosswalk'!A62</f>
        <v>INT-LF-CHA</v>
      </c>
      <c r="C282" s="19" t="str">
        <f aca="false">'Object Crosswalk'!B62</f>
        <v>Station integration</v>
      </c>
      <c r="D282" s="19" t="str">
        <f aca="false">'Object Crosswalk'!D62</f>
        <v>MS-LF</v>
      </c>
      <c r="E282" s="19" t="str">
        <f aca="false">'Object Crosswalk'!E62</f>
        <v>LF-B</v>
      </c>
      <c r="F282" s="19" t="str">
        <f aca="false">'Object Crosswalk'!F62</f>
        <v>CHALLENGE</v>
      </c>
      <c r="G282" s="9" t="s">
        <v>728</v>
      </c>
      <c r="H282" s="11" t="s">
        <v>58</v>
      </c>
      <c r="I282" s="32" t="n">
        <f aca="false">0</f>
        <v>0</v>
      </c>
      <c r="J282" s="11" t="s">
        <v>576</v>
      </c>
      <c r="K282" s="32" t="str">
        <f aca="false">IF(I282=1,"ACCEPTED","OPEN")</f>
        <v>OPEN</v>
      </c>
    </row>
    <row r="283" customFormat="false" ht="15" hidden="false" customHeight="false" outlineLevel="0" collapsed="false">
      <c r="A283" s="19" t="str">
        <f aca="false">"PKT-"&amp;B283&amp;"-CONTROL"</f>
        <v>PKT-INT-LF-CHA-CONTROL</v>
      </c>
      <c r="B283" s="19" t="str">
        <f aca="false">'Object Crosswalk'!A62</f>
        <v>INT-LF-CHA</v>
      </c>
      <c r="C283" s="19" t="str">
        <f aca="false">'Object Crosswalk'!B62</f>
        <v>Station integration</v>
      </c>
      <c r="D283" s="19" t="str">
        <f aca="false">'Object Crosswalk'!D62</f>
        <v>MS-LF</v>
      </c>
      <c r="E283" s="19" t="str">
        <f aca="false">'Object Crosswalk'!E62</f>
        <v>LF-B</v>
      </c>
      <c r="F283" s="19" t="str">
        <f aca="false">'Object Crosswalk'!F62</f>
        <v>CHALLENGE</v>
      </c>
      <c r="G283" s="9" t="s">
        <v>333</v>
      </c>
      <c r="H283" s="11" t="s">
        <v>58</v>
      </c>
      <c r="I283" s="32" t="n">
        <f aca="false">0</f>
        <v>0</v>
      </c>
      <c r="J283" s="11" t="s">
        <v>576</v>
      </c>
      <c r="K283" s="32" t="str">
        <f aca="false">IF(I283=1,"ACCEPTED","OPEN")</f>
        <v>OPEN</v>
      </c>
    </row>
    <row r="284" customFormat="false" ht="15" hidden="false" customHeight="false" outlineLevel="0" collapsed="false">
      <c r="A284" s="19" t="str">
        <f aca="false">"PKT-"&amp;B284&amp;"-METROLOGY"</f>
        <v>PKT-INT-LF-CHA-METROLOGY</v>
      </c>
      <c r="B284" s="19" t="str">
        <f aca="false">'Object Crosswalk'!A62</f>
        <v>INT-LF-CHA</v>
      </c>
      <c r="C284" s="19" t="str">
        <f aca="false">'Object Crosswalk'!B62</f>
        <v>Station integration</v>
      </c>
      <c r="D284" s="19" t="str">
        <f aca="false">'Object Crosswalk'!D62</f>
        <v>MS-LF</v>
      </c>
      <c r="E284" s="19" t="str">
        <f aca="false">'Object Crosswalk'!E62</f>
        <v>LF-B</v>
      </c>
      <c r="F284" s="19" t="str">
        <f aca="false">'Object Crosswalk'!F62</f>
        <v>CHALLENGE</v>
      </c>
      <c r="G284" s="9" t="s">
        <v>729</v>
      </c>
      <c r="H284" s="11" t="s">
        <v>58</v>
      </c>
      <c r="I284" s="32" t="n">
        <f aca="false">0</f>
        <v>0</v>
      </c>
      <c r="J284" s="11" t="s">
        <v>576</v>
      </c>
      <c r="K284" s="32" t="str">
        <f aca="false">IF(I284=1,"ACCEPTED","OPEN")</f>
        <v>OPEN</v>
      </c>
    </row>
    <row r="285" customFormat="false" ht="15" hidden="false" customHeight="false" outlineLevel="0" collapsed="false">
      <c r="A285" s="19" t="str">
        <f aca="false">"PKT-"&amp;B285&amp;"-SAFETY"</f>
        <v>PKT-INT-LF-CHA-SAFETY</v>
      </c>
      <c r="B285" s="19" t="str">
        <f aca="false">'Object Crosswalk'!A62</f>
        <v>INT-LF-CHA</v>
      </c>
      <c r="C285" s="19" t="str">
        <f aca="false">'Object Crosswalk'!B62</f>
        <v>Station integration</v>
      </c>
      <c r="D285" s="19" t="str">
        <f aca="false">'Object Crosswalk'!D62</f>
        <v>MS-LF</v>
      </c>
      <c r="E285" s="19" t="str">
        <f aca="false">'Object Crosswalk'!E62</f>
        <v>LF-B</v>
      </c>
      <c r="F285" s="19" t="str">
        <f aca="false">'Object Crosswalk'!F62</f>
        <v>CHALLENGE</v>
      </c>
      <c r="G285" s="9" t="s">
        <v>730</v>
      </c>
      <c r="H285" s="11" t="s">
        <v>58</v>
      </c>
      <c r="I285" s="32" t="n">
        <f aca="false">0</f>
        <v>0</v>
      </c>
      <c r="J285" s="11" t="s">
        <v>576</v>
      </c>
      <c r="K285" s="32" t="str">
        <f aca="false">IF(I285=1,"ACCEPTED","OPEN")</f>
        <v>OPEN</v>
      </c>
    </row>
    <row r="286" customFormat="false" ht="15" hidden="false" customHeight="false" outlineLevel="0" collapsed="false">
      <c r="A286" s="19" t="str">
        <f aca="false">"PKT-"&amp;B286&amp;"-RECONSTRUCTION"</f>
        <v>PKT-INT-LF-CHA-RECONSTRUCTION</v>
      </c>
      <c r="B286" s="19" t="str">
        <f aca="false">'Object Crosswalk'!A62</f>
        <v>INT-LF-CHA</v>
      </c>
      <c r="C286" s="19" t="str">
        <f aca="false">'Object Crosswalk'!B62</f>
        <v>Station integration</v>
      </c>
      <c r="D286" s="19" t="str">
        <f aca="false">'Object Crosswalk'!D62</f>
        <v>MS-LF</v>
      </c>
      <c r="E286" s="19" t="str">
        <f aca="false">'Object Crosswalk'!E62</f>
        <v>LF-B</v>
      </c>
      <c r="F286" s="19" t="str">
        <f aca="false">'Object Crosswalk'!F62</f>
        <v>CHALLENGE</v>
      </c>
      <c r="G286" s="9" t="s">
        <v>341</v>
      </c>
      <c r="H286" s="11" t="s">
        <v>58</v>
      </c>
      <c r="I286" s="32" t="n">
        <f aca="false">0</f>
        <v>0</v>
      </c>
      <c r="J286" s="11" t="s">
        <v>576</v>
      </c>
      <c r="K286" s="32" t="str">
        <f aca="false">IF(I286=1,"ACCEPTED","OPEN")</f>
        <v>OPEN</v>
      </c>
    </row>
    <row r="287" customFormat="false" ht="15" hidden="false" customHeight="false" outlineLevel="0" collapsed="false">
      <c r="A287" s="19" t="str">
        <f aca="false">"PKT-"&amp;B287&amp;"-CONFIGURATION"</f>
        <v>PKT-RIG-LF-CON-CONFIGURATION</v>
      </c>
      <c r="B287" s="19" t="str">
        <f aca="false">'Object Crosswalk'!A63</f>
        <v>RIG-LF-CON</v>
      </c>
      <c r="C287" s="19" t="str">
        <f aca="false">'Object Crosswalk'!B63</f>
        <v>Root-native rig</v>
      </c>
      <c r="D287" s="19" t="str">
        <f aca="false">'Object Crosswalk'!D63</f>
        <v>MS-LF</v>
      </c>
      <c r="E287" s="19" t="str">
        <f aca="false">'Object Crosswalk'!E63</f>
        <v>LF-B</v>
      </c>
      <c r="F287" s="19" t="str">
        <f aca="false">'Object Crosswalk'!F63</f>
        <v>CONTROL</v>
      </c>
      <c r="G287" s="9" t="s">
        <v>728</v>
      </c>
      <c r="H287" s="11" t="s">
        <v>58</v>
      </c>
      <c r="I287" s="32" t="n">
        <f aca="false">0</f>
        <v>0</v>
      </c>
      <c r="J287" s="11" t="s">
        <v>576</v>
      </c>
      <c r="K287" s="32" t="str">
        <f aca="false">IF(I287=1,"ACCEPTED","OPEN")</f>
        <v>OPEN</v>
      </c>
    </row>
    <row r="288" customFormat="false" ht="15" hidden="false" customHeight="false" outlineLevel="0" collapsed="false">
      <c r="A288" s="19" t="str">
        <f aca="false">"PKT-"&amp;B288&amp;"-CONTROL"</f>
        <v>PKT-RIG-LF-CON-CONTROL</v>
      </c>
      <c r="B288" s="19" t="str">
        <f aca="false">'Object Crosswalk'!A63</f>
        <v>RIG-LF-CON</v>
      </c>
      <c r="C288" s="19" t="str">
        <f aca="false">'Object Crosswalk'!B63</f>
        <v>Root-native rig</v>
      </c>
      <c r="D288" s="19" t="str">
        <f aca="false">'Object Crosswalk'!D63</f>
        <v>MS-LF</v>
      </c>
      <c r="E288" s="19" t="str">
        <f aca="false">'Object Crosswalk'!E63</f>
        <v>LF-B</v>
      </c>
      <c r="F288" s="19" t="str">
        <f aca="false">'Object Crosswalk'!F63</f>
        <v>CONTROL</v>
      </c>
      <c r="G288" s="9" t="s">
        <v>333</v>
      </c>
      <c r="H288" s="11" t="s">
        <v>58</v>
      </c>
      <c r="I288" s="32" t="n">
        <f aca="false">0</f>
        <v>0</v>
      </c>
      <c r="J288" s="11" t="s">
        <v>576</v>
      </c>
      <c r="K288" s="32" t="str">
        <f aca="false">IF(I288=1,"ACCEPTED","OPEN")</f>
        <v>OPEN</v>
      </c>
    </row>
    <row r="289" customFormat="false" ht="15" hidden="false" customHeight="false" outlineLevel="0" collapsed="false">
      <c r="A289" s="19" t="str">
        <f aca="false">"PKT-"&amp;B289&amp;"-METROLOGY"</f>
        <v>PKT-RIG-LF-CON-METROLOGY</v>
      </c>
      <c r="B289" s="19" t="str">
        <f aca="false">'Object Crosswalk'!A63</f>
        <v>RIG-LF-CON</v>
      </c>
      <c r="C289" s="19" t="str">
        <f aca="false">'Object Crosswalk'!B63</f>
        <v>Root-native rig</v>
      </c>
      <c r="D289" s="19" t="str">
        <f aca="false">'Object Crosswalk'!D63</f>
        <v>MS-LF</v>
      </c>
      <c r="E289" s="19" t="str">
        <f aca="false">'Object Crosswalk'!E63</f>
        <v>LF-B</v>
      </c>
      <c r="F289" s="19" t="str">
        <f aca="false">'Object Crosswalk'!F63</f>
        <v>CONTROL</v>
      </c>
      <c r="G289" s="9" t="s">
        <v>729</v>
      </c>
      <c r="H289" s="11" t="s">
        <v>58</v>
      </c>
      <c r="I289" s="32" t="n">
        <f aca="false">0</f>
        <v>0</v>
      </c>
      <c r="J289" s="11" t="s">
        <v>576</v>
      </c>
      <c r="K289" s="32" t="str">
        <f aca="false">IF(I289=1,"ACCEPTED","OPEN")</f>
        <v>OPEN</v>
      </c>
    </row>
    <row r="290" customFormat="false" ht="15" hidden="false" customHeight="false" outlineLevel="0" collapsed="false">
      <c r="A290" s="19" t="str">
        <f aca="false">"PKT-"&amp;B290&amp;"-SAFETY"</f>
        <v>PKT-RIG-LF-CON-SAFETY</v>
      </c>
      <c r="B290" s="19" t="str">
        <f aca="false">'Object Crosswalk'!A63</f>
        <v>RIG-LF-CON</v>
      </c>
      <c r="C290" s="19" t="str">
        <f aca="false">'Object Crosswalk'!B63</f>
        <v>Root-native rig</v>
      </c>
      <c r="D290" s="19" t="str">
        <f aca="false">'Object Crosswalk'!D63</f>
        <v>MS-LF</v>
      </c>
      <c r="E290" s="19" t="str">
        <f aca="false">'Object Crosswalk'!E63</f>
        <v>LF-B</v>
      </c>
      <c r="F290" s="19" t="str">
        <f aca="false">'Object Crosswalk'!F63</f>
        <v>CONTROL</v>
      </c>
      <c r="G290" s="9" t="s">
        <v>730</v>
      </c>
      <c r="H290" s="11" t="s">
        <v>58</v>
      </c>
      <c r="I290" s="32" t="n">
        <f aca="false">0</f>
        <v>0</v>
      </c>
      <c r="J290" s="11" t="s">
        <v>576</v>
      </c>
      <c r="K290" s="32" t="str">
        <f aca="false">IF(I290=1,"ACCEPTED","OPEN")</f>
        <v>OPEN</v>
      </c>
    </row>
    <row r="291" customFormat="false" ht="15" hidden="false" customHeight="false" outlineLevel="0" collapsed="false">
      <c r="A291" s="19" t="str">
        <f aca="false">"PKT-"&amp;B291&amp;"-RECONSTRUCTION"</f>
        <v>PKT-RIG-LF-CON-RECONSTRUCTION</v>
      </c>
      <c r="B291" s="19" t="str">
        <f aca="false">'Object Crosswalk'!A63</f>
        <v>RIG-LF-CON</v>
      </c>
      <c r="C291" s="19" t="str">
        <f aca="false">'Object Crosswalk'!B63</f>
        <v>Root-native rig</v>
      </c>
      <c r="D291" s="19" t="str">
        <f aca="false">'Object Crosswalk'!D63</f>
        <v>MS-LF</v>
      </c>
      <c r="E291" s="19" t="str">
        <f aca="false">'Object Crosswalk'!E63</f>
        <v>LF-B</v>
      </c>
      <c r="F291" s="19" t="str">
        <f aca="false">'Object Crosswalk'!F63</f>
        <v>CONTROL</v>
      </c>
      <c r="G291" s="9" t="s">
        <v>341</v>
      </c>
      <c r="H291" s="11" t="s">
        <v>58</v>
      </c>
      <c r="I291" s="32" t="n">
        <f aca="false">0</f>
        <v>0</v>
      </c>
      <c r="J291" s="11" t="s">
        <v>576</v>
      </c>
      <c r="K291" s="32" t="str">
        <f aca="false">IF(I291=1,"ACCEPTED","OPEN")</f>
        <v>OPEN</v>
      </c>
    </row>
    <row r="292" customFormat="false" ht="15" hidden="false" customHeight="false" outlineLevel="0" collapsed="false">
      <c r="A292" s="19" t="str">
        <f aca="false">"PKT-"&amp;B292&amp;"-CONFIGURATION"</f>
        <v>PKT-MTH-LF-CON-L1-CONFIGURATION</v>
      </c>
      <c r="B292" s="19" t="str">
        <f aca="false">'Object Crosswalk'!A64</f>
        <v>MTH-LF-CON-L1</v>
      </c>
      <c r="C292" s="19" t="str">
        <f aca="false">'Object Crosswalk'!B64</f>
        <v>Method lineage</v>
      </c>
      <c r="D292" s="19" t="str">
        <f aca="false">'Object Crosswalk'!D64</f>
        <v>MS-LF</v>
      </c>
      <c r="E292" s="19" t="str">
        <f aca="false">'Object Crosswalk'!E64</f>
        <v>LF-B</v>
      </c>
      <c r="F292" s="19" t="str">
        <f aca="false">'Object Crosswalk'!F64</f>
        <v>CONTROL</v>
      </c>
      <c r="G292" s="9" t="s">
        <v>728</v>
      </c>
      <c r="H292" s="11" t="s">
        <v>58</v>
      </c>
      <c r="I292" s="32" t="n">
        <f aca="false">0</f>
        <v>0</v>
      </c>
      <c r="J292" s="11" t="s">
        <v>576</v>
      </c>
      <c r="K292" s="32" t="str">
        <f aca="false">IF(I292=1,"ACCEPTED","OPEN")</f>
        <v>OPEN</v>
      </c>
    </row>
    <row r="293" customFormat="false" ht="15" hidden="false" customHeight="false" outlineLevel="0" collapsed="false">
      <c r="A293" s="19" t="str">
        <f aca="false">"PKT-"&amp;B293&amp;"-CONTROL"</f>
        <v>PKT-MTH-LF-CON-L1-CONTROL</v>
      </c>
      <c r="B293" s="19" t="str">
        <f aca="false">'Object Crosswalk'!A64</f>
        <v>MTH-LF-CON-L1</v>
      </c>
      <c r="C293" s="19" t="str">
        <f aca="false">'Object Crosswalk'!B64</f>
        <v>Method lineage</v>
      </c>
      <c r="D293" s="19" t="str">
        <f aca="false">'Object Crosswalk'!D64</f>
        <v>MS-LF</v>
      </c>
      <c r="E293" s="19" t="str">
        <f aca="false">'Object Crosswalk'!E64</f>
        <v>LF-B</v>
      </c>
      <c r="F293" s="19" t="str">
        <f aca="false">'Object Crosswalk'!F64</f>
        <v>CONTROL</v>
      </c>
      <c r="G293" s="9" t="s">
        <v>333</v>
      </c>
      <c r="H293" s="11" t="s">
        <v>58</v>
      </c>
      <c r="I293" s="32" t="n">
        <f aca="false">0</f>
        <v>0</v>
      </c>
      <c r="J293" s="11" t="s">
        <v>576</v>
      </c>
      <c r="K293" s="32" t="str">
        <f aca="false">IF(I293=1,"ACCEPTED","OPEN")</f>
        <v>OPEN</v>
      </c>
    </row>
    <row r="294" customFormat="false" ht="15" hidden="false" customHeight="false" outlineLevel="0" collapsed="false">
      <c r="A294" s="19" t="str">
        <f aca="false">"PKT-"&amp;B294&amp;"-METROLOGY"</f>
        <v>PKT-MTH-LF-CON-L1-METROLOGY</v>
      </c>
      <c r="B294" s="19" t="str">
        <f aca="false">'Object Crosswalk'!A64</f>
        <v>MTH-LF-CON-L1</v>
      </c>
      <c r="C294" s="19" t="str">
        <f aca="false">'Object Crosswalk'!B64</f>
        <v>Method lineage</v>
      </c>
      <c r="D294" s="19" t="str">
        <f aca="false">'Object Crosswalk'!D64</f>
        <v>MS-LF</v>
      </c>
      <c r="E294" s="19" t="str">
        <f aca="false">'Object Crosswalk'!E64</f>
        <v>LF-B</v>
      </c>
      <c r="F294" s="19" t="str">
        <f aca="false">'Object Crosswalk'!F64</f>
        <v>CONTROL</v>
      </c>
      <c r="G294" s="9" t="s">
        <v>729</v>
      </c>
      <c r="H294" s="11" t="s">
        <v>58</v>
      </c>
      <c r="I294" s="32" t="n">
        <f aca="false">0</f>
        <v>0</v>
      </c>
      <c r="J294" s="11" t="s">
        <v>576</v>
      </c>
      <c r="K294" s="32" t="str">
        <f aca="false">IF(I294=1,"ACCEPTED","OPEN")</f>
        <v>OPEN</v>
      </c>
    </row>
    <row r="295" customFormat="false" ht="15" hidden="false" customHeight="false" outlineLevel="0" collapsed="false">
      <c r="A295" s="19" t="str">
        <f aca="false">"PKT-"&amp;B295&amp;"-SAFETY"</f>
        <v>PKT-MTH-LF-CON-L1-SAFETY</v>
      </c>
      <c r="B295" s="19" t="str">
        <f aca="false">'Object Crosswalk'!A64</f>
        <v>MTH-LF-CON-L1</v>
      </c>
      <c r="C295" s="19" t="str">
        <f aca="false">'Object Crosswalk'!B64</f>
        <v>Method lineage</v>
      </c>
      <c r="D295" s="19" t="str">
        <f aca="false">'Object Crosswalk'!D64</f>
        <v>MS-LF</v>
      </c>
      <c r="E295" s="19" t="str">
        <f aca="false">'Object Crosswalk'!E64</f>
        <v>LF-B</v>
      </c>
      <c r="F295" s="19" t="str">
        <f aca="false">'Object Crosswalk'!F64</f>
        <v>CONTROL</v>
      </c>
      <c r="G295" s="9" t="s">
        <v>730</v>
      </c>
      <c r="H295" s="11" t="s">
        <v>58</v>
      </c>
      <c r="I295" s="32" t="n">
        <f aca="false">0</f>
        <v>0</v>
      </c>
      <c r="J295" s="11" t="s">
        <v>576</v>
      </c>
      <c r="K295" s="32" t="str">
        <f aca="false">IF(I295=1,"ACCEPTED","OPEN")</f>
        <v>OPEN</v>
      </c>
    </row>
    <row r="296" customFormat="false" ht="15" hidden="false" customHeight="false" outlineLevel="0" collapsed="false">
      <c r="A296" s="19" t="str">
        <f aca="false">"PKT-"&amp;B296&amp;"-RECONSTRUCTION"</f>
        <v>PKT-MTH-LF-CON-L1-RECONSTRUCTION</v>
      </c>
      <c r="B296" s="19" t="str">
        <f aca="false">'Object Crosswalk'!A64</f>
        <v>MTH-LF-CON-L1</v>
      </c>
      <c r="C296" s="19" t="str">
        <f aca="false">'Object Crosswalk'!B64</f>
        <v>Method lineage</v>
      </c>
      <c r="D296" s="19" t="str">
        <f aca="false">'Object Crosswalk'!D64</f>
        <v>MS-LF</v>
      </c>
      <c r="E296" s="19" t="str">
        <f aca="false">'Object Crosswalk'!E64</f>
        <v>LF-B</v>
      </c>
      <c r="F296" s="19" t="str">
        <f aca="false">'Object Crosswalk'!F64</f>
        <v>CONTROL</v>
      </c>
      <c r="G296" s="9" t="s">
        <v>341</v>
      </c>
      <c r="H296" s="11" t="s">
        <v>58</v>
      </c>
      <c r="I296" s="32" t="n">
        <f aca="false">0</f>
        <v>0</v>
      </c>
      <c r="J296" s="11" t="s">
        <v>576</v>
      </c>
      <c r="K296" s="32" t="str">
        <f aca="false">IF(I296=1,"ACCEPTED","OPEN")</f>
        <v>OPEN</v>
      </c>
    </row>
    <row r="297" customFormat="false" ht="15" hidden="false" customHeight="false" outlineLevel="0" collapsed="false">
      <c r="A297" s="19" t="str">
        <f aca="false">"PKT-"&amp;B297&amp;"-CONFIGURATION"</f>
        <v>PKT-MTH-LF-CON-L2-CONFIGURATION</v>
      </c>
      <c r="B297" s="19" t="str">
        <f aca="false">'Object Crosswalk'!A65</f>
        <v>MTH-LF-CON-L2</v>
      </c>
      <c r="C297" s="19" t="str">
        <f aca="false">'Object Crosswalk'!B65</f>
        <v>Method lineage</v>
      </c>
      <c r="D297" s="19" t="str">
        <f aca="false">'Object Crosswalk'!D65</f>
        <v>MS-LF</v>
      </c>
      <c r="E297" s="19" t="str">
        <f aca="false">'Object Crosswalk'!E65</f>
        <v>LF-B</v>
      </c>
      <c r="F297" s="19" t="str">
        <f aca="false">'Object Crosswalk'!F65</f>
        <v>CONTROL</v>
      </c>
      <c r="G297" s="9" t="s">
        <v>728</v>
      </c>
      <c r="H297" s="11" t="s">
        <v>58</v>
      </c>
      <c r="I297" s="32" t="n">
        <f aca="false">0</f>
        <v>0</v>
      </c>
      <c r="J297" s="11" t="s">
        <v>576</v>
      </c>
      <c r="K297" s="32" t="str">
        <f aca="false">IF(I297=1,"ACCEPTED","OPEN")</f>
        <v>OPEN</v>
      </c>
    </row>
    <row r="298" customFormat="false" ht="15" hidden="false" customHeight="false" outlineLevel="0" collapsed="false">
      <c r="A298" s="19" t="str">
        <f aca="false">"PKT-"&amp;B298&amp;"-CONTROL"</f>
        <v>PKT-MTH-LF-CON-L2-CONTROL</v>
      </c>
      <c r="B298" s="19" t="str">
        <f aca="false">'Object Crosswalk'!A65</f>
        <v>MTH-LF-CON-L2</v>
      </c>
      <c r="C298" s="19" t="str">
        <f aca="false">'Object Crosswalk'!B65</f>
        <v>Method lineage</v>
      </c>
      <c r="D298" s="19" t="str">
        <f aca="false">'Object Crosswalk'!D65</f>
        <v>MS-LF</v>
      </c>
      <c r="E298" s="19" t="str">
        <f aca="false">'Object Crosswalk'!E65</f>
        <v>LF-B</v>
      </c>
      <c r="F298" s="19" t="str">
        <f aca="false">'Object Crosswalk'!F65</f>
        <v>CONTROL</v>
      </c>
      <c r="G298" s="9" t="s">
        <v>333</v>
      </c>
      <c r="H298" s="11" t="s">
        <v>58</v>
      </c>
      <c r="I298" s="32" t="n">
        <f aca="false">0</f>
        <v>0</v>
      </c>
      <c r="J298" s="11" t="s">
        <v>576</v>
      </c>
      <c r="K298" s="32" t="str">
        <f aca="false">IF(I298=1,"ACCEPTED","OPEN")</f>
        <v>OPEN</v>
      </c>
    </row>
    <row r="299" customFormat="false" ht="15" hidden="false" customHeight="false" outlineLevel="0" collapsed="false">
      <c r="A299" s="19" t="str">
        <f aca="false">"PKT-"&amp;B299&amp;"-METROLOGY"</f>
        <v>PKT-MTH-LF-CON-L2-METROLOGY</v>
      </c>
      <c r="B299" s="19" t="str">
        <f aca="false">'Object Crosswalk'!A65</f>
        <v>MTH-LF-CON-L2</v>
      </c>
      <c r="C299" s="19" t="str">
        <f aca="false">'Object Crosswalk'!B65</f>
        <v>Method lineage</v>
      </c>
      <c r="D299" s="19" t="str">
        <f aca="false">'Object Crosswalk'!D65</f>
        <v>MS-LF</v>
      </c>
      <c r="E299" s="19" t="str">
        <f aca="false">'Object Crosswalk'!E65</f>
        <v>LF-B</v>
      </c>
      <c r="F299" s="19" t="str">
        <f aca="false">'Object Crosswalk'!F65</f>
        <v>CONTROL</v>
      </c>
      <c r="G299" s="9" t="s">
        <v>729</v>
      </c>
      <c r="H299" s="11" t="s">
        <v>58</v>
      </c>
      <c r="I299" s="32" t="n">
        <f aca="false">0</f>
        <v>0</v>
      </c>
      <c r="J299" s="11" t="s">
        <v>576</v>
      </c>
      <c r="K299" s="32" t="str">
        <f aca="false">IF(I299=1,"ACCEPTED","OPEN")</f>
        <v>OPEN</v>
      </c>
    </row>
    <row r="300" customFormat="false" ht="15" hidden="false" customHeight="false" outlineLevel="0" collapsed="false">
      <c r="A300" s="19" t="str">
        <f aca="false">"PKT-"&amp;B300&amp;"-SAFETY"</f>
        <v>PKT-MTH-LF-CON-L2-SAFETY</v>
      </c>
      <c r="B300" s="19" t="str">
        <f aca="false">'Object Crosswalk'!A65</f>
        <v>MTH-LF-CON-L2</v>
      </c>
      <c r="C300" s="19" t="str">
        <f aca="false">'Object Crosswalk'!B65</f>
        <v>Method lineage</v>
      </c>
      <c r="D300" s="19" t="str">
        <f aca="false">'Object Crosswalk'!D65</f>
        <v>MS-LF</v>
      </c>
      <c r="E300" s="19" t="str">
        <f aca="false">'Object Crosswalk'!E65</f>
        <v>LF-B</v>
      </c>
      <c r="F300" s="19" t="str">
        <f aca="false">'Object Crosswalk'!F65</f>
        <v>CONTROL</v>
      </c>
      <c r="G300" s="9" t="s">
        <v>730</v>
      </c>
      <c r="H300" s="11" t="s">
        <v>58</v>
      </c>
      <c r="I300" s="32" t="n">
        <f aca="false">0</f>
        <v>0</v>
      </c>
      <c r="J300" s="11" t="s">
        <v>576</v>
      </c>
      <c r="K300" s="32" t="str">
        <f aca="false">IF(I300=1,"ACCEPTED","OPEN")</f>
        <v>OPEN</v>
      </c>
    </row>
    <row r="301" customFormat="false" ht="15" hidden="false" customHeight="false" outlineLevel="0" collapsed="false">
      <c r="A301" s="19" t="str">
        <f aca="false">"PKT-"&amp;B301&amp;"-RECONSTRUCTION"</f>
        <v>PKT-MTH-LF-CON-L2-RECONSTRUCTION</v>
      </c>
      <c r="B301" s="19" t="str">
        <f aca="false">'Object Crosswalk'!A65</f>
        <v>MTH-LF-CON-L2</v>
      </c>
      <c r="C301" s="19" t="str">
        <f aca="false">'Object Crosswalk'!B65</f>
        <v>Method lineage</v>
      </c>
      <c r="D301" s="19" t="str">
        <f aca="false">'Object Crosswalk'!D65</f>
        <v>MS-LF</v>
      </c>
      <c r="E301" s="19" t="str">
        <f aca="false">'Object Crosswalk'!E65</f>
        <v>LF-B</v>
      </c>
      <c r="F301" s="19" t="str">
        <f aca="false">'Object Crosswalk'!F65</f>
        <v>CONTROL</v>
      </c>
      <c r="G301" s="9" t="s">
        <v>341</v>
      </c>
      <c r="H301" s="11" t="s">
        <v>58</v>
      </c>
      <c r="I301" s="32" t="n">
        <f aca="false">0</f>
        <v>0</v>
      </c>
      <c r="J301" s="11" t="s">
        <v>576</v>
      </c>
      <c r="K301" s="32" t="str">
        <f aca="false">IF(I301=1,"ACCEPTED","OPEN")</f>
        <v>OPEN</v>
      </c>
    </row>
    <row r="302" customFormat="false" ht="15" hidden="false" customHeight="false" outlineLevel="0" collapsed="false">
      <c r="A302" s="19" t="str">
        <f aca="false">"PKT-"&amp;B302&amp;"-CONFIGURATION"</f>
        <v>PKT-REG-LF-CON-CONFIGURATION</v>
      </c>
      <c r="B302" s="19" t="str">
        <f aca="false">'Object Crosswalk'!A66</f>
        <v>REG-LF-CON</v>
      </c>
      <c r="C302" s="19" t="str">
        <f aca="false">'Object Crosswalk'!B66</f>
        <v>Regeneration tool</v>
      </c>
      <c r="D302" s="19" t="str">
        <f aca="false">'Object Crosswalk'!D66</f>
        <v>MS-LF</v>
      </c>
      <c r="E302" s="19" t="str">
        <f aca="false">'Object Crosswalk'!E66</f>
        <v>LF-B</v>
      </c>
      <c r="F302" s="19" t="str">
        <f aca="false">'Object Crosswalk'!F66</f>
        <v>CONTROL</v>
      </c>
      <c r="G302" s="9" t="s">
        <v>728</v>
      </c>
      <c r="H302" s="11" t="s">
        <v>58</v>
      </c>
      <c r="I302" s="32" t="n">
        <f aca="false">0</f>
        <v>0</v>
      </c>
      <c r="J302" s="11" t="s">
        <v>576</v>
      </c>
      <c r="K302" s="32" t="str">
        <f aca="false">IF(I302=1,"ACCEPTED","OPEN")</f>
        <v>OPEN</v>
      </c>
    </row>
    <row r="303" customFormat="false" ht="15" hidden="false" customHeight="false" outlineLevel="0" collapsed="false">
      <c r="A303" s="19" t="str">
        <f aca="false">"PKT-"&amp;B303&amp;"-CONTROL"</f>
        <v>PKT-REG-LF-CON-CONTROL</v>
      </c>
      <c r="B303" s="19" t="str">
        <f aca="false">'Object Crosswalk'!A66</f>
        <v>REG-LF-CON</v>
      </c>
      <c r="C303" s="19" t="str">
        <f aca="false">'Object Crosswalk'!B66</f>
        <v>Regeneration tool</v>
      </c>
      <c r="D303" s="19" t="str">
        <f aca="false">'Object Crosswalk'!D66</f>
        <v>MS-LF</v>
      </c>
      <c r="E303" s="19" t="str">
        <f aca="false">'Object Crosswalk'!E66</f>
        <v>LF-B</v>
      </c>
      <c r="F303" s="19" t="str">
        <f aca="false">'Object Crosswalk'!F66</f>
        <v>CONTROL</v>
      </c>
      <c r="G303" s="9" t="s">
        <v>333</v>
      </c>
      <c r="H303" s="11" t="s">
        <v>58</v>
      </c>
      <c r="I303" s="32" t="n">
        <f aca="false">0</f>
        <v>0</v>
      </c>
      <c r="J303" s="11" t="s">
        <v>576</v>
      </c>
      <c r="K303" s="32" t="str">
        <f aca="false">IF(I303=1,"ACCEPTED","OPEN")</f>
        <v>OPEN</v>
      </c>
    </row>
    <row r="304" customFormat="false" ht="15" hidden="false" customHeight="false" outlineLevel="0" collapsed="false">
      <c r="A304" s="19" t="str">
        <f aca="false">"PKT-"&amp;B304&amp;"-METROLOGY"</f>
        <v>PKT-REG-LF-CON-METROLOGY</v>
      </c>
      <c r="B304" s="19" t="str">
        <f aca="false">'Object Crosswalk'!A66</f>
        <v>REG-LF-CON</v>
      </c>
      <c r="C304" s="19" t="str">
        <f aca="false">'Object Crosswalk'!B66</f>
        <v>Regeneration tool</v>
      </c>
      <c r="D304" s="19" t="str">
        <f aca="false">'Object Crosswalk'!D66</f>
        <v>MS-LF</v>
      </c>
      <c r="E304" s="19" t="str">
        <f aca="false">'Object Crosswalk'!E66</f>
        <v>LF-B</v>
      </c>
      <c r="F304" s="19" t="str">
        <f aca="false">'Object Crosswalk'!F66</f>
        <v>CONTROL</v>
      </c>
      <c r="G304" s="9" t="s">
        <v>729</v>
      </c>
      <c r="H304" s="11" t="s">
        <v>58</v>
      </c>
      <c r="I304" s="32" t="n">
        <f aca="false">0</f>
        <v>0</v>
      </c>
      <c r="J304" s="11" t="s">
        <v>576</v>
      </c>
      <c r="K304" s="32" t="str">
        <f aca="false">IF(I304=1,"ACCEPTED","OPEN")</f>
        <v>OPEN</v>
      </c>
    </row>
    <row r="305" customFormat="false" ht="15" hidden="false" customHeight="false" outlineLevel="0" collapsed="false">
      <c r="A305" s="19" t="str">
        <f aca="false">"PKT-"&amp;B305&amp;"-SAFETY"</f>
        <v>PKT-REG-LF-CON-SAFETY</v>
      </c>
      <c r="B305" s="19" t="str">
        <f aca="false">'Object Crosswalk'!A66</f>
        <v>REG-LF-CON</v>
      </c>
      <c r="C305" s="19" t="str">
        <f aca="false">'Object Crosswalk'!B66</f>
        <v>Regeneration tool</v>
      </c>
      <c r="D305" s="19" t="str">
        <f aca="false">'Object Crosswalk'!D66</f>
        <v>MS-LF</v>
      </c>
      <c r="E305" s="19" t="str">
        <f aca="false">'Object Crosswalk'!E66</f>
        <v>LF-B</v>
      </c>
      <c r="F305" s="19" t="str">
        <f aca="false">'Object Crosswalk'!F66</f>
        <v>CONTROL</v>
      </c>
      <c r="G305" s="9" t="s">
        <v>730</v>
      </c>
      <c r="H305" s="11" t="s">
        <v>58</v>
      </c>
      <c r="I305" s="32" t="n">
        <f aca="false">0</f>
        <v>0</v>
      </c>
      <c r="J305" s="11" t="s">
        <v>576</v>
      </c>
      <c r="K305" s="32" t="str">
        <f aca="false">IF(I305=1,"ACCEPTED","OPEN")</f>
        <v>OPEN</v>
      </c>
    </row>
    <row r="306" customFormat="false" ht="15" hidden="false" customHeight="false" outlineLevel="0" collapsed="false">
      <c r="A306" s="19" t="str">
        <f aca="false">"PKT-"&amp;B306&amp;"-RECONSTRUCTION"</f>
        <v>PKT-REG-LF-CON-RECONSTRUCTION</v>
      </c>
      <c r="B306" s="19" t="str">
        <f aca="false">'Object Crosswalk'!A66</f>
        <v>REG-LF-CON</v>
      </c>
      <c r="C306" s="19" t="str">
        <f aca="false">'Object Crosswalk'!B66</f>
        <v>Regeneration tool</v>
      </c>
      <c r="D306" s="19" t="str">
        <f aca="false">'Object Crosswalk'!D66</f>
        <v>MS-LF</v>
      </c>
      <c r="E306" s="19" t="str">
        <f aca="false">'Object Crosswalk'!E66</f>
        <v>LF-B</v>
      </c>
      <c r="F306" s="19" t="str">
        <f aca="false">'Object Crosswalk'!F66</f>
        <v>CONTROL</v>
      </c>
      <c r="G306" s="9" t="s">
        <v>341</v>
      </c>
      <c r="H306" s="11" t="s">
        <v>58</v>
      </c>
      <c r="I306" s="32" t="n">
        <f aca="false">0</f>
        <v>0</v>
      </c>
      <c r="J306" s="11" t="s">
        <v>576</v>
      </c>
      <c r="K306" s="32" t="str">
        <f aca="false">IF(I306=1,"ACCEPTED","OPEN")</f>
        <v>OPEN</v>
      </c>
    </row>
    <row r="307" customFormat="false" ht="15" hidden="false" customHeight="false" outlineLevel="0" collapsed="false">
      <c r="A307" s="19" t="str">
        <f aca="false">"PKT-"&amp;B307&amp;"-CONFIGURATION"</f>
        <v>PKT-INT-LF-CON-CONFIGURATION</v>
      </c>
      <c r="B307" s="19" t="str">
        <f aca="false">'Object Crosswalk'!A67</f>
        <v>INT-LF-CON</v>
      </c>
      <c r="C307" s="19" t="str">
        <f aca="false">'Object Crosswalk'!B67</f>
        <v>Station integration</v>
      </c>
      <c r="D307" s="19" t="str">
        <f aca="false">'Object Crosswalk'!D67</f>
        <v>MS-LF</v>
      </c>
      <c r="E307" s="19" t="str">
        <f aca="false">'Object Crosswalk'!E67</f>
        <v>LF-B</v>
      </c>
      <c r="F307" s="19" t="str">
        <f aca="false">'Object Crosswalk'!F67</f>
        <v>CONTROL</v>
      </c>
      <c r="G307" s="9" t="s">
        <v>728</v>
      </c>
      <c r="H307" s="11" t="s">
        <v>58</v>
      </c>
      <c r="I307" s="32" t="n">
        <f aca="false">0</f>
        <v>0</v>
      </c>
      <c r="J307" s="11" t="s">
        <v>576</v>
      </c>
      <c r="K307" s="32" t="str">
        <f aca="false">IF(I307=1,"ACCEPTED","OPEN")</f>
        <v>OPEN</v>
      </c>
    </row>
    <row r="308" customFormat="false" ht="15" hidden="false" customHeight="false" outlineLevel="0" collapsed="false">
      <c r="A308" s="19" t="str">
        <f aca="false">"PKT-"&amp;B308&amp;"-CONTROL"</f>
        <v>PKT-INT-LF-CON-CONTROL</v>
      </c>
      <c r="B308" s="19" t="str">
        <f aca="false">'Object Crosswalk'!A67</f>
        <v>INT-LF-CON</v>
      </c>
      <c r="C308" s="19" t="str">
        <f aca="false">'Object Crosswalk'!B67</f>
        <v>Station integration</v>
      </c>
      <c r="D308" s="19" t="str">
        <f aca="false">'Object Crosswalk'!D67</f>
        <v>MS-LF</v>
      </c>
      <c r="E308" s="19" t="str">
        <f aca="false">'Object Crosswalk'!E67</f>
        <v>LF-B</v>
      </c>
      <c r="F308" s="19" t="str">
        <f aca="false">'Object Crosswalk'!F67</f>
        <v>CONTROL</v>
      </c>
      <c r="G308" s="9" t="s">
        <v>333</v>
      </c>
      <c r="H308" s="11" t="s">
        <v>58</v>
      </c>
      <c r="I308" s="32" t="n">
        <f aca="false">0</f>
        <v>0</v>
      </c>
      <c r="J308" s="11" t="s">
        <v>576</v>
      </c>
      <c r="K308" s="32" t="str">
        <f aca="false">IF(I308=1,"ACCEPTED","OPEN")</f>
        <v>OPEN</v>
      </c>
    </row>
    <row r="309" customFormat="false" ht="15" hidden="false" customHeight="false" outlineLevel="0" collapsed="false">
      <c r="A309" s="19" t="str">
        <f aca="false">"PKT-"&amp;B309&amp;"-METROLOGY"</f>
        <v>PKT-INT-LF-CON-METROLOGY</v>
      </c>
      <c r="B309" s="19" t="str">
        <f aca="false">'Object Crosswalk'!A67</f>
        <v>INT-LF-CON</v>
      </c>
      <c r="C309" s="19" t="str">
        <f aca="false">'Object Crosswalk'!B67</f>
        <v>Station integration</v>
      </c>
      <c r="D309" s="19" t="str">
        <f aca="false">'Object Crosswalk'!D67</f>
        <v>MS-LF</v>
      </c>
      <c r="E309" s="19" t="str">
        <f aca="false">'Object Crosswalk'!E67</f>
        <v>LF-B</v>
      </c>
      <c r="F309" s="19" t="str">
        <f aca="false">'Object Crosswalk'!F67</f>
        <v>CONTROL</v>
      </c>
      <c r="G309" s="9" t="s">
        <v>729</v>
      </c>
      <c r="H309" s="11" t="s">
        <v>58</v>
      </c>
      <c r="I309" s="32" t="n">
        <f aca="false">0</f>
        <v>0</v>
      </c>
      <c r="J309" s="11" t="s">
        <v>576</v>
      </c>
      <c r="K309" s="32" t="str">
        <f aca="false">IF(I309=1,"ACCEPTED","OPEN")</f>
        <v>OPEN</v>
      </c>
    </row>
    <row r="310" customFormat="false" ht="15" hidden="false" customHeight="false" outlineLevel="0" collapsed="false">
      <c r="A310" s="19" t="str">
        <f aca="false">"PKT-"&amp;B310&amp;"-SAFETY"</f>
        <v>PKT-INT-LF-CON-SAFETY</v>
      </c>
      <c r="B310" s="19" t="str">
        <f aca="false">'Object Crosswalk'!A67</f>
        <v>INT-LF-CON</v>
      </c>
      <c r="C310" s="19" t="str">
        <f aca="false">'Object Crosswalk'!B67</f>
        <v>Station integration</v>
      </c>
      <c r="D310" s="19" t="str">
        <f aca="false">'Object Crosswalk'!D67</f>
        <v>MS-LF</v>
      </c>
      <c r="E310" s="19" t="str">
        <f aca="false">'Object Crosswalk'!E67</f>
        <v>LF-B</v>
      </c>
      <c r="F310" s="19" t="str">
        <f aca="false">'Object Crosswalk'!F67</f>
        <v>CONTROL</v>
      </c>
      <c r="G310" s="9" t="s">
        <v>730</v>
      </c>
      <c r="H310" s="11" t="s">
        <v>58</v>
      </c>
      <c r="I310" s="32" t="n">
        <f aca="false">0</f>
        <v>0</v>
      </c>
      <c r="J310" s="11" t="s">
        <v>576</v>
      </c>
      <c r="K310" s="32" t="str">
        <f aca="false">IF(I310=1,"ACCEPTED","OPEN")</f>
        <v>OPEN</v>
      </c>
    </row>
    <row r="311" customFormat="false" ht="15" hidden="false" customHeight="false" outlineLevel="0" collapsed="false">
      <c r="A311" s="19" t="str">
        <f aca="false">"PKT-"&amp;B311&amp;"-RECONSTRUCTION"</f>
        <v>PKT-INT-LF-CON-RECONSTRUCTION</v>
      </c>
      <c r="B311" s="19" t="str">
        <f aca="false">'Object Crosswalk'!A67</f>
        <v>INT-LF-CON</v>
      </c>
      <c r="C311" s="19" t="str">
        <f aca="false">'Object Crosswalk'!B67</f>
        <v>Station integration</v>
      </c>
      <c r="D311" s="19" t="str">
        <f aca="false">'Object Crosswalk'!D67</f>
        <v>MS-LF</v>
      </c>
      <c r="E311" s="19" t="str">
        <f aca="false">'Object Crosswalk'!E67</f>
        <v>LF-B</v>
      </c>
      <c r="F311" s="19" t="str">
        <f aca="false">'Object Crosswalk'!F67</f>
        <v>CONTROL</v>
      </c>
      <c r="G311" s="9" t="s">
        <v>341</v>
      </c>
      <c r="H311" s="11" t="s">
        <v>58</v>
      </c>
      <c r="I311" s="32" t="n">
        <f aca="false">0</f>
        <v>0</v>
      </c>
      <c r="J311" s="11" t="s">
        <v>576</v>
      </c>
      <c r="K311" s="32" t="str">
        <f aca="false">IF(I311=1,"ACCEPTED","OPEN")</f>
        <v>OPEN</v>
      </c>
    </row>
    <row r="312" customFormat="false" ht="15" hidden="false" customHeight="false" outlineLevel="0" collapsed="false">
      <c r="A312" s="19" t="str">
        <f aca="false">"PKT-"&amp;B312&amp;"-CONFIGURATION"</f>
        <v>PKT-RIG-LF-REC-CONFIGURATION</v>
      </c>
      <c r="B312" s="19" t="str">
        <f aca="false">'Object Crosswalk'!A68</f>
        <v>RIG-LF-REC</v>
      </c>
      <c r="C312" s="19" t="str">
        <f aca="false">'Object Crosswalk'!B68</f>
        <v>Root-native rig</v>
      </c>
      <c r="D312" s="19" t="str">
        <f aca="false">'Object Crosswalk'!D68</f>
        <v>MS-LF</v>
      </c>
      <c r="E312" s="19" t="str">
        <f aca="false">'Object Crosswalk'!E68</f>
        <v>LF-B</v>
      </c>
      <c r="F312" s="19" t="str">
        <f aca="false">'Object Crosswalk'!F68</f>
        <v>RECONSTRUCTION</v>
      </c>
      <c r="G312" s="9" t="s">
        <v>728</v>
      </c>
      <c r="H312" s="11" t="s">
        <v>58</v>
      </c>
      <c r="I312" s="32" t="n">
        <f aca="false">0</f>
        <v>0</v>
      </c>
      <c r="J312" s="11" t="s">
        <v>576</v>
      </c>
      <c r="K312" s="32" t="str">
        <f aca="false">IF(I312=1,"ACCEPTED","OPEN")</f>
        <v>OPEN</v>
      </c>
    </row>
    <row r="313" customFormat="false" ht="15" hidden="false" customHeight="false" outlineLevel="0" collapsed="false">
      <c r="A313" s="19" t="str">
        <f aca="false">"PKT-"&amp;B313&amp;"-CONTROL"</f>
        <v>PKT-RIG-LF-REC-CONTROL</v>
      </c>
      <c r="B313" s="19" t="str">
        <f aca="false">'Object Crosswalk'!A68</f>
        <v>RIG-LF-REC</v>
      </c>
      <c r="C313" s="19" t="str">
        <f aca="false">'Object Crosswalk'!B68</f>
        <v>Root-native rig</v>
      </c>
      <c r="D313" s="19" t="str">
        <f aca="false">'Object Crosswalk'!D68</f>
        <v>MS-LF</v>
      </c>
      <c r="E313" s="19" t="str">
        <f aca="false">'Object Crosswalk'!E68</f>
        <v>LF-B</v>
      </c>
      <c r="F313" s="19" t="str">
        <f aca="false">'Object Crosswalk'!F68</f>
        <v>RECONSTRUCTION</v>
      </c>
      <c r="G313" s="9" t="s">
        <v>333</v>
      </c>
      <c r="H313" s="11" t="s">
        <v>58</v>
      </c>
      <c r="I313" s="32" t="n">
        <f aca="false">0</f>
        <v>0</v>
      </c>
      <c r="J313" s="11" t="s">
        <v>576</v>
      </c>
      <c r="K313" s="32" t="str">
        <f aca="false">IF(I313=1,"ACCEPTED","OPEN")</f>
        <v>OPEN</v>
      </c>
    </row>
    <row r="314" customFormat="false" ht="15" hidden="false" customHeight="false" outlineLevel="0" collapsed="false">
      <c r="A314" s="19" t="str">
        <f aca="false">"PKT-"&amp;B314&amp;"-METROLOGY"</f>
        <v>PKT-RIG-LF-REC-METROLOGY</v>
      </c>
      <c r="B314" s="19" t="str">
        <f aca="false">'Object Crosswalk'!A68</f>
        <v>RIG-LF-REC</v>
      </c>
      <c r="C314" s="19" t="str">
        <f aca="false">'Object Crosswalk'!B68</f>
        <v>Root-native rig</v>
      </c>
      <c r="D314" s="19" t="str">
        <f aca="false">'Object Crosswalk'!D68</f>
        <v>MS-LF</v>
      </c>
      <c r="E314" s="19" t="str">
        <f aca="false">'Object Crosswalk'!E68</f>
        <v>LF-B</v>
      </c>
      <c r="F314" s="19" t="str">
        <f aca="false">'Object Crosswalk'!F68</f>
        <v>RECONSTRUCTION</v>
      </c>
      <c r="G314" s="9" t="s">
        <v>729</v>
      </c>
      <c r="H314" s="11" t="s">
        <v>58</v>
      </c>
      <c r="I314" s="32" t="n">
        <f aca="false">0</f>
        <v>0</v>
      </c>
      <c r="J314" s="11" t="s">
        <v>576</v>
      </c>
      <c r="K314" s="32" t="str">
        <f aca="false">IF(I314=1,"ACCEPTED","OPEN")</f>
        <v>OPEN</v>
      </c>
    </row>
    <row r="315" customFormat="false" ht="15" hidden="false" customHeight="false" outlineLevel="0" collapsed="false">
      <c r="A315" s="19" t="str">
        <f aca="false">"PKT-"&amp;B315&amp;"-SAFETY"</f>
        <v>PKT-RIG-LF-REC-SAFETY</v>
      </c>
      <c r="B315" s="19" t="str">
        <f aca="false">'Object Crosswalk'!A68</f>
        <v>RIG-LF-REC</v>
      </c>
      <c r="C315" s="19" t="str">
        <f aca="false">'Object Crosswalk'!B68</f>
        <v>Root-native rig</v>
      </c>
      <c r="D315" s="19" t="str">
        <f aca="false">'Object Crosswalk'!D68</f>
        <v>MS-LF</v>
      </c>
      <c r="E315" s="19" t="str">
        <f aca="false">'Object Crosswalk'!E68</f>
        <v>LF-B</v>
      </c>
      <c r="F315" s="19" t="str">
        <f aca="false">'Object Crosswalk'!F68</f>
        <v>RECONSTRUCTION</v>
      </c>
      <c r="G315" s="9" t="s">
        <v>730</v>
      </c>
      <c r="H315" s="11" t="s">
        <v>58</v>
      </c>
      <c r="I315" s="32" t="n">
        <f aca="false">0</f>
        <v>0</v>
      </c>
      <c r="J315" s="11" t="s">
        <v>576</v>
      </c>
      <c r="K315" s="32" t="str">
        <f aca="false">IF(I315=1,"ACCEPTED","OPEN")</f>
        <v>OPEN</v>
      </c>
    </row>
    <row r="316" customFormat="false" ht="15" hidden="false" customHeight="false" outlineLevel="0" collapsed="false">
      <c r="A316" s="19" t="str">
        <f aca="false">"PKT-"&amp;B316&amp;"-RECONSTRUCTION"</f>
        <v>PKT-RIG-LF-REC-RECONSTRUCTION</v>
      </c>
      <c r="B316" s="19" t="str">
        <f aca="false">'Object Crosswalk'!A68</f>
        <v>RIG-LF-REC</v>
      </c>
      <c r="C316" s="19" t="str">
        <f aca="false">'Object Crosswalk'!B68</f>
        <v>Root-native rig</v>
      </c>
      <c r="D316" s="19" t="str">
        <f aca="false">'Object Crosswalk'!D68</f>
        <v>MS-LF</v>
      </c>
      <c r="E316" s="19" t="str">
        <f aca="false">'Object Crosswalk'!E68</f>
        <v>LF-B</v>
      </c>
      <c r="F316" s="19" t="str">
        <f aca="false">'Object Crosswalk'!F68</f>
        <v>RECONSTRUCTION</v>
      </c>
      <c r="G316" s="9" t="s">
        <v>341</v>
      </c>
      <c r="H316" s="11" t="s">
        <v>58</v>
      </c>
      <c r="I316" s="32" t="n">
        <f aca="false">0</f>
        <v>0</v>
      </c>
      <c r="J316" s="11" t="s">
        <v>576</v>
      </c>
      <c r="K316" s="32" t="str">
        <f aca="false">IF(I316=1,"ACCEPTED","OPEN")</f>
        <v>OPEN</v>
      </c>
    </row>
    <row r="317" customFormat="false" ht="15" hidden="false" customHeight="false" outlineLevel="0" collapsed="false">
      <c r="A317" s="19" t="str">
        <f aca="false">"PKT-"&amp;B317&amp;"-CONFIGURATION"</f>
        <v>PKT-MTH-LF-REC-L1-CONFIGURATION</v>
      </c>
      <c r="B317" s="19" t="str">
        <f aca="false">'Object Crosswalk'!A69</f>
        <v>MTH-LF-REC-L1</v>
      </c>
      <c r="C317" s="19" t="str">
        <f aca="false">'Object Crosswalk'!B69</f>
        <v>Method lineage</v>
      </c>
      <c r="D317" s="19" t="str">
        <f aca="false">'Object Crosswalk'!D69</f>
        <v>MS-LF</v>
      </c>
      <c r="E317" s="19" t="str">
        <f aca="false">'Object Crosswalk'!E69</f>
        <v>LF-B</v>
      </c>
      <c r="F317" s="19" t="str">
        <f aca="false">'Object Crosswalk'!F69</f>
        <v>RECONSTRUCTION</v>
      </c>
      <c r="G317" s="9" t="s">
        <v>728</v>
      </c>
      <c r="H317" s="11" t="s">
        <v>58</v>
      </c>
      <c r="I317" s="32" t="n">
        <f aca="false">0</f>
        <v>0</v>
      </c>
      <c r="J317" s="11" t="s">
        <v>576</v>
      </c>
      <c r="K317" s="32" t="str">
        <f aca="false">IF(I317=1,"ACCEPTED","OPEN")</f>
        <v>OPEN</v>
      </c>
    </row>
    <row r="318" customFormat="false" ht="15" hidden="false" customHeight="false" outlineLevel="0" collapsed="false">
      <c r="A318" s="19" t="str">
        <f aca="false">"PKT-"&amp;B318&amp;"-CONTROL"</f>
        <v>PKT-MTH-LF-REC-L1-CONTROL</v>
      </c>
      <c r="B318" s="19" t="str">
        <f aca="false">'Object Crosswalk'!A69</f>
        <v>MTH-LF-REC-L1</v>
      </c>
      <c r="C318" s="19" t="str">
        <f aca="false">'Object Crosswalk'!B69</f>
        <v>Method lineage</v>
      </c>
      <c r="D318" s="19" t="str">
        <f aca="false">'Object Crosswalk'!D69</f>
        <v>MS-LF</v>
      </c>
      <c r="E318" s="19" t="str">
        <f aca="false">'Object Crosswalk'!E69</f>
        <v>LF-B</v>
      </c>
      <c r="F318" s="19" t="str">
        <f aca="false">'Object Crosswalk'!F69</f>
        <v>RECONSTRUCTION</v>
      </c>
      <c r="G318" s="9" t="s">
        <v>333</v>
      </c>
      <c r="H318" s="11" t="s">
        <v>58</v>
      </c>
      <c r="I318" s="32" t="n">
        <f aca="false">0</f>
        <v>0</v>
      </c>
      <c r="J318" s="11" t="s">
        <v>576</v>
      </c>
      <c r="K318" s="32" t="str">
        <f aca="false">IF(I318=1,"ACCEPTED","OPEN")</f>
        <v>OPEN</v>
      </c>
    </row>
    <row r="319" customFormat="false" ht="15" hidden="false" customHeight="false" outlineLevel="0" collapsed="false">
      <c r="A319" s="19" t="str">
        <f aca="false">"PKT-"&amp;B319&amp;"-METROLOGY"</f>
        <v>PKT-MTH-LF-REC-L1-METROLOGY</v>
      </c>
      <c r="B319" s="19" t="str">
        <f aca="false">'Object Crosswalk'!A69</f>
        <v>MTH-LF-REC-L1</v>
      </c>
      <c r="C319" s="19" t="str">
        <f aca="false">'Object Crosswalk'!B69</f>
        <v>Method lineage</v>
      </c>
      <c r="D319" s="19" t="str">
        <f aca="false">'Object Crosswalk'!D69</f>
        <v>MS-LF</v>
      </c>
      <c r="E319" s="19" t="str">
        <f aca="false">'Object Crosswalk'!E69</f>
        <v>LF-B</v>
      </c>
      <c r="F319" s="19" t="str">
        <f aca="false">'Object Crosswalk'!F69</f>
        <v>RECONSTRUCTION</v>
      </c>
      <c r="G319" s="9" t="s">
        <v>729</v>
      </c>
      <c r="H319" s="11" t="s">
        <v>58</v>
      </c>
      <c r="I319" s="32" t="n">
        <f aca="false">0</f>
        <v>0</v>
      </c>
      <c r="J319" s="11" t="s">
        <v>576</v>
      </c>
      <c r="K319" s="32" t="str">
        <f aca="false">IF(I319=1,"ACCEPTED","OPEN")</f>
        <v>OPEN</v>
      </c>
    </row>
    <row r="320" customFormat="false" ht="15" hidden="false" customHeight="false" outlineLevel="0" collapsed="false">
      <c r="A320" s="19" t="str">
        <f aca="false">"PKT-"&amp;B320&amp;"-SAFETY"</f>
        <v>PKT-MTH-LF-REC-L1-SAFETY</v>
      </c>
      <c r="B320" s="19" t="str">
        <f aca="false">'Object Crosswalk'!A69</f>
        <v>MTH-LF-REC-L1</v>
      </c>
      <c r="C320" s="19" t="str">
        <f aca="false">'Object Crosswalk'!B69</f>
        <v>Method lineage</v>
      </c>
      <c r="D320" s="19" t="str">
        <f aca="false">'Object Crosswalk'!D69</f>
        <v>MS-LF</v>
      </c>
      <c r="E320" s="19" t="str">
        <f aca="false">'Object Crosswalk'!E69</f>
        <v>LF-B</v>
      </c>
      <c r="F320" s="19" t="str">
        <f aca="false">'Object Crosswalk'!F69</f>
        <v>RECONSTRUCTION</v>
      </c>
      <c r="G320" s="9" t="s">
        <v>730</v>
      </c>
      <c r="H320" s="11" t="s">
        <v>58</v>
      </c>
      <c r="I320" s="32" t="n">
        <f aca="false">0</f>
        <v>0</v>
      </c>
      <c r="J320" s="11" t="s">
        <v>576</v>
      </c>
      <c r="K320" s="32" t="str">
        <f aca="false">IF(I320=1,"ACCEPTED","OPEN")</f>
        <v>OPEN</v>
      </c>
    </row>
    <row r="321" customFormat="false" ht="15" hidden="false" customHeight="false" outlineLevel="0" collapsed="false">
      <c r="A321" s="19" t="str">
        <f aca="false">"PKT-"&amp;B321&amp;"-RECONSTRUCTION"</f>
        <v>PKT-MTH-LF-REC-L1-RECONSTRUCTION</v>
      </c>
      <c r="B321" s="19" t="str">
        <f aca="false">'Object Crosswalk'!A69</f>
        <v>MTH-LF-REC-L1</v>
      </c>
      <c r="C321" s="19" t="str">
        <f aca="false">'Object Crosswalk'!B69</f>
        <v>Method lineage</v>
      </c>
      <c r="D321" s="19" t="str">
        <f aca="false">'Object Crosswalk'!D69</f>
        <v>MS-LF</v>
      </c>
      <c r="E321" s="19" t="str">
        <f aca="false">'Object Crosswalk'!E69</f>
        <v>LF-B</v>
      </c>
      <c r="F321" s="19" t="str">
        <f aca="false">'Object Crosswalk'!F69</f>
        <v>RECONSTRUCTION</v>
      </c>
      <c r="G321" s="9" t="s">
        <v>341</v>
      </c>
      <c r="H321" s="11" t="s">
        <v>58</v>
      </c>
      <c r="I321" s="32" t="n">
        <f aca="false">0</f>
        <v>0</v>
      </c>
      <c r="J321" s="11" t="s">
        <v>576</v>
      </c>
      <c r="K321" s="32" t="str">
        <f aca="false">IF(I321=1,"ACCEPTED","OPEN")</f>
        <v>OPEN</v>
      </c>
    </row>
    <row r="322" customFormat="false" ht="15" hidden="false" customHeight="false" outlineLevel="0" collapsed="false">
      <c r="A322" s="19" t="str">
        <f aca="false">"PKT-"&amp;B322&amp;"-CONFIGURATION"</f>
        <v>PKT-MTH-LF-REC-L2-CONFIGURATION</v>
      </c>
      <c r="B322" s="19" t="str">
        <f aca="false">'Object Crosswalk'!A70</f>
        <v>MTH-LF-REC-L2</v>
      </c>
      <c r="C322" s="19" t="str">
        <f aca="false">'Object Crosswalk'!B70</f>
        <v>Method lineage</v>
      </c>
      <c r="D322" s="19" t="str">
        <f aca="false">'Object Crosswalk'!D70</f>
        <v>MS-LF</v>
      </c>
      <c r="E322" s="19" t="str">
        <f aca="false">'Object Crosswalk'!E70</f>
        <v>LF-B</v>
      </c>
      <c r="F322" s="19" t="str">
        <f aca="false">'Object Crosswalk'!F70</f>
        <v>RECONSTRUCTION</v>
      </c>
      <c r="G322" s="9" t="s">
        <v>728</v>
      </c>
      <c r="H322" s="11" t="s">
        <v>58</v>
      </c>
      <c r="I322" s="32" t="n">
        <f aca="false">0</f>
        <v>0</v>
      </c>
      <c r="J322" s="11" t="s">
        <v>576</v>
      </c>
      <c r="K322" s="32" t="str">
        <f aca="false">IF(I322=1,"ACCEPTED","OPEN")</f>
        <v>OPEN</v>
      </c>
    </row>
    <row r="323" customFormat="false" ht="15" hidden="false" customHeight="false" outlineLevel="0" collapsed="false">
      <c r="A323" s="19" t="str">
        <f aca="false">"PKT-"&amp;B323&amp;"-CONTROL"</f>
        <v>PKT-MTH-LF-REC-L2-CONTROL</v>
      </c>
      <c r="B323" s="19" t="str">
        <f aca="false">'Object Crosswalk'!A70</f>
        <v>MTH-LF-REC-L2</v>
      </c>
      <c r="C323" s="19" t="str">
        <f aca="false">'Object Crosswalk'!B70</f>
        <v>Method lineage</v>
      </c>
      <c r="D323" s="19" t="str">
        <f aca="false">'Object Crosswalk'!D70</f>
        <v>MS-LF</v>
      </c>
      <c r="E323" s="19" t="str">
        <f aca="false">'Object Crosswalk'!E70</f>
        <v>LF-B</v>
      </c>
      <c r="F323" s="19" t="str">
        <f aca="false">'Object Crosswalk'!F70</f>
        <v>RECONSTRUCTION</v>
      </c>
      <c r="G323" s="9" t="s">
        <v>333</v>
      </c>
      <c r="H323" s="11" t="s">
        <v>58</v>
      </c>
      <c r="I323" s="32" t="n">
        <f aca="false">0</f>
        <v>0</v>
      </c>
      <c r="J323" s="11" t="s">
        <v>576</v>
      </c>
      <c r="K323" s="32" t="str">
        <f aca="false">IF(I323=1,"ACCEPTED","OPEN")</f>
        <v>OPEN</v>
      </c>
    </row>
    <row r="324" customFormat="false" ht="15" hidden="false" customHeight="false" outlineLevel="0" collapsed="false">
      <c r="A324" s="19" t="str">
        <f aca="false">"PKT-"&amp;B324&amp;"-METROLOGY"</f>
        <v>PKT-MTH-LF-REC-L2-METROLOGY</v>
      </c>
      <c r="B324" s="19" t="str">
        <f aca="false">'Object Crosswalk'!A70</f>
        <v>MTH-LF-REC-L2</v>
      </c>
      <c r="C324" s="19" t="str">
        <f aca="false">'Object Crosswalk'!B70</f>
        <v>Method lineage</v>
      </c>
      <c r="D324" s="19" t="str">
        <f aca="false">'Object Crosswalk'!D70</f>
        <v>MS-LF</v>
      </c>
      <c r="E324" s="19" t="str">
        <f aca="false">'Object Crosswalk'!E70</f>
        <v>LF-B</v>
      </c>
      <c r="F324" s="19" t="str">
        <f aca="false">'Object Crosswalk'!F70</f>
        <v>RECONSTRUCTION</v>
      </c>
      <c r="G324" s="9" t="s">
        <v>729</v>
      </c>
      <c r="H324" s="11" t="s">
        <v>58</v>
      </c>
      <c r="I324" s="32" t="n">
        <f aca="false">0</f>
        <v>0</v>
      </c>
      <c r="J324" s="11" t="s">
        <v>576</v>
      </c>
      <c r="K324" s="32" t="str">
        <f aca="false">IF(I324=1,"ACCEPTED","OPEN")</f>
        <v>OPEN</v>
      </c>
    </row>
    <row r="325" customFormat="false" ht="15" hidden="false" customHeight="false" outlineLevel="0" collapsed="false">
      <c r="A325" s="19" t="str">
        <f aca="false">"PKT-"&amp;B325&amp;"-SAFETY"</f>
        <v>PKT-MTH-LF-REC-L2-SAFETY</v>
      </c>
      <c r="B325" s="19" t="str">
        <f aca="false">'Object Crosswalk'!A70</f>
        <v>MTH-LF-REC-L2</v>
      </c>
      <c r="C325" s="19" t="str">
        <f aca="false">'Object Crosswalk'!B70</f>
        <v>Method lineage</v>
      </c>
      <c r="D325" s="19" t="str">
        <f aca="false">'Object Crosswalk'!D70</f>
        <v>MS-LF</v>
      </c>
      <c r="E325" s="19" t="str">
        <f aca="false">'Object Crosswalk'!E70</f>
        <v>LF-B</v>
      </c>
      <c r="F325" s="19" t="str">
        <f aca="false">'Object Crosswalk'!F70</f>
        <v>RECONSTRUCTION</v>
      </c>
      <c r="G325" s="9" t="s">
        <v>730</v>
      </c>
      <c r="H325" s="11" t="s">
        <v>58</v>
      </c>
      <c r="I325" s="32" t="n">
        <f aca="false">0</f>
        <v>0</v>
      </c>
      <c r="J325" s="11" t="s">
        <v>576</v>
      </c>
      <c r="K325" s="32" t="str">
        <f aca="false">IF(I325=1,"ACCEPTED","OPEN")</f>
        <v>OPEN</v>
      </c>
    </row>
    <row r="326" customFormat="false" ht="15" hidden="false" customHeight="false" outlineLevel="0" collapsed="false">
      <c r="A326" s="19" t="str">
        <f aca="false">"PKT-"&amp;B326&amp;"-RECONSTRUCTION"</f>
        <v>PKT-MTH-LF-REC-L2-RECONSTRUCTION</v>
      </c>
      <c r="B326" s="19" t="str">
        <f aca="false">'Object Crosswalk'!A70</f>
        <v>MTH-LF-REC-L2</v>
      </c>
      <c r="C326" s="19" t="str">
        <f aca="false">'Object Crosswalk'!B70</f>
        <v>Method lineage</v>
      </c>
      <c r="D326" s="19" t="str">
        <f aca="false">'Object Crosswalk'!D70</f>
        <v>MS-LF</v>
      </c>
      <c r="E326" s="19" t="str">
        <f aca="false">'Object Crosswalk'!E70</f>
        <v>LF-B</v>
      </c>
      <c r="F326" s="19" t="str">
        <f aca="false">'Object Crosswalk'!F70</f>
        <v>RECONSTRUCTION</v>
      </c>
      <c r="G326" s="9" t="s">
        <v>341</v>
      </c>
      <c r="H326" s="11" t="s">
        <v>58</v>
      </c>
      <c r="I326" s="32" t="n">
        <f aca="false">0</f>
        <v>0</v>
      </c>
      <c r="J326" s="11" t="s">
        <v>576</v>
      </c>
      <c r="K326" s="32" t="str">
        <f aca="false">IF(I326=1,"ACCEPTED","OPEN")</f>
        <v>OPEN</v>
      </c>
    </row>
    <row r="327" customFormat="false" ht="15" hidden="false" customHeight="false" outlineLevel="0" collapsed="false">
      <c r="A327" s="19" t="str">
        <f aca="false">"PKT-"&amp;B327&amp;"-CONFIGURATION"</f>
        <v>PKT-REG-LF-REC-CONFIGURATION</v>
      </c>
      <c r="B327" s="19" t="str">
        <f aca="false">'Object Crosswalk'!A71</f>
        <v>REG-LF-REC</v>
      </c>
      <c r="C327" s="19" t="str">
        <f aca="false">'Object Crosswalk'!B71</f>
        <v>Regeneration tool</v>
      </c>
      <c r="D327" s="19" t="str">
        <f aca="false">'Object Crosswalk'!D71</f>
        <v>MS-LF</v>
      </c>
      <c r="E327" s="19" t="str">
        <f aca="false">'Object Crosswalk'!E71</f>
        <v>LF-B</v>
      </c>
      <c r="F327" s="19" t="str">
        <f aca="false">'Object Crosswalk'!F71</f>
        <v>RECONSTRUCTION</v>
      </c>
      <c r="G327" s="9" t="s">
        <v>728</v>
      </c>
      <c r="H327" s="11" t="s">
        <v>58</v>
      </c>
      <c r="I327" s="32" t="n">
        <f aca="false">0</f>
        <v>0</v>
      </c>
      <c r="J327" s="11" t="s">
        <v>576</v>
      </c>
      <c r="K327" s="32" t="str">
        <f aca="false">IF(I327=1,"ACCEPTED","OPEN")</f>
        <v>OPEN</v>
      </c>
    </row>
    <row r="328" customFormat="false" ht="15" hidden="false" customHeight="false" outlineLevel="0" collapsed="false">
      <c r="A328" s="19" t="str">
        <f aca="false">"PKT-"&amp;B328&amp;"-CONTROL"</f>
        <v>PKT-REG-LF-REC-CONTROL</v>
      </c>
      <c r="B328" s="19" t="str">
        <f aca="false">'Object Crosswalk'!A71</f>
        <v>REG-LF-REC</v>
      </c>
      <c r="C328" s="19" t="str">
        <f aca="false">'Object Crosswalk'!B71</f>
        <v>Regeneration tool</v>
      </c>
      <c r="D328" s="19" t="str">
        <f aca="false">'Object Crosswalk'!D71</f>
        <v>MS-LF</v>
      </c>
      <c r="E328" s="19" t="str">
        <f aca="false">'Object Crosswalk'!E71</f>
        <v>LF-B</v>
      </c>
      <c r="F328" s="19" t="str">
        <f aca="false">'Object Crosswalk'!F71</f>
        <v>RECONSTRUCTION</v>
      </c>
      <c r="G328" s="9" t="s">
        <v>333</v>
      </c>
      <c r="H328" s="11" t="s">
        <v>58</v>
      </c>
      <c r="I328" s="32" t="n">
        <f aca="false">0</f>
        <v>0</v>
      </c>
      <c r="J328" s="11" t="s">
        <v>576</v>
      </c>
      <c r="K328" s="32" t="str">
        <f aca="false">IF(I328=1,"ACCEPTED","OPEN")</f>
        <v>OPEN</v>
      </c>
    </row>
    <row r="329" customFormat="false" ht="15" hidden="false" customHeight="false" outlineLevel="0" collapsed="false">
      <c r="A329" s="19" t="str">
        <f aca="false">"PKT-"&amp;B329&amp;"-METROLOGY"</f>
        <v>PKT-REG-LF-REC-METROLOGY</v>
      </c>
      <c r="B329" s="19" t="str">
        <f aca="false">'Object Crosswalk'!A71</f>
        <v>REG-LF-REC</v>
      </c>
      <c r="C329" s="19" t="str">
        <f aca="false">'Object Crosswalk'!B71</f>
        <v>Regeneration tool</v>
      </c>
      <c r="D329" s="19" t="str">
        <f aca="false">'Object Crosswalk'!D71</f>
        <v>MS-LF</v>
      </c>
      <c r="E329" s="19" t="str">
        <f aca="false">'Object Crosswalk'!E71</f>
        <v>LF-B</v>
      </c>
      <c r="F329" s="19" t="str">
        <f aca="false">'Object Crosswalk'!F71</f>
        <v>RECONSTRUCTION</v>
      </c>
      <c r="G329" s="9" t="s">
        <v>729</v>
      </c>
      <c r="H329" s="11" t="s">
        <v>58</v>
      </c>
      <c r="I329" s="32" t="n">
        <f aca="false">0</f>
        <v>0</v>
      </c>
      <c r="J329" s="11" t="s">
        <v>576</v>
      </c>
      <c r="K329" s="32" t="str">
        <f aca="false">IF(I329=1,"ACCEPTED","OPEN")</f>
        <v>OPEN</v>
      </c>
    </row>
    <row r="330" customFormat="false" ht="15" hidden="false" customHeight="false" outlineLevel="0" collapsed="false">
      <c r="A330" s="19" t="str">
        <f aca="false">"PKT-"&amp;B330&amp;"-SAFETY"</f>
        <v>PKT-REG-LF-REC-SAFETY</v>
      </c>
      <c r="B330" s="19" t="str">
        <f aca="false">'Object Crosswalk'!A71</f>
        <v>REG-LF-REC</v>
      </c>
      <c r="C330" s="19" t="str">
        <f aca="false">'Object Crosswalk'!B71</f>
        <v>Regeneration tool</v>
      </c>
      <c r="D330" s="19" t="str">
        <f aca="false">'Object Crosswalk'!D71</f>
        <v>MS-LF</v>
      </c>
      <c r="E330" s="19" t="str">
        <f aca="false">'Object Crosswalk'!E71</f>
        <v>LF-B</v>
      </c>
      <c r="F330" s="19" t="str">
        <f aca="false">'Object Crosswalk'!F71</f>
        <v>RECONSTRUCTION</v>
      </c>
      <c r="G330" s="9" t="s">
        <v>730</v>
      </c>
      <c r="H330" s="11" t="s">
        <v>58</v>
      </c>
      <c r="I330" s="32" t="n">
        <f aca="false">0</f>
        <v>0</v>
      </c>
      <c r="J330" s="11" t="s">
        <v>576</v>
      </c>
      <c r="K330" s="32" t="str">
        <f aca="false">IF(I330=1,"ACCEPTED","OPEN")</f>
        <v>OPEN</v>
      </c>
    </row>
    <row r="331" customFormat="false" ht="15" hidden="false" customHeight="false" outlineLevel="0" collapsed="false">
      <c r="A331" s="19" t="str">
        <f aca="false">"PKT-"&amp;B331&amp;"-RECONSTRUCTION"</f>
        <v>PKT-REG-LF-REC-RECONSTRUCTION</v>
      </c>
      <c r="B331" s="19" t="str">
        <f aca="false">'Object Crosswalk'!A71</f>
        <v>REG-LF-REC</v>
      </c>
      <c r="C331" s="19" t="str">
        <f aca="false">'Object Crosswalk'!B71</f>
        <v>Regeneration tool</v>
      </c>
      <c r="D331" s="19" t="str">
        <f aca="false">'Object Crosswalk'!D71</f>
        <v>MS-LF</v>
      </c>
      <c r="E331" s="19" t="str">
        <f aca="false">'Object Crosswalk'!E71</f>
        <v>LF-B</v>
      </c>
      <c r="F331" s="19" t="str">
        <f aca="false">'Object Crosswalk'!F71</f>
        <v>RECONSTRUCTION</v>
      </c>
      <c r="G331" s="9" t="s">
        <v>341</v>
      </c>
      <c r="H331" s="11" t="s">
        <v>58</v>
      </c>
      <c r="I331" s="32" t="n">
        <f aca="false">0</f>
        <v>0</v>
      </c>
      <c r="J331" s="11" t="s">
        <v>576</v>
      </c>
      <c r="K331" s="32" t="str">
        <f aca="false">IF(I331=1,"ACCEPTED","OPEN")</f>
        <v>OPEN</v>
      </c>
    </row>
    <row r="332" customFormat="false" ht="15" hidden="false" customHeight="false" outlineLevel="0" collapsed="false">
      <c r="A332" s="19" t="str">
        <f aca="false">"PKT-"&amp;B332&amp;"-CONFIGURATION"</f>
        <v>PKT-INT-LF-REC-CONFIGURATION</v>
      </c>
      <c r="B332" s="19" t="str">
        <f aca="false">'Object Crosswalk'!A72</f>
        <v>INT-LF-REC</v>
      </c>
      <c r="C332" s="19" t="str">
        <f aca="false">'Object Crosswalk'!B72</f>
        <v>Station integration</v>
      </c>
      <c r="D332" s="19" t="str">
        <f aca="false">'Object Crosswalk'!D72</f>
        <v>MS-LF</v>
      </c>
      <c r="E332" s="19" t="str">
        <f aca="false">'Object Crosswalk'!E72</f>
        <v>LF-B</v>
      </c>
      <c r="F332" s="19" t="str">
        <f aca="false">'Object Crosswalk'!F72</f>
        <v>RECONSTRUCTION</v>
      </c>
      <c r="G332" s="9" t="s">
        <v>728</v>
      </c>
      <c r="H332" s="11" t="s">
        <v>58</v>
      </c>
      <c r="I332" s="32" t="n">
        <f aca="false">0</f>
        <v>0</v>
      </c>
      <c r="J332" s="11" t="s">
        <v>576</v>
      </c>
      <c r="K332" s="32" t="str">
        <f aca="false">IF(I332=1,"ACCEPTED","OPEN")</f>
        <v>OPEN</v>
      </c>
    </row>
    <row r="333" customFormat="false" ht="15" hidden="false" customHeight="false" outlineLevel="0" collapsed="false">
      <c r="A333" s="19" t="str">
        <f aca="false">"PKT-"&amp;B333&amp;"-CONTROL"</f>
        <v>PKT-INT-LF-REC-CONTROL</v>
      </c>
      <c r="B333" s="19" t="str">
        <f aca="false">'Object Crosswalk'!A72</f>
        <v>INT-LF-REC</v>
      </c>
      <c r="C333" s="19" t="str">
        <f aca="false">'Object Crosswalk'!B72</f>
        <v>Station integration</v>
      </c>
      <c r="D333" s="19" t="str">
        <f aca="false">'Object Crosswalk'!D72</f>
        <v>MS-LF</v>
      </c>
      <c r="E333" s="19" t="str">
        <f aca="false">'Object Crosswalk'!E72</f>
        <v>LF-B</v>
      </c>
      <c r="F333" s="19" t="str">
        <f aca="false">'Object Crosswalk'!F72</f>
        <v>RECONSTRUCTION</v>
      </c>
      <c r="G333" s="9" t="s">
        <v>333</v>
      </c>
      <c r="H333" s="11" t="s">
        <v>58</v>
      </c>
      <c r="I333" s="32" t="n">
        <f aca="false">0</f>
        <v>0</v>
      </c>
      <c r="J333" s="11" t="s">
        <v>576</v>
      </c>
      <c r="K333" s="32" t="str">
        <f aca="false">IF(I333=1,"ACCEPTED","OPEN")</f>
        <v>OPEN</v>
      </c>
    </row>
    <row r="334" customFormat="false" ht="15" hidden="false" customHeight="false" outlineLevel="0" collapsed="false">
      <c r="A334" s="19" t="str">
        <f aca="false">"PKT-"&amp;B334&amp;"-METROLOGY"</f>
        <v>PKT-INT-LF-REC-METROLOGY</v>
      </c>
      <c r="B334" s="19" t="str">
        <f aca="false">'Object Crosswalk'!A72</f>
        <v>INT-LF-REC</v>
      </c>
      <c r="C334" s="19" t="str">
        <f aca="false">'Object Crosswalk'!B72</f>
        <v>Station integration</v>
      </c>
      <c r="D334" s="19" t="str">
        <f aca="false">'Object Crosswalk'!D72</f>
        <v>MS-LF</v>
      </c>
      <c r="E334" s="19" t="str">
        <f aca="false">'Object Crosswalk'!E72</f>
        <v>LF-B</v>
      </c>
      <c r="F334" s="19" t="str">
        <f aca="false">'Object Crosswalk'!F72</f>
        <v>RECONSTRUCTION</v>
      </c>
      <c r="G334" s="9" t="s">
        <v>729</v>
      </c>
      <c r="H334" s="11" t="s">
        <v>58</v>
      </c>
      <c r="I334" s="32" t="n">
        <f aca="false">0</f>
        <v>0</v>
      </c>
      <c r="J334" s="11" t="s">
        <v>576</v>
      </c>
      <c r="K334" s="32" t="str">
        <f aca="false">IF(I334=1,"ACCEPTED","OPEN")</f>
        <v>OPEN</v>
      </c>
    </row>
    <row r="335" customFormat="false" ht="15" hidden="false" customHeight="false" outlineLevel="0" collapsed="false">
      <c r="A335" s="19" t="str">
        <f aca="false">"PKT-"&amp;B335&amp;"-SAFETY"</f>
        <v>PKT-INT-LF-REC-SAFETY</v>
      </c>
      <c r="B335" s="19" t="str">
        <f aca="false">'Object Crosswalk'!A72</f>
        <v>INT-LF-REC</v>
      </c>
      <c r="C335" s="19" t="str">
        <f aca="false">'Object Crosswalk'!B72</f>
        <v>Station integration</v>
      </c>
      <c r="D335" s="19" t="str">
        <f aca="false">'Object Crosswalk'!D72</f>
        <v>MS-LF</v>
      </c>
      <c r="E335" s="19" t="str">
        <f aca="false">'Object Crosswalk'!E72</f>
        <v>LF-B</v>
      </c>
      <c r="F335" s="19" t="str">
        <f aca="false">'Object Crosswalk'!F72</f>
        <v>RECONSTRUCTION</v>
      </c>
      <c r="G335" s="9" t="s">
        <v>730</v>
      </c>
      <c r="H335" s="11" t="s">
        <v>58</v>
      </c>
      <c r="I335" s="32" t="n">
        <f aca="false">0</f>
        <v>0</v>
      </c>
      <c r="J335" s="11" t="s">
        <v>576</v>
      </c>
      <c r="K335" s="32" t="str">
        <f aca="false">IF(I335=1,"ACCEPTED","OPEN")</f>
        <v>OPEN</v>
      </c>
    </row>
    <row r="336" customFormat="false" ht="15" hidden="false" customHeight="false" outlineLevel="0" collapsed="false">
      <c r="A336" s="19" t="str">
        <f aca="false">"PKT-"&amp;B336&amp;"-RECONSTRUCTION"</f>
        <v>PKT-INT-LF-REC-RECONSTRUCTION</v>
      </c>
      <c r="B336" s="19" t="str">
        <f aca="false">'Object Crosswalk'!A72</f>
        <v>INT-LF-REC</v>
      </c>
      <c r="C336" s="19" t="str">
        <f aca="false">'Object Crosswalk'!B72</f>
        <v>Station integration</v>
      </c>
      <c r="D336" s="19" t="str">
        <f aca="false">'Object Crosswalk'!D72</f>
        <v>MS-LF</v>
      </c>
      <c r="E336" s="19" t="str">
        <f aca="false">'Object Crosswalk'!E72</f>
        <v>LF-B</v>
      </c>
      <c r="F336" s="19" t="str">
        <f aca="false">'Object Crosswalk'!F72</f>
        <v>RECONSTRUCTION</v>
      </c>
      <c r="G336" s="9" t="s">
        <v>341</v>
      </c>
      <c r="H336" s="11" t="s">
        <v>58</v>
      </c>
      <c r="I336" s="32" t="n">
        <f aca="false">0</f>
        <v>0</v>
      </c>
      <c r="J336" s="11" t="s">
        <v>576</v>
      </c>
      <c r="K336" s="32" t="str">
        <f aca="false">IF(I336=1,"ACCEPTED","OPEN")</f>
        <v>OPEN</v>
      </c>
    </row>
    <row r="337" customFormat="false" ht="15" hidden="false" customHeight="false" outlineLevel="0" collapsed="false">
      <c r="A337" s="19" t="str">
        <f aca="false">"PKT-"&amp;B337&amp;"-CONFIGURATION"</f>
        <v>PKT-RIG-HU-CHA-CONFIGURATION</v>
      </c>
      <c r="B337" s="19" t="str">
        <f aca="false">'Object Crosswalk'!A73</f>
        <v>RIG-HU-CHA</v>
      </c>
      <c r="C337" s="19" t="str">
        <f aca="false">'Object Crosswalk'!B73</f>
        <v>Root-native rig</v>
      </c>
      <c r="D337" s="19" t="str">
        <f aca="false">'Object Crosswalk'!D73</f>
        <v>MS-HU</v>
      </c>
      <c r="E337" s="19" t="str">
        <f aca="false">'Object Crosswalk'!E73</f>
        <v>HU-A</v>
      </c>
      <c r="F337" s="19" t="str">
        <f aca="false">'Object Crosswalk'!F73</f>
        <v>CHALLENGE</v>
      </c>
      <c r="G337" s="9" t="s">
        <v>728</v>
      </c>
      <c r="H337" s="11" t="s">
        <v>58</v>
      </c>
      <c r="I337" s="32" t="n">
        <f aca="false">0</f>
        <v>0</v>
      </c>
      <c r="J337" s="11" t="s">
        <v>576</v>
      </c>
      <c r="K337" s="32" t="str">
        <f aca="false">IF(I337=1,"ACCEPTED","OPEN")</f>
        <v>OPEN</v>
      </c>
    </row>
    <row r="338" customFormat="false" ht="15" hidden="false" customHeight="false" outlineLevel="0" collapsed="false">
      <c r="A338" s="19" t="str">
        <f aca="false">"PKT-"&amp;B338&amp;"-CONTROL"</f>
        <v>PKT-RIG-HU-CHA-CONTROL</v>
      </c>
      <c r="B338" s="19" t="str">
        <f aca="false">'Object Crosswalk'!A73</f>
        <v>RIG-HU-CHA</v>
      </c>
      <c r="C338" s="19" t="str">
        <f aca="false">'Object Crosswalk'!B73</f>
        <v>Root-native rig</v>
      </c>
      <c r="D338" s="19" t="str">
        <f aca="false">'Object Crosswalk'!D73</f>
        <v>MS-HU</v>
      </c>
      <c r="E338" s="19" t="str">
        <f aca="false">'Object Crosswalk'!E73</f>
        <v>HU-A</v>
      </c>
      <c r="F338" s="19" t="str">
        <f aca="false">'Object Crosswalk'!F73</f>
        <v>CHALLENGE</v>
      </c>
      <c r="G338" s="9" t="s">
        <v>333</v>
      </c>
      <c r="H338" s="11" t="s">
        <v>58</v>
      </c>
      <c r="I338" s="32" t="n">
        <f aca="false">0</f>
        <v>0</v>
      </c>
      <c r="J338" s="11" t="s">
        <v>576</v>
      </c>
      <c r="K338" s="32" t="str">
        <f aca="false">IF(I338=1,"ACCEPTED","OPEN")</f>
        <v>OPEN</v>
      </c>
    </row>
    <row r="339" customFormat="false" ht="15" hidden="false" customHeight="false" outlineLevel="0" collapsed="false">
      <c r="A339" s="19" t="str">
        <f aca="false">"PKT-"&amp;B339&amp;"-METROLOGY"</f>
        <v>PKT-RIG-HU-CHA-METROLOGY</v>
      </c>
      <c r="B339" s="19" t="str">
        <f aca="false">'Object Crosswalk'!A73</f>
        <v>RIG-HU-CHA</v>
      </c>
      <c r="C339" s="19" t="str">
        <f aca="false">'Object Crosswalk'!B73</f>
        <v>Root-native rig</v>
      </c>
      <c r="D339" s="19" t="str">
        <f aca="false">'Object Crosswalk'!D73</f>
        <v>MS-HU</v>
      </c>
      <c r="E339" s="19" t="str">
        <f aca="false">'Object Crosswalk'!E73</f>
        <v>HU-A</v>
      </c>
      <c r="F339" s="19" t="str">
        <f aca="false">'Object Crosswalk'!F73</f>
        <v>CHALLENGE</v>
      </c>
      <c r="G339" s="9" t="s">
        <v>729</v>
      </c>
      <c r="H339" s="11" t="s">
        <v>58</v>
      </c>
      <c r="I339" s="32" t="n">
        <f aca="false">0</f>
        <v>0</v>
      </c>
      <c r="J339" s="11" t="s">
        <v>576</v>
      </c>
      <c r="K339" s="32" t="str">
        <f aca="false">IF(I339=1,"ACCEPTED","OPEN")</f>
        <v>OPEN</v>
      </c>
    </row>
    <row r="340" customFormat="false" ht="15" hidden="false" customHeight="false" outlineLevel="0" collapsed="false">
      <c r="A340" s="19" t="str">
        <f aca="false">"PKT-"&amp;B340&amp;"-SAFETY"</f>
        <v>PKT-RIG-HU-CHA-SAFETY</v>
      </c>
      <c r="B340" s="19" t="str">
        <f aca="false">'Object Crosswalk'!A73</f>
        <v>RIG-HU-CHA</v>
      </c>
      <c r="C340" s="19" t="str">
        <f aca="false">'Object Crosswalk'!B73</f>
        <v>Root-native rig</v>
      </c>
      <c r="D340" s="19" t="str">
        <f aca="false">'Object Crosswalk'!D73</f>
        <v>MS-HU</v>
      </c>
      <c r="E340" s="19" t="str">
        <f aca="false">'Object Crosswalk'!E73</f>
        <v>HU-A</v>
      </c>
      <c r="F340" s="19" t="str">
        <f aca="false">'Object Crosswalk'!F73</f>
        <v>CHALLENGE</v>
      </c>
      <c r="G340" s="9" t="s">
        <v>730</v>
      </c>
      <c r="H340" s="11" t="s">
        <v>58</v>
      </c>
      <c r="I340" s="32" t="n">
        <f aca="false">0</f>
        <v>0</v>
      </c>
      <c r="J340" s="11" t="s">
        <v>576</v>
      </c>
      <c r="K340" s="32" t="str">
        <f aca="false">IF(I340=1,"ACCEPTED","OPEN")</f>
        <v>OPEN</v>
      </c>
    </row>
    <row r="341" customFormat="false" ht="15" hidden="false" customHeight="false" outlineLevel="0" collapsed="false">
      <c r="A341" s="19" t="str">
        <f aca="false">"PKT-"&amp;B341&amp;"-RECONSTRUCTION"</f>
        <v>PKT-RIG-HU-CHA-RECONSTRUCTION</v>
      </c>
      <c r="B341" s="19" t="str">
        <f aca="false">'Object Crosswalk'!A73</f>
        <v>RIG-HU-CHA</v>
      </c>
      <c r="C341" s="19" t="str">
        <f aca="false">'Object Crosswalk'!B73</f>
        <v>Root-native rig</v>
      </c>
      <c r="D341" s="19" t="str">
        <f aca="false">'Object Crosswalk'!D73</f>
        <v>MS-HU</v>
      </c>
      <c r="E341" s="19" t="str">
        <f aca="false">'Object Crosswalk'!E73</f>
        <v>HU-A</v>
      </c>
      <c r="F341" s="19" t="str">
        <f aca="false">'Object Crosswalk'!F73</f>
        <v>CHALLENGE</v>
      </c>
      <c r="G341" s="9" t="s">
        <v>341</v>
      </c>
      <c r="H341" s="11" t="s">
        <v>58</v>
      </c>
      <c r="I341" s="32" t="n">
        <f aca="false">0</f>
        <v>0</v>
      </c>
      <c r="J341" s="11" t="s">
        <v>576</v>
      </c>
      <c r="K341" s="32" t="str">
        <f aca="false">IF(I341=1,"ACCEPTED","OPEN")</f>
        <v>OPEN</v>
      </c>
    </row>
    <row r="342" customFormat="false" ht="15" hidden="false" customHeight="false" outlineLevel="0" collapsed="false">
      <c r="A342" s="19" t="str">
        <f aca="false">"PKT-"&amp;B342&amp;"-CONFIGURATION"</f>
        <v>PKT-MTH-HU-CHA-L1-CONFIGURATION</v>
      </c>
      <c r="B342" s="19" t="str">
        <f aca="false">'Object Crosswalk'!A74</f>
        <v>MTH-HU-CHA-L1</v>
      </c>
      <c r="C342" s="19" t="str">
        <f aca="false">'Object Crosswalk'!B74</f>
        <v>Method lineage</v>
      </c>
      <c r="D342" s="19" t="str">
        <f aca="false">'Object Crosswalk'!D74</f>
        <v>MS-HU</v>
      </c>
      <c r="E342" s="19" t="str">
        <f aca="false">'Object Crosswalk'!E74</f>
        <v>HU-A</v>
      </c>
      <c r="F342" s="19" t="str">
        <f aca="false">'Object Crosswalk'!F74</f>
        <v>CHALLENGE</v>
      </c>
      <c r="G342" s="9" t="s">
        <v>728</v>
      </c>
      <c r="H342" s="11" t="s">
        <v>58</v>
      </c>
      <c r="I342" s="32" t="n">
        <f aca="false">0</f>
        <v>0</v>
      </c>
      <c r="J342" s="11" t="s">
        <v>576</v>
      </c>
      <c r="K342" s="32" t="str">
        <f aca="false">IF(I342=1,"ACCEPTED","OPEN")</f>
        <v>OPEN</v>
      </c>
    </row>
    <row r="343" customFormat="false" ht="15" hidden="false" customHeight="false" outlineLevel="0" collapsed="false">
      <c r="A343" s="19" t="str">
        <f aca="false">"PKT-"&amp;B343&amp;"-CONTROL"</f>
        <v>PKT-MTH-HU-CHA-L1-CONTROL</v>
      </c>
      <c r="B343" s="19" t="str">
        <f aca="false">'Object Crosswalk'!A74</f>
        <v>MTH-HU-CHA-L1</v>
      </c>
      <c r="C343" s="19" t="str">
        <f aca="false">'Object Crosswalk'!B74</f>
        <v>Method lineage</v>
      </c>
      <c r="D343" s="19" t="str">
        <f aca="false">'Object Crosswalk'!D74</f>
        <v>MS-HU</v>
      </c>
      <c r="E343" s="19" t="str">
        <f aca="false">'Object Crosswalk'!E74</f>
        <v>HU-A</v>
      </c>
      <c r="F343" s="19" t="str">
        <f aca="false">'Object Crosswalk'!F74</f>
        <v>CHALLENGE</v>
      </c>
      <c r="G343" s="9" t="s">
        <v>333</v>
      </c>
      <c r="H343" s="11" t="s">
        <v>58</v>
      </c>
      <c r="I343" s="32" t="n">
        <f aca="false">0</f>
        <v>0</v>
      </c>
      <c r="J343" s="11" t="s">
        <v>576</v>
      </c>
      <c r="K343" s="32" t="str">
        <f aca="false">IF(I343=1,"ACCEPTED","OPEN")</f>
        <v>OPEN</v>
      </c>
    </row>
    <row r="344" customFormat="false" ht="15" hidden="false" customHeight="false" outlineLevel="0" collapsed="false">
      <c r="A344" s="19" t="str">
        <f aca="false">"PKT-"&amp;B344&amp;"-METROLOGY"</f>
        <v>PKT-MTH-HU-CHA-L1-METROLOGY</v>
      </c>
      <c r="B344" s="19" t="str">
        <f aca="false">'Object Crosswalk'!A74</f>
        <v>MTH-HU-CHA-L1</v>
      </c>
      <c r="C344" s="19" t="str">
        <f aca="false">'Object Crosswalk'!B74</f>
        <v>Method lineage</v>
      </c>
      <c r="D344" s="19" t="str">
        <f aca="false">'Object Crosswalk'!D74</f>
        <v>MS-HU</v>
      </c>
      <c r="E344" s="19" t="str">
        <f aca="false">'Object Crosswalk'!E74</f>
        <v>HU-A</v>
      </c>
      <c r="F344" s="19" t="str">
        <f aca="false">'Object Crosswalk'!F74</f>
        <v>CHALLENGE</v>
      </c>
      <c r="G344" s="9" t="s">
        <v>729</v>
      </c>
      <c r="H344" s="11" t="s">
        <v>58</v>
      </c>
      <c r="I344" s="32" t="n">
        <f aca="false">0</f>
        <v>0</v>
      </c>
      <c r="J344" s="11" t="s">
        <v>576</v>
      </c>
      <c r="K344" s="32" t="str">
        <f aca="false">IF(I344=1,"ACCEPTED","OPEN")</f>
        <v>OPEN</v>
      </c>
    </row>
    <row r="345" customFormat="false" ht="15" hidden="false" customHeight="false" outlineLevel="0" collapsed="false">
      <c r="A345" s="19" t="str">
        <f aca="false">"PKT-"&amp;B345&amp;"-SAFETY"</f>
        <v>PKT-MTH-HU-CHA-L1-SAFETY</v>
      </c>
      <c r="B345" s="19" t="str">
        <f aca="false">'Object Crosswalk'!A74</f>
        <v>MTH-HU-CHA-L1</v>
      </c>
      <c r="C345" s="19" t="str">
        <f aca="false">'Object Crosswalk'!B74</f>
        <v>Method lineage</v>
      </c>
      <c r="D345" s="19" t="str">
        <f aca="false">'Object Crosswalk'!D74</f>
        <v>MS-HU</v>
      </c>
      <c r="E345" s="19" t="str">
        <f aca="false">'Object Crosswalk'!E74</f>
        <v>HU-A</v>
      </c>
      <c r="F345" s="19" t="str">
        <f aca="false">'Object Crosswalk'!F74</f>
        <v>CHALLENGE</v>
      </c>
      <c r="G345" s="9" t="s">
        <v>730</v>
      </c>
      <c r="H345" s="11" t="s">
        <v>58</v>
      </c>
      <c r="I345" s="32" t="n">
        <f aca="false">0</f>
        <v>0</v>
      </c>
      <c r="J345" s="11" t="s">
        <v>576</v>
      </c>
      <c r="K345" s="32" t="str">
        <f aca="false">IF(I345=1,"ACCEPTED","OPEN")</f>
        <v>OPEN</v>
      </c>
    </row>
    <row r="346" customFormat="false" ht="15" hidden="false" customHeight="false" outlineLevel="0" collapsed="false">
      <c r="A346" s="19" t="str">
        <f aca="false">"PKT-"&amp;B346&amp;"-RECONSTRUCTION"</f>
        <v>PKT-MTH-HU-CHA-L1-RECONSTRUCTION</v>
      </c>
      <c r="B346" s="19" t="str">
        <f aca="false">'Object Crosswalk'!A74</f>
        <v>MTH-HU-CHA-L1</v>
      </c>
      <c r="C346" s="19" t="str">
        <f aca="false">'Object Crosswalk'!B74</f>
        <v>Method lineage</v>
      </c>
      <c r="D346" s="19" t="str">
        <f aca="false">'Object Crosswalk'!D74</f>
        <v>MS-HU</v>
      </c>
      <c r="E346" s="19" t="str">
        <f aca="false">'Object Crosswalk'!E74</f>
        <v>HU-A</v>
      </c>
      <c r="F346" s="19" t="str">
        <f aca="false">'Object Crosswalk'!F74</f>
        <v>CHALLENGE</v>
      </c>
      <c r="G346" s="9" t="s">
        <v>341</v>
      </c>
      <c r="H346" s="11" t="s">
        <v>58</v>
      </c>
      <c r="I346" s="32" t="n">
        <f aca="false">0</f>
        <v>0</v>
      </c>
      <c r="J346" s="11" t="s">
        <v>576</v>
      </c>
      <c r="K346" s="32" t="str">
        <f aca="false">IF(I346=1,"ACCEPTED","OPEN")</f>
        <v>OPEN</v>
      </c>
    </row>
    <row r="347" customFormat="false" ht="15" hidden="false" customHeight="false" outlineLevel="0" collapsed="false">
      <c r="A347" s="19" t="str">
        <f aca="false">"PKT-"&amp;B347&amp;"-CONFIGURATION"</f>
        <v>PKT-MTH-HU-CHA-L2-CONFIGURATION</v>
      </c>
      <c r="B347" s="19" t="str">
        <f aca="false">'Object Crosswalk'!A75</f>
        <v>MTH-HU-CHA-L2</v>
      </c>
      <c r="C347" s="19" t="str">
        <f aca="false">'Object Crosswalk'!B75</f>
        <v>Method lineage</v>
      </c>
      <c r="D347" s="19" t="str">
        <f aca="false">'Object Crosswalk'!D75</f>
        <v>MS-HU</v>
      </c>
      <c r="E347" s="19" t="str">
        <f aca="false">'Object Crosswalk'!E75</f>
        <v>HU-A</v>
      </c>
      <c r="F347" s="19" t="str">
        <f aca="false">'Object Crosswalk'!F75</f>
        <v>CHALLENGE</v>
      </c>
      <c r="G347" s="9" t="s">
        <v>728</v>
      </c>
      <c r="H347" s="11" t="s">
        <v>58</v>
      </c>
      <c r="I347" s="32" t="n">
        <f aca="false">0</f>
        <v>0</v>
      </c>
      <c r="J347" s="11" t="s">
        <v>576</v>
      </c>
      <c r="K347" s="32" t="str">
        <f aca="false">IF(I347=1,"ACCEPTED","OPEN")</f>
        <v>OPEN</v>
      </c>
    </row>
    <row r="348" customFormat="false" ht="15" hidden="false" customHeight="false" outlineLevel="0" collapsed="false">
      <c r="A348" s="19" t="str">
        <f aca="false">"PKT-"&amp;B348&amp;"-CONTROL"</f>
        <v>PKT-MTH-HU-CHA-L2-CONTROL</v>
      </c>
      <c r="B348" s="19" t="str">
        <f aca="false">'Object Crosswalk'!A75</f>
        <v>MTH-HU-CHA-L2</v>
      </c>
      <c r="C348" s="19" t="str">
        <f aca="false">'Object Crosswalk'!B75</f>
        <v>Method lineage</v>
      </c>
      <c r="D348" s="19" t="str">
        <f aca="false">'Object Crosswalk'!D75</f>
        <v>MS-HU</v>
      </c>
      <c r="E348" s="19" t="str">
        <f aca="false">'Object Crosswalk'!E75</f>
        <v>HU-A</v>
      </c>
      <c r="F348" s="19" t="str">
        <f aca="false">'Object Crosswalk'!F75</f>
        <v>CHALLENGE</v>
      </c>
      <c r="G348" s="9" t="s">
        <v>333</v>
      </c>
      <c r="H348" s="11" t="s">
        <v>58</v>
      </c>
      <c r="I348" s="32" t="n">
        <f aca="false">0</f>
        <v>0</v>
      </c>
      <c r="J348" s="11" t="s">
        <v>576</v>
      </c>
      <c r="K348" s="32" t="str">
        <f aca="false">IF(I348=1,"ACCEPTED","OPEN")</f>
        <v>OPEN</v>
      </c>
    </row>
    <row r="349" customFormat="false" ht="15" hidden="false" customHeight="false" outlineLevel="0" collapsed="false">
      <c r="A349" s="19" t="str">
        <f aca="false">"PKT-"&amp;B349&amp;"-METROLOGY"</f>
        <v>PKT-MTH-HU-CHA-L2-METROLOGY</v>
      </c>
      <c r="B349" s="19" t="str">
        <f aca="false">'Object Crosswalk'!A75</f>
        <v>MTH-HU-CHA-L2</v>
      </c>
      <c r="C349" s="19" t="str">
        <f aca="false">'Object Crosswalk'!B75</f>
        <v>Method lineage</v>
      </c>
      <c r="D349" s="19" t="str">
        <f aca="false">'Object Crosswalk'!D75</f>
        <v>MS-HU</v>
      </c>
      <c r="E349" s="19" t="str">
        <f aca="false">'Object Crosswalk'!E75</f>
        <v>HU-A</v>
      </c>
      <c r="F349" s="19" t="str">
        <f aca="false">'Object Crosswalk'!F75</f>
        <v>CHALLENGE</v>
      </c>
      <c r="G349" s="9" t="s">
        <v>729</v>
      </c>
      <c r="H349" s="11" t="s">
        <v>58</v>
      </c>
      <c r="I349" s="32" t="n">
        <f aca="false">0</f>
        <v>0</v>
      </c>
      <c r="J349" s="11" t="s">
        <v>576</v>
      </c>
      <c r="K349" s="32" t="str">
        <f aca="false">IF(I349=1,"ACCEPTED","OPEN")</f>
        <v>OPEN</v>
      </c>
    </row>
    <row r="350" customFormat="false" ht="15" hidden="false" customHeight="false" outlineLevel="0" collapsed="false">
      <c r="A350" s="19" t="str">
        <f aca="false">"PKT-"&amp;B350&amp;"-SAFETY"</f>
        <v>PKT-MTH-HU-CHA-L2-SAFETY</v>
      </c>
      <c r="B350" s="19" t="str">
        <f aca="false">'Object Crosswalk'!A75</f>
        <v>MTH-HU-CHA-L2</v>
      </c>
      <c r="C350" s="19" t="str">
        <f aca="false">'Object Crosswalk'!B75</f>
        <v>Method lineage</v>
      </c>
      <c r="D350" s="19" t="str">
        <f aca="false">'Object Crosswalk'!D75</f>
        <v>MS-HU</v>
      </c>
      <c r="E350" s="19" t="str">
        <f aca="false">'Object Crosswalk'!E75</f>
        <v>HU-A</v>
      </c>
      <c r="F350" s="19" t="str">
        <f aca="false">'Object Crosswalk'!F75</f>
        <v>CHALLENGE</v>
      </c>
      <c r="G350" s="9" t="s">
        <v>730</v>
      </c>
      <c r="H350" s="11" t="s">
        <v>58</v>
      </c>
      <c r="I350" s="32" t="n">
        <f aca="false">0</f>
        <v>0</v>
      </c>
      <c r="J350" s="11" t="s">
        <v>576</v>
      </c>
      <c r="K350" s="32" t="str">
        <f aca="false">IF(I350=1,"ACCEPTED","OPEN")</f>
        <v>OPEN</v>
      </c>
    </row>
    <row r="351" customFormat="false" ht="15" hidden="false" customHeight="false" outlineLevel="0" collapsed="false">
      <c r="A351" s="19" t="str">
        <f aca="false">"PKT-"&amp;B351&amp;"-RECONSTRUCTION"</f>
        <v>PKT-MTH-HU-CHA-L2-RECONSTRUCTION</v>
      </c>
      <c r="B351" s="19" t="str">
        <f aca="false">'Object Crosswalk'!A75</f>
        <v>MTH-HU-CHA-L2</v>
      </c>
      <c r="C351" s="19" t="str">
        <f aca="false">'Object Crosswalk'!B75</f>
        <v>Method lineage</v>
      </c>
      <c r="D351" s="19" t="str">
        <f aca="false">'Object Crosswalk'!D75</f>
        <v>MS-HU</v>
      </c>
      <c r="E351" s="19" t="str">
        <f aca="false">'Object Crosswalk'!E75</f>
        <v>HU-A</v>
      </c>
      <c r="F351" s="19" t="str">
        <f aca="false">'Object Crosswalk'!F75</f>
        <v>CHALLENGE</v>
      </c>
      <c r="G351" s="9" t="s">
        <v>341</v>
      </c>
      <c r="H351" s="11" t="s">
        <v>58</v>
      </c>
      <c r="I351" s="32" t="n">
        <f aca="false">0</f>
        <v>0</v>
      </c>
      <c r="J351" s="11" t="s">
        <v>576</v>
      </c>
      <c r="K351" s="32" t="str">
        <f aca="false">IF(I351=1,"ACCEPTED","OPEN")</f>
        <v>OPEN</v>
      </c>
    </row>
    <row r="352" customFormat="false" ht="15" hidden="false" customHeight="false" outlineLevel="0" collapsed="false">
      <c r="A352" s="19" t="str">
        <f aca="false">"PKT-"&amp;B352&amp;"-CONFIGURATION"</f>
        <v>PKT-REG-HU-CHA-CONFIGURATION</v>
      </c>
      <c r="B352" s="19" t="str">
        <f aca="false">'Object Crosswalk'!A76</f>
        <v>REG-HU-CHA</v>
      </c>
      <c r="C352" s="19" t="str">
        <f aca="false">'Object Crosswalk'!B76</f>
        <v>Regeneration tool</v>
      </c>
      <c r="D352" s="19" t="str">
        <f aca="false">'Object Crosswalk'!D76</f>
        <v>MS-HU</v>
      </c>
      <c r="E352" s="19" t="str">
        <f aca="false">'Object Crosswalk'!E76</f>
        <v>HU-A</v>
      </c>
      <c r="F352" s="19" t="str">
        <f aca="false">'Object Crosswalk'!F76</f>
        <v>CHALLENGE</v>
      </c>
      <c r="G352" s="9" t="s">
        <v>728</v>
      </c>
      <c r="H352" s="11" t="s">
        <v>58</v>
      </c>
      <c r="I352" s="32" t="n">
        <f aca="false">0</f>
        <v>0</v>
      </c>
      <c r="J352" s="11" t="s">
        <v>576</v>
      </c>
      <c r="K352" s="32" t="str">
        <f aca="false">IF(I352=1,"ACCEPTED","OPEN")</f>
        <v>OPEN</v>
      </c>
    </row>
    <row r="353" customFormat="false" ht="15" hidden="false" customHeight="false" outlineLevel="0" collapsed="false">
      <c r="A353" s="19" t="str">
        <f aca="false">"PKT-"&amp;B353&amp;"-CONTROL"</f>
        <v>PKT-REG-HU-CHA-CONTROL</v>
      </c>
      <c r="B353" s="19" t="str">
        <f aca="false">'Object Crosswalk'!A76</f>
        <v>REG-HU-CHA</v>
      </c>
      <c r="C353" s="19" t="str">
        <f aca="false">'Object Crosswalk'!B76</f>
        <v>Regeneration tool</v>
      </c>
      <c r="D353" s="19" t="str">
        <f aca="false">'Object Crosswalk'!D76</f>
        <v>MS-HU</v>
      </c>
      <c r="E353" s="19" t="str">
        <f aca="false">'Object Crosswalk'!E76</f>
        <v>HU-A</v>
      </c>
      <c r="F353" s="19" t="str">
        <f aca="false">'Object Crosswalk'!F76</f>
        <v>CHALLENGE</v>
      </c>
      <c r="G353" s="9" t="s">
        <v>333</v>
      </c>
      <c r="H353" s="11" t="s">
        <v>58</v>
      </c>
      <c r="I353" s="32" t="n">
        <f aca="false">0</f>
        <v>0</v>
      </c>
      <c r="J353" s="11" t="s">
        <v>576</v>
      </c>
      <c r="K353" s="32" t="str">
        <f aca="false">IF(I353=1,"ACCEPTED","OPEN")</f>
        <v>OPEN</v>
      </c>
    </row>
    <row r="354" customFormat="false" ht="15" hidden="false" customHeight="false" outlineLevel="0" collapsed="false">
      <c r="A354" s="19" t="str">
        <f aca="false">"PKT-"&amp;B354&amp;"-METROLOGY"</f>
        <v>PKT-REG-HU-CHA-METROLOGY</v>
      </c>
      <c r="B354" s="19" t="str">
        <f aca="false">'Object Crosswalk'!A76</f>
        <v>REG-HU-CHA</v>
      </c>
      <c r="C354" s="19" t="str">
        <f aca="false">'Object Crosswalk'!B76</f>
        <v>Regeneration tool</v>
      </c>
      <c r="D354" s="19" t="str">
        <f aca="false">'Object Crosswalk'!D76</f>
        <v>MS-HU</v>
      </c>
      <c r="E354" s="19" t="str">
        <f aca="false">'Object Crosswalk'!E76</f>
        <v>HU-A</v>
      </c>
      <c r="F354" s="19" t="str">
        <f aca="false">'Object Crosswalk'!F76</f>
        <v>CHALLENGE</v>
      </c>
      <c r="G354" s="9" t="s">
        <v>729</v>
      </c>
      <c r="H354" s="11" t="s">
        <v>58</v>
      </c>
      <c r="I354" s="32" t="n">
        <f aca="false">0</f>
        <v>0</v>
      </c>
      <c r="J354" s="11" t="s">
        <v>576</v>
      </c>
      <c r="K354" s="32" t="str">
        <f aca="false">IF(I354=1,"ACCEPTED","OPEN")</f>
        <v>OPEN</v>
      </c>
    </row>
    <row r="355" customFormat="false" ht="15" hidden="false" customHeight="false" outlineLevel="0" collapsed="false">
      <c r="A355" s="19" t="str">
        <f aca="false">"PKT-"&amp;B355&amp;"-SAFETY"</f>
        <v>PKT-REG-HU-CHA-SAFETY</v>
      </c>
      <c r="B355" s="19" t="str">
        <f aca="false">'Object Crosswalk'!A76</f>
        <v>REG-HU-CHA</v>
      </c>
      <c r="C355" s="19" t="str">
        <f aca="false">'Object Crosswalk'!B76</f>
        <v>Regeneration tool</v>
      </c>
      <c r="D355" s="19" t="str">
        <f aca="false">'Object Crosswalk'!D76</f>
        <v>MS-HU</v>
      </c>
      <c r="E355" s="19" t="str">
        <f aca="false">'Object Crosswalk'!E76</f>
        <v>HU-A</v>
      </c>
      <c r="F355" s="19" t="str">
        <f aca="false">'Object Crosswalk'!F76</f>
        <v>CHALLENGE</v>
      </c>
      <c r="G355" s="9" t="s">
        <v>730</v>
      </c>
      <c r="H355" s="11" t="s">
        <v>58</v>
      </c>
      <c r="I355" s="32" t="n">
        <f aca="false">0</f>
        <v>0</v>
      </c>
      <c r="J355" s="11" t="s">
        <v>576</v>
      </c>
      <c r="K355" s="32" t="str">
        <f aca="false">IF(I355=1,"ACCEPTED","OPEN")</f>
        <v>OPEN</v>
      </c>
    </row>
    <row r="356" customFormat="false" ht="15" hidden="false" customHeight="false" outlineLevel="0" collapsed="false">
      <c r="A356" s="19" t="str">
        <f aca="false">"PKT-"&amp;B356&amp;"-RECONSTRUCTION"</f>
        <v>PKT-REG-HU-CHA-RECONSTRUCTION</v>
      </c>
      <c r="B356" s="19" t="str">
        <f aca="false">'Object Crosswalk'!A76</f>
        <v>REG-HU-CHA</v>
      </c>
      <c r="C356" s="19" t="str">
        <f aca="false">'Object Crosswalk'!B76</f>
        <v>Regeneration tool</v>
      </c>
      <c r="D356" s="19" t="str">
        <f aca="false">'Object Crosswalk'!D76</f>
        <v>MS-HU</v>
      </c>
      <c r="E356" s="19" t="str">
        <f aca="false">'Object Crosswalk'!E76</f>
        <v>HU-A</v>
      </c>
      <c r="F356" s="19" t="str">
        <f aca="false">'Object Crosswalk'!F76</f>
        <v>CHALLENGE</v>
      </c>
      <c r="G356" s="9" t="s">
        <v>341</v>
      </c>
      <c r="H356" s="11" t="s">
        <v>58</v>
      </c>
      <c r="I356" s="32" t="n">
        <f aca="false">0</f>
        <v>0</v>
      </c>
      <c r="J356" s="11" t="s">
        <v>576</v>
      </c>
      <c r="K356" s="32" t="str">
        <f aca="false">IF(I356=1,"ACCEPTED","OPEN")</f>
        <v>OPEN</v>
      </c>
    </row>
    <row r="357" customFormat="false" ht="15" hidden="false" customHeight="false" outlineLevel="0" collapsed="false">
      <c r="A357" s="19" t="str">
        <f aca="false">"PKT-"&amp;B357&amp;"-CONFIGURATION"</f>
        <v>PKT-INT-HU-CHA-CONFIGURATION</v>
      </c>
      <c r="B357" s="19" t="str">
        <f aca="false">'Object Crosswalk'!A77</f>
        <v>INT-HU-CHA</v>
      </c>
      <c r="C357" s="19" t="str">
        <f aca="false">'Object Crosswalk'!B77</f>
        <v>Station integration</v>
      </c>
      <c r="D357" s="19" t="str">
        <f aca="false">'Object Crosswalk'!D77</f>
        <v>MS-HU</v>
      </c>
      <c r="E357" s="19" t="str">
        <f aca="false">'Object Crosswalk'!E77</f>
        <v>HU-A</v>
      </c>
      <c r="F357" s="19" t="str">
        <f aca="false">'Object Crosswalk'!F77</f>
        <v>CHALLENGE</v>
      </c>
      <c r="G357" s="9" t="s">
        <v>728</v>
      </c>
      <c r="H357" s="11" t="s">
        <v>58</v>
      </c>
      <c r="I357" s="32" t="n">
        <f aca="false">0</f>
        <v>0</v>
      </c>
      <c r="J357" s="11" t="s">
        <v>576</v>
      </c>
      <c r="K357" s="32" t="str">
        <f aca="false">IF(I357=1,"ACCEPTED","OPEN")</f>
        <v>OPEN</v>
      </c>
    </row>
    <row r="358" customFormat="false" ht="15" hidden="false" customHeight="false" outlineLevel="0" collapsed="false">
      <c r="A358" s="19" t="str">
        <f aca="false">"PKT-"&amp;B358&amp;"-CONTROL"</f>
        <v>PKT-INT-HU-CHA-CONTROL</v>
      </c>
      <c r="B358" s="19" t="str">
        <f aca="false">'Object Crosswalk'!A77</f>
        <v>INT-HU-CHA</v>
      </c>
      <c r="C358" s="19" t="str">
        <f aca="false">'Object Crosswalk'!B77</f>
        <v>Station integration</v>
      </c>
      <c r="D358" s="19" t="str">
        <f aca="false">'Object Crosswalk'!D77</f>
        <v>MS-HU</v>
      </c>
      <c r="E358" s="19" t="str">
        <f aca="false">'Object Crosswalk'!E77</f>
        <v>HU-A</v>
      </c>
      <c r="F358" s="19" t="str">
        <f aca="false">'Object Crosswalk'!F77</f>
        <v>CHALLENGE</v>
      </c>
      <c r="G358" s="9" t="s">
        <v>333</v>
      </c>
      <c r="H358" s="11" t="s">
        <v>58</v>
      </c>
      <c r="I358" s="32" t="n">
        <f aca="false">0</f>
        <v>0</v>
      </c>
      <c r="J358" s="11" t="s">
        <v>576</v>
      </c>
      <c r="K358" s="32" t="str">
        <f aca="false">IF(I358=1,"ACCEPTED","OPEN")</f>
        <v>OPEN</v>
      </c>
    </row>
    <row r="359" customFormat="false" ht="15" hidden="false" customHeight="false" outlineLevel="0" collapsed="false">
      <c r="A359" s="19" t="str">
        <f aca="false">"PKT-"&amp;B359&amp;"-METROLOGY"</f>
        <v>PKT-INT-HU-CHA-METROLOGY</v>
      </c>
      <c r="B359" s="19" t="str">
        <f aca="false">'Object Crosswalk'!A77</f>
        <v>INT-HU-CHA</v>
      </c>
      <c r="C359" s="19" t="str">
        <f aca="false">'Object Crosswalk'!B77</f>
        <v>Station integration</v>
      </c>
      <c r="D359" s="19" t="str">
        <f aca="false">'Object Crosswalk'!D77</f>
        <v>MS-HU</v>
      </c>
      <c r="E359" s="19" t="str">
        <f aca="false">'Object Crosswalk'!E77</f>
        <v>HU-A</v>
      </c>
      <c r="F359" s="19" t="str">
        <f aca="false">'Object Crosswalk'!F77</f>
        <v>CHALLENGE</v>
      </c>
      <c r="G359" s="9" t="s">
        <v>729</v>
      </c>
      <c r="H359" s="11" t="s">
        <v>58</v>
      </c>
      <c r="I359" s="32" t="n">
        <f aca="false">0</f>
        <v>0</v>
      </c>
      <c r="J359" s="11" t="s">
        <v>576</v>
      </c>
      <c r="K359" s="32" t="str">
        <f aca="false">IF(I359=1,"ACCEPTED","OPEN")</f>
        <v>OPEN</v>
      </c>
    </row>
    <row r="360" customFormat="false" ht="15" hidden="false" customHeight="false" outlineLevel="0" collapsed="false">
      <c r="A360" s="19" t="str">
        <f aca="false">"PKT-"&amp;B360&amp;"-SAFETY"</f>
        <v>PKT-INT-HU-CHA-SAFETY</v>
      </c>
      <c r="B360" s="19" t="str">
        <f aca="false">'Object Crosswalk'!A77</f>
        <v>INT-HU-CHA</v>
      </c>
      <c r="C360" s="19" t="str">
        <f aca="false">'Object Crosswalk'!B77</f>
        <v>Station integration</v>
      </c>
      <c r="D360" s="19" t="str">
        <f aca="false">'Object Crosswalk'!D77</f>
        <v>MS-HU</v>
      </c>
      <c r="E360" s="19" t="str">
        <f aca="false">'Object Crosswalk'!E77</f>
        <v>HU-A</v>
      </c>
      <c r="F360" s="19" t="str">
        <f aca="false">'Object Crosswalk'!F77</f>
        <v>CHALLENGE</v>
      </c>
      <c r="G360" s="9" t="s">
        <v>730</v>
      </c>
      <c r="H360" s="11" t="s">
        <v>58</v>
      </c>
      <c r="I360" s="32" t="n">
        <f aca="false">0</f>
        <v>0</v>
      </c>
      <c r="J360" s="11" t="s">
        <v>576</v>
      </c>
      <c r="K360" s="32" t="str">
        <f aca="false">IF(I360=1,"ACCEPTED","OPEN")</f>
        <v>OPEN</v>
      </c>
    </row>
    <row r="361" customFormat="false" ht="15" hidden="false" customHeight="false" outlineLevel="0" collapsed="false">
      <c r="A361" s="19" t="str">
        <f aca="false">"PKT-"&amp;B361&amp;"-RECONSTRUCTION"</f>
        <v>PKT-INT-HU-CHA-RECONSTRUCTION</v>
      </c>
      <c r="B361" s="19" t="str">
        <f aca="false">'Object Crosswalk'!A77</f>
        <v>INT-HU-CHA</v>
      </c>
      <c r="C361" s="19" t="str">
        <f aca="false">'Object Crosswalk'!B77</f>
        <v>Station integration</v>
      </c>
      <c r="D361" s="19" t="str">
        <f aca="false">'Object Crosswalk'!D77</f>
        <v>MS-HU</v>
      </c>
      <c r="E361" s="19" t="str">
        <f aca="false">'Object Crosswalk'!E77</f>
        <v>HU-A</v>
      </c>
      <c r="F361" s="19" t="str">
        <f aca="false">'Object Crosswalk'!F77</f>
        <v>CHALLENGE</v>
      </c>
      <c r="G361" s="9" t="s">
        <v>341</v>
      </c>
      <c r="H361" s="11" t="s">
        <v>58</v>
      </c>
      <c r="I361" s="32" t="n">
        <f aca="false">0</f>
        <v>0</v>
      </c>
      <c r="J361" s="11" t="s">
        <v>576</v>
      </c>
      <c r="K361" s="32" t="str">
        <f aca="false">IF(I361=1,"ACCEPTED","OPEN")</f>
        <v>OPEN</v>
      </c>
    </row>
    <row r="362" customFormat="false" ht="15" hidden="false" customHeight="false" outlineLevel="0" collapsed="false">
      <c r="A362" s="19" t="str">
        <f aca="false">"PKT-"&amp;B362&amp;"-CONFIGURATION"</f>
        <v>PKT-RIG-HU-CON-CONFIGURATION</v>
      </c>
      <c r="B362" s="19" t="str">
        <f aca="false">'Object Crosswalk'!A78</f>
        <v>RIG-HU-CON</v>
      </c>
      <c r="C362" s="19" t="str">
        <f aca="false">'Object Crosswalk'!B78</f>
        <v>Root-native rig</v>
      </c>
      <c r="D362" s="19" t="str">
        <f aca="false">'Object Crosswalk'!D78</f>
        <v>MS-HU</v>
      </c>
      <c r="E362" s="19" t="str">
        <f aca="false">'Object Crosswalk'!E78</f>
        <v>HU-A</v>
      </c>
      <c r="F362" s="19" t="str">
        <f aca="false">'Object Crosswalk'!F78</f>
        <v>CONTROL</v>
      </c>
      <c r="G362" s="9" t="s">
        <v>728</v>
      </c>
      <c r="H362" s="11" t="s">
        <v>58</v>
      </c>
      <c r="I362" s="32" t="n">
        <f aca="false">0</f>
        <v>0</v>
      </c>
      <c r="J362" s="11" t="s">
        <v>576</v>
      </c>
      <c r="K362" s="32" t="str">
        <f aca="false">IF(I362=1,"ACCEPTED","OPEN")</f>
        <v>OPEN</v>
      </c>
    </row>
    <row r="363" customFormat="false" ht="15" hidden="false" customHeight="false" outlineLevel="0" collapsed="false">
      <c r="A363" s="19" t="str">
        <f aca="false">"PKT-"&amp;B363&amp;"-CONTROL"</f>
        <v>PKT-RIG-HU-CON-CONTROL</v>
      </c>
      <c r="B363" s="19" t="str">
        <f aca="false">'Object Crosswalk'!A78</f>
        <v>RIG-HU-CON</v>
      </c>
      <c r="C363" s="19" t="str">
        <f aca="false">'Object Crosswalk'!B78</f>
        <v>Root-native rig</v>
      </c>
      <c r="D363" s="19" t="str">
        <f aca="false">'Object Crosswalk'!D78</f>
        <v>MS-HU</v>
      </c>
      <c r="E363" s="19" t="str">
        <f aca="false">'Object Crosswalk'!E78</f>
        <v>HU-A</v>
      </c>
      <c r="F363" s="19" t="str">
        <f aca="false">'Object Crosswalk'!F78</f>
        <v>CONTROL</v>
      </c>
      <c r="G363" s="9" t="s">
        <v>333</v>
      </c>
      <c r="H363" s="11" t="s">
        <v>58</v>
      </c>
      <c r="I363" s="32" t="n">
        <f aca="false">0</f>
        <v>0</v>
      </c>
      <c r="J363" s="11" t="s">
        <v>576</v>
      </c>
      <c r="K363" s="32" t="str">
        <f aca="false">IF(I363=1,"ACCEPTED","OPEN")</f>
        <v>OPEN</v>
      </c>
    </row>
    <row r="364" customFormat="false" ht="15" hidden="false" customHeight="false" outlineLevel="0" collapsed="false">
      <c r="A364" s="19" t="str">
        <f aca="false">"PKT-"&amp;B364&amp;"-METROLOGY"</f>
        <v>PKT-RIG-HU-CON-METROLOGY</v>
      </c>
      <c r="B364" s="19" t="str">
        <f aca="false">'Object Crosswalk'!A78</f>
        <v>RIG-HU-CON</v>
      </c>
      <c r="C364" s="19" t="str">
        <f aca="false">'Object Crosswalk'!B78</f>
        <v>Root-native rig</v>
      </c>
      <c r="D364" s="19" t="str">
        <f aca="false">'Object Crosswalk'!D78</f>
        <v>MS-HU</v>
      </c>
      <c r="E364" s="19" t="str">
        <f aca="false">'Object Crosswalk'!E78</f>
        <v>HU-A</v>
      </c>
      <c r="F364" s="19" t="str">
        <f aca="false">'Object Crosswalk'!F78</f>
        <v>CONTROL</v>
      </c>
      <c r="G364" s="9" t="s">
        <v>729</v>
      </c>
      <c r="H364" s="11" t="s">
        <v>58</v>
      </c>
      <c r="I364" s="32" t="n">
        <f aca="false">0</f>
        <v>0</v>
      </c>
      <c r="J364" s="11" t="s">
        <v>576</v>
      </c>
      <c r="K364" s="32" t="str">
        <f aca="false">IF(I364=1,"ACCEPTED","OPEN")</f>
        <v>OPEN</v>
      </c>
    </row>
    <row r="365" customFormat="false" ht="15" hidden="false" customHeight="false" outlineLevel="0" collapsed="false">
      <c r="A365" s="19" t="str">
        <f aca="false">"PKT-"&amp;B365&amp;"-SAFETY"</f>
        <v>PKT-RIG-HU-CON-SAFETY</v>
      </c>
      <c r="B365" s="19" t="str">
        <f aca="false">'Object Crosswalk'!A78</f>
        <v>RIG-HU-CON</v>
      </c>
      <c r="C365" s="19" t="str">
        <f aca="false">'Object Crosswalk'!B78</f>
        <v>Root-native rig</v>
      </c>
      <c r="D365" s="19" t="str">
        <f aca="false">'Object Crosswalk'!D78</f>
        <v>MS-HU</v>
      </c>
      <c r="E365" s="19" t="str">
        <f aca="false">'Object Crosswalk'!E78</f>
        <v>HU-A</v>
      </c>
      <c r="F365" s="19" t="str">
        <f aca="false">'Object Crosswalk'!F78</f>
        <v>CONTROL</v>
      </c>
      <c r="G365" s="9" t="s">
        <v>730</v>
      </c>
      <c r="H365" s="11" t="s">
        <v>58</v>
      </c>
      <c r="I365" s="32" t="n">
        <f aca="false">0</f>
        <v>0</v>
      </c>
      <c r="J365" s="11" t="s">
        <v>576</v>
      </c>
      <c r="K365" s="32" t="str">
        <f aca="false">IF(I365=1,"ACCEPTED","OPEN")</f>
        <v>OPEN</v>
      </c>
    </row>
    <row r="366" customFormat="false" ht="15" hidden="false" customHeight="false" outlineLevel="0" collapsed="false">
      <c r="A366" s="19" t="str">
        <f aca="false">"PKT-"&amp;B366&amp;"-RECONSTRUCTION"</f>
        <v>PKT-RIG-HU-CON-RECONSTRUCTION</v>
      </c>
      <c r="B366" s="19" t="str">
        <f aca="false">'Object Crosswalk'!A78</f>
        <v>RIG-HU-CON</v>
      </c>
      <c r="C366" s="19" t="str">
        <f aca="false">'Object Crosswalk'!B78</f>
        <v>Root-native rig</v>
      </c>
      <c r="D366" s="19" t="str">
        <f aca="false">'Object Crosswalk'!D78</f>
        <v>MS-HU</v>
      </c>
      <c r="E366" s="19" t="str">
        <f aca="false">'Object Crosswalk'!E78</f>
        <v>HU-A</v>
      </c>
      <c r="F366" s="19" t="str">
        <f aca="false">'Object Crosswalk'!F78</f>
        <v>CONTROL</v>
      </c>
      <c r="G366" s="9" t="s">
        <v>341</v>
      </c>
      <c r="H366" s="11" t="s">
        <v>58</v>
      </c>
      <c r="I366" s="32" t="n">
        <f aca="false">0</f>
        <v>0</v>
      </c>
      <c r="J366" s="11" t="s">
        <v>576</v>
      </c>
      <c r="K366" s="32" t="str">
        <f aca="false">IF(I366=1,"ACCEPTED","OPEN")</f>
        <v>OPEN</v>
      </c>
    </row>
    <row r="367" customFormat="false" ht="15" hidden="false" customHeight="false" outlineLevel="0" collapsed="false">
      <c r="A367" s="19" t="str">
        <f aca="false">"PKT-"&amp;B367&amp;"-CONFIGURATION"</f>
        <v>PKT-MTH-HU-CON-L1-CONFIGURATION</v>
      </c>
      <c r="B367" s="19" t="str">
        <f aca="false">'Object Crosswalk'!A79</f>
        <v>MTH-HU-CON-L1</v>
      </c>
      <c r="C367" s="19" t="str">
        <f aca="false">'Object Crosswalk'!B79</f>
        <v>Method lineage</v>
      </c>
      <c r="D367" s="19" t="str">
        <f aca="false">'Object Crosswalk'!D79</f>
        <v>MS-HU</v>
      </c>
      <c r="E367" s="19" t="str">
        <f aca="false">'Object Crosswalk'!E79</f>
        <v>HU-A</v>
      </c>
      <c r="F367" s="19" t="str">
        <f aca="false">'Object Crosswalk'!F79</f>
        <v>CONTROL</v>
      </c>
      <c r="G367" s="9" t="s">
        <v>728</v>
      </c>
      <c r="H367" s="11" t="s">
        <v>58</v>
      </c>
      <c r="I367" s="32" t="n">
        <f aca="false">0</f>
        <v>0</v>
      </c>
      <c r="J367" s="11" t="s">
        <v>576</v>
      </c>
      <c r="K367" s="32" t="str">
        <f aca="false">IF(I367=1,"ACCEPTED","OPEN")</f>
        <v>OPEN</v>
      </c>
    </row>
    <row r="368" customFormat="false" ht="15" hidden="false" customHeight="false" outlineLevel="0" collapsed="false">
      <c r="A368" s="19" t="str">
        <f aca="false">"PKT-"&amp;B368&amp;"-CONTROL"</f>
        <v>PKT-MTH-HU-CON-L1-CONTROL</v>
      </c>
      <c r="B368" s="19" t="str">
        <f aca="false">'Object Crosswalk'!A79</f>
        <v>MTH-HU-CON-L1</v>
      </c>
      <c r="C368" s="19" t="str">
        <f aca="false">'Object Crosswalk'!B79</f>
        <v>Method lineage</v>
      </c>
      <c r="D368" s="19" t="str">
        <f aca="false">'Object Crosswalk'!D79</f>
        <v>MS-HU</v>
      </c>
      <c r="E368" s="19" t="str">
        <f aca="false">'Object Crosswalk'!E79</f>
        <v>HU-A</v>
      </c>
      <c r="F368" s="19" t="str">
        <f aca="false">'Object Crosswalk'!F79</f>
        <v>CONTROL</v>
      </c>
      <c r="G368" s="9" t="s">
        <v>333</v>
      </c>
      <c r="H368" s="11" t="s">
        <v>58</v>
      </c>
      <c r="I368" s="32" t="n">
        <f aca="false">0</f>
        <v>0</v>
      </c>
      <c r="J368" s="11" t="s">
        <v>576</v>
      </c>
      <c r="K368" s="32" t="str">
        <f aca="false">IF(I368=1,"ACCEPTED","OPEN")</f>
        <v>OPEN</v>
      </c>
    </row>
    <row r="369" customFormat="false" ht="15" hidden="false" customHeight="false" outlineLevel="0" collapsed="false">
      <c r="A369" s="19" t="str">
        <f aca="false">"PKT-"&amp;B369&amp;"-METROLOGY"</f>
        <v>PKT-MTH-HU-CON-L1-METROLOGY</v>
      </c>
      <c r="B369" s="19" t="str">
        <f aca="false">'Object Crosswalk'!A79</f>
        <v>MTH-HU-CON-L1</v>
      </c>
      <c r="C369" s="19" t="str">
        <f aca="false">'Object Crosswalk'!B79</f>
        <v>Method lineage</v>
      </c>
      <c r="D369" s="19" t="str">
        <f aca="false">'Object Crosswalk'!D79</f>
        <v>MS-HU</v>
      </c>
      <c r="E369" s="19" t="str">
        <f aca="false">'Object Crosswalk'!E79</f>
        <v>HU-A</v>
      </c>
      <c r="F369" s="19" t="str">
        <f aca="false">'Object Crosswalk'!F79</f>
        <v>CONTROL</v>
      </c>
      <c r="G369" s="9" t="s">
        <v>729</v>
      </c>
      <c r="H369" s="11" t="s">
        <v>58</v>
      </c>
      <c r="I369" s="32" t="n">
        <f aca="false">0</f>
        <v>0</v>
      </c>
      <c r="J369" s="11" t="s">
        <v>576</v>
      </c>
      <c r="K369" s="32" t="str">
        <f aca="false">IF(I369=1,"ACCEPTED","OPEN")</f>
        <v>OPEN</v>
      </c>
    </row>
    <row r="370" customFormat="false" ht="15" hidden="false" customHeight="false" outlineLevel="0" collapsed="false">
      <c r="A370" s="19" t="str">
        <f aca="false">"PKT-"&amp;B370&amp;"-SAFETY"</f>
        <v>PKT-MTH-HU-CON-L1-SAFETY</v>
      </c>
      <c r="B370" s="19" t="str">
        <f aca="false">'Object Crosswalk'!A79</f>
        <v>MTH-HU-CON-L1</v>
      </c>
      <c r="C370" s="19" t="str">
        <f aca="false">'Object Crosswalk'!B79</f>
        <v>Method lineage</v>
      </c>
      <c r="D370" s="19" t="str">
        <f aca="false">'Object Crosswalk'!D79</f>
        <v>MS-HU</v>
      </c>
      <c r="E370" s="19" t="str">
        <f aca="false">'Object Crosswalk'!E79</f>
        <v>HU-A</v>
      </c>
      <c r="F370" s="19" t="str">
        <f aca="false">'Object Crosswalk'!F79</f>
        <v>CONTROL</v>
      </c>
      <c r="G370" s="9" t="s">
        <v>730</v>
      </c>
      <c r="H370" s="11" t="s">
        <v>58</v>
      </c>
      <c r="I370" s="32" t="n">
        <f aca="false">0</f>
        <v>0</v>
      </c>
      <c r="J370" s="11" t="s">
        <v>576</v>
      </c>
      <c r="K370" s="32" t="str">
        <f aca="false">IF(I370=1,"ACCEPTED","OPEN")</f>
        <v>OPEN</v>
      </c>
    </row>
    <row r="371" customFormat="false" ht="15" hidden="false" customHeight="false" outlineLevel="0" collapsed="false">
      <c r="A371" s="19" t="str">
        <f aca="false">"PKT-"&amp;B371&amp;"-RECONSTRUCTION"</f>
        <v>PKT-MTH-HU-CON-L1-RECONSTRUCTION</v>
      </c>
      <c r="B371" s="19" t="str">
        <f aca="false">'Object Crosswalk'!A79</f>
        <v>MTH-HU-CON-L1</v>
      </c>
      <c r="C371" s="19" t="str">
        <f aca="false">'Object Crosswalk'!B79</f>
        <v>Method lineage</v>
      </c>
      <c r="D371" s="19" t="str">
        <f aca="false">'Object Crosswalk'!D79</f>
        <v>MS-HU</v>
      </c>
      <c r="E371" s="19" t="str">
        <f aca="false">'Object Crosswalk'!E79</f>
        <v>HU-A</v>
      </c>
      <c r="F371" s="19" t="str">
        <f aca="false">'Object Crosswalk'!F79</f>
        <v>CONTROL</v>
      </c>
      <c r="G371" s="9" t="s">
        <v>341</v>
      </c>
      <c r="H371" s="11" t="s">
        <v>58</v>
      </c>
      <c r="I371" s="32" t="n">
        <f aca="false">0</f>
        <v>0</v>
      </c>
      <c r="J371" s="11" t="s">
        <v>576</v>
      </c>
      <c r="K371" s="32" t="str">
        <f aca="false">IF(I371=1,"ACCEPTED","OPEN")</f>
        <v>OPEN</v>
      </c>
    </row>
    <row r="372" customFormat="false" ht="15" hidden="false" customHeight="false" outlineLevel="0" collapsed="false">
      <c r="A372" s="19" t="str">
        <f aca="false">"PKT-"&amp;B372&amp;"-CONFIGURATION"</f>
        <v>PKT-MTH-HU-CON-L2-CONFIGURATION</v>
      </c>
      <c r="B372" s="19" t="str">
        <f aca="false">'Object Crosswalk'!A80</f>
        <v>MTH-HU-CON-L2</v>
      </c>
      <c r="C372" s="19" t="str">
        <f aca="false">'Object Crosswalk'!B80</f>
        <v>Method lineage</v>
      </c>
      <c r="D372" s="19" t="str">
        <f aca="false">'Object Crosswalk'!D80</f>
        <v>MS-HU</v>
      </c>
      <c r="E372" s="19" t="str">
        <f aca="false">'Object Crosswalk'!E80</f>
        <v>HU-A</v>
      </c>
      <c r="F372" s="19" t="str">
        <f aca="false">'Object Crosswalk'!F80</f>
        <v>CONTROL</v>
      </c>
      <c r="G372" s="9" t="s">
        <v>728</v>
      </c>
      <c r="H372" s="11" t="s">
        <v>58</v>
      </c>
      <c r="I372" s="32" t="n">
        <f aca="false">0</f>
        <v>0</v>
      </c>
      <c r="J372" s="11" t="s">
        <v>576</v>
      </c>
      <c r="K372" s="32" t="str">
        <f aca="false">IF(I372=1,"ACCEPTED","OPEN")</f>
        <v>OPEN</v>
      </c>
    </row>
    <row r="373" customFormat="false" ht="15" hidden="false" customHeight="false" outlineLevel="0" collapsed="false">
      <c r="A373" s="19" t="str">
        <f aca="false">"PKT-"&amp;B373&amp;"-CONTROL"</f>
        <v>PKT-MTH-HU-CON-L2-CONTROL</v>
      </c>
      <c r="B373" s="19" t="str">
        <f aca="false">'Object Crosswalk'!A80</f>
        <v>MTH-HU-CON-L2</v>
      </c>
      <c r="C373" s="19" t="str">
        <f aca="false">'Object Crosswalk'!B80</f>
        <v>Method lineage</v>
      </c>
      <c r="D373" s="19" t="str">
        <f aca="false">'Object Crosswalk'!D80</f>
        <v>MS-HU</v>
      </c>
      <c r="E373" s="19" t="str">
        <f aca="false">'Object Crosswalk'!E80</f>
        <v>HU-A</v>
      </c>
      <c r="F373" s="19" t="str">
        <f aca="false">'Object Crosswalk'!F80</f>
        <v>CONTROL</v>
      </c>
      <c r="G373" s="9" t="s">
        <v>333</v>
      </c>
      <c r="H373" s="11" t="s">
        <v>58</v>
      </c>
      <c r="I373" s="32" t="n">
        <f aca="false">0</f>
        <v>0</v>
      </c>
      <c r="J373" s="11" t="s">
        <v>576</v>
      </c>
      <c r="K373" s="32" t="str">
        <f aca="false">IF(I373=1,"ACCEPTED","OPEN")</f>
        <v>OPEN</v>
      </c>
    </row>
    <row r="374" customFormat="false" ht="15" hidden="false" customHeight="false" outlineLevel="0" collapsed="false">
      <c r="A374" s="19" t="str">
        <f aca="false">"PKT-"&amp;B374&amp;"-METROLOGY"</f>
        <v>PKT-MTH-HU-CON-L2-METROLOGY</v>
      </c>
      <c r="B374" s="19" t="str">
        <f aca="false">'Object Crosswalk'!A80</f>
        <v>MTH-HU-CON-L2</v>
      </c>
      <c r="C374" s="19" t="str">
        <f aca="false">'Object Crosswalk'!B80</f>
        <v>Method lineage</v>
      </c>
      <c r="D374" s="19" t="str">
        <f aca="false">'Object Crosswalk'!D80</f>
        <v>MS-HU</v>
      </c>
      <c r="E374" s="19" t="str">
        <f aca="false">'Object Crosswalk'!E80</f>
        <v>HU-A</v>
      </c>
      <c r="F374" s="19" t="str">
        <f aca="false">'Object Crosswalk'!F80</f>
        <v>CONTROL</v>
      </c>
      <c r="G374" s="9" t="s">
        <v>729</v>
      </c>
      <c r="H374" s="11" t="s">
        <v>58</v>
      </c>
      <c r="I374" s="32" t="n">
        <f aca="false">0</f>
        <v>0</v>
      </c>
      <c r="J374" s="11" t="s">
        <v>576</v>
      </c>
      <c r="K374" s="32" t="str">
        <f aca="false">IF(I374=1,"ACCEPTED","OPEN")</f>
        <v>OPEN</v>
      </c>
    </row>
    <row r="375" customFormat="false" ht="15" hidden="false" customHeight="false" outlineLevel="0" collapsed="false">
      <c r="A375" s="19" t="str">
        <f aca="false">"PKT-"&amp;B375&amp;"-SAFETY"</f>
        <v>PKT-MTH-HU-CON-L2-SAFETY</v>
      </c>
      <c r="B375" s="19" t="str">
        <f aca="false">'Object Crosswalk'!A80</f>
        <v>MTH-HU-CON-L2</v>
      </c>
      <c r="C375" s="19" t="str">
        <f aca="false">'Object Crosswalk'!B80</f>
        <v>Method lineage</v>
      </c>
      <c r="D375" s="19" t="str">
        <f aca="false">'Object Crosswalk'!D80</f>
        <v>MS-HU</v>
      </c>
      <c r="E375" s="19" t="str">
        <f aca="false">'Object Crosswalk'!E80</f>
        <v>HU-A</v>
      </c>
      <c r="F375" s="19" t="str">
        <f aca="false">'Object Crosswalk'!F80</f>
        <v>CONTROL</v>
      </c>
      <c r="G375" s="9" t="s">
        <v>730</v>
      </c>
      <c r="H375" s="11" t="s">
        <v>58</v>
      </c>
      <c r="I375" s="32" t="n">
        <f aca="false">0</f>
        <v>0</v>
      </c>
      <c r="J375" s="11" t="s">
        <v>576</v>
      </c>
      <c r="K375" s="32" t="str">
        <f aca="false">IF(I375=1,"ACCEPTED","OPEN")</f>
        <v>OPEN</v>
      </c>
    </row>
    <row r="376" customFormat="false" ht="15" hidden="false" customHeight="false" outlineLevel="0" collapsed="false">
      <c r="A376" s="19" t="str">
        <f aca="false">"PKT-"&amp;B376&amp;"-RECONSTRUCTION"</f>
        <v>PKT-MTH-HU-CON-L2-RECONSTRUCTION</v>
      </c>
      <c r="B376" s="19" t="str">
        <f aca="false">'Object Crosswalk'!A80</f>
        <v>MTH-HU-CON-L2</v>
      </c>
      <c r="C376" s="19" t="str">
        <f aca="false">'Object Crosswalk'!B80</f>
        <v>Method lineage</v>
      </c>
      <c r="D376" s="19" t="str">
        <f aca="false">'Object Crosswalk'!D80</f>
        <v>MS-HU</v>
      </c>
      <c r="E376" s="19" t="str">
        <f aca="false">'Object Crosswalk'!E80</f>
        <v>HU-A</v>
      </c>
      <c r="F376" s="19" t="str">
        <f aca="false">'Object Crosswalk'!F80</f>
        <v>CONTROL</v>
      </c>
      <c r="G376" s="9" t="s">
        <v>341</v>
      </c>
      <c r="H376" s="11" t="s">
        <v>58</v>
      </c>
      <c r="I376" s="32" t="n">
        <f aca="false">0</f>
        <v>0</v>
      </c>
      <c r="J376" s="11" t="s">
        <v>576</v>
      </c>
      <c r="K376" s="32" t="str">
        <f aca="false">IF(I376=1,"ACCEPTED","OPEN")</f>
        <v>OPEN</v>
      </c>
    </row>
    <row r="377" customFormat="false" ht="15" hidden="false" customHeight="false" outlineLevel="0" collapsed="false">
      <c r="A377" s="19" t="str">
        <f aca="false">"PKT-"&amp;B377&amp;"-CONFIGURATION"</f>
        <v>PKT-REG-HU-CON-CONFIGURATION</v>
      </c>
      <c r="B377" s="19" t="str">
        <f aca="false">'Object Crosswalk'!A81</f>
        <v>REG-HU-CON</v>
      </c>
      <c r="C377" s="19" t="str">
        <f aca="false">'Object Crosswalk'!B81</f>
        <v>Regeneration tool</v>
      </c>
      <c r="D377" s="19" t="str">
        <f aca="false">'Object Crosswalk'!D81</f>
        <v>MS-HU</v>
      </c>
      <c r="E377" s="19" t="str">
        <f aca="false">'Object Crosswalk'!E81</f>
        <v>HU-A</v>
      </c>
      <c r="F377" s="19" t="str">
        <f aca="false">'Object Crosswalk'!F81</f>
        <v>CONTROL</v>
      </c>
      <c r="G377" s="9" t="s">
        <v>728</v>
      </c>
      <c r="H377" s="11" t="s">
        <v>58</v>
      </c>
      <c r="I377" s="32" t="n">
        <f aca="false">0</f>
        <v>0</v>
      </c>
      <c r="J377" s="11" t="s">
        <v>576</v>
      </c>
      <c r="K377" s="32" t="str">
        <f aca="false">IF(I377=1,"ACCEPTED","OPEN")</f>
        <v>OPEN</v>
      </c>
    </row>
    <row r="378" customFormat="false" ht="15" hidden="false" customHeight="false" outlineLevel="0" collapsed="false">
      <c r="A378" s="19" t="str">
        <f aca="false">"PKT-"&amp;B378&amp;"-CONTROL"</f>
        <v>PKT-REG-HU-CON-CONTROL</v>
      </c>
      <c r="B378" s="19" t="str">
        <f aca="false">'Object Crosswalk'!A81</f>
        <v>REG-HU-CON</v>
      </c>
      <c r="C378" s="19" t="str">
        <f aca="false">'Object Crosswalk'!B81</f>
        <v>Regeneration tool</v>
      </c>
      <c r="D378" s="19" t="str">
        <f aca="false">'Object Crosswalk'!D81</f>
        <v>MS-HU</v>
      </c>
      <c r="E378" s="19" t="str">
        <f aca="false">'Object Crosswalk'!E81</f>
        <v>HU-A</v>
      </c>
      <c r="F378" s="19" t="str">
        <f aca="false">'Object Crosswalk'!F81</f>
        <v>CONTROL</v>
      </c>
      <c r="G378" s="9" t="s">
        <v>333</v>
      </c>
      <c r="H378" s="11" t="s">
        <v>58</v>
      </c>
      <c r="I378" s="32" t="n">
        <f aca="false">0</f>
        <v>0</v>
      </c>
      <c r="J378" s="11" t="s">
        <v>576</v>
      </c>
      <c r="K378" s="32" t="str">
        <f aca="false">IF(I378=1,"ACCEPTED","OPEN")</f>
        <v>OPEN</v>
      </c>
    </row>
    <row r="379" customFormat="false" ht="15" hidden="false" customHeight="false" outlineLevel="0" collapsed="false">
      <c r="A379" s="19" t="str">
        <f aca="false">"PKT-"&amp;B379&amp;"-METROLOGY"</f>
        <v>PKT-REG-HU-CON-METROLOGY</v>
      </c>
      <c r="B379" s="19" t="str">
        <f aca="false">'Object Crosswalk'!A81</f>
        <v>REG-HU-CON</v>
      </c>
      <c r="C379" s="19" t="str">
        <f aca="false">'Object Crosswalk'!B81</f>
        <v>Regeneration tool</v>
      </c>
      <c r="D379" s="19" t="str">
        <f aca="false">'Object Crosswalk'!D81</f>
        <v>MS-HU</v>
      </c>
      <c r="E379" s="19" t="str">
        <f aca="false">'Object Crosswalk'!E81</f>
        <v>HU-A</v>
      </c>
      <c r="F379" s="19" t="str">
        <f aca="false">'Object Crosswalk'!F81</f>
        <v>CONTROL</v>
      </c>
      <c r="G379" s="9" t="s">
        <v>729</v>
      </c>
      <c r="H379" s="11" t="s">
        <v>58</v>
      </c>
      <c r="I379" s="32" t="n">
        <f aca="false">0</f>
        <v>0</v>
      </c>
      <c r="J379" s="11" t="s">
        <v>576</v>
      </c>
      <c r="K379" s="32" t="str">
        <f aca="false">IF(I379=1,"ACCEPTED","OPEN")</f>
        <v>OPEN</v>
      </c>
    </row>
    <row r="380" customFormat="false" ht="15" hidden="false" customHeight="false" outlineLevel="0" collapsed="false">
      <c r="A380" s="19" t="str">
        <f aca="false">"PKT-"&amp;B380&amp;"-SAFETY"</f>
        <v>PKT-REG-HU-CON-SAFETY</v>
      </c>
      <c r="B380" s="19" t="str">
        <f aca="false">'Object Crosswalk'!A81</f>
        <v>REG-HU-CON</v>
      </c>
      <c r="C380" s="19" t="str">
        <f aca="false">'Object Crosswalk'!B81</f>
        <v>Regeneration tool</v>
      </c>
      <c r="D380" s="19" t="str">
        <f aca="false">'Object Crosswalk'!D81</f>
        <v>MS-HU</v>
      </c>
      <c r="E380" s="19" t="str">
        <f aca="false">'Object Crosswalk'!E81</f>
        <v>HU-A</v>
      </c>
      <c r="F380" s="19" t="str">
        <f aca="false">'Object Crosswalk'!F81</f>
        <v>CONTROL</v>
      </c>
      <c r="G380" s="9" t="s">
        <v>730</v>
      </c>
      <c r="H380" s="11" t="s">
        <v>58</v>
      </c>
      <c r="I380" s="32" t="n">
        <f aca="false">0</f>
        <v>0</v>
      </c>
      <c r="J380" s="11" t="s">
        <v>576</v>
      </c>
      <c r="K380" s="32" t="str">
        <f aca="false">IF(I380=1,"ACCEPTED","OPEN")</f>
        <v>OPEN</v>
      </c>
    </row>
    <row r="381" customFormat="false" ht="15" hidden="false" customHeight="false" outlineLevel="0" collapsed="false">
      <c r="A381" s="19" t="str">
        <f aca="false">"PKT-"&amp;B381&amp;"-RECONSTRUCTION"</f>
        <v>PKT-REG-HU-CON-RECONSTRUCTION</v>
      </c>
      <c r="B381" s="19" t="str">
        <f aca="false">'Object Crosswalk'!A81</f>
        <v>REG-HU-CON</v>
      </c>
      <c r="C381" s="19" t="str">
        <f aca="false">'Object Crosswalk'!B81</f>
        <v>Regeneration tool</v>
      </c>
      <c r="D381" s="19" t="str">
        <f aca="false">'Object Crosswalk'!D81</f>
        <v>MS-HU</v>
      </c>
      <c r="E381" s="19" t="str">
        <f aca="false">'Object Crosswalk'!E81</f>
        <v>HU-A</v>
      </c>
      <c r="F381" s="19" t="str">
        <f aca="false">'Object Crosswalk'!F81</f>
        <v>CONTROL</v>
      </c>
      <c r="G381" s="9" t="s">
        <v>341</v>
      </c>
      <c r="H381" s="11" t="s">
        <v>58</v>
      </c>
      <c r="I381" s="32" t="n">
        <f aca="false">0</f>
        <v>0</v>
      </c>
      <c r="J381" s="11" t="s">
        <v>576</v>
      </c>
      <c r="K381" s="32" t="str">
        <f aca="false">IF(I381=1,"ACCEPTED","OPEN")</f>
        <v>OPEN</v>
      </c>
    </row>
    <row r="382" customFormat="false" ht="15" hidden="false" customHeight="false" outlineLevel="0" collapsed="false">
      <c r="A382" s="19" t="str">
        <f aca="false">"PKT-"&amp;B382&amp;"-CONFIGURATION"</f>
        <v>PKT-INT-HU-CON-CONFIGURATION</v>
      </c>
      <c r="B382" s="19" t="str">
        <f aca="false">'Object Crosswalk'!A82</f>
        <v>INT-HU-CON</v>
      </c>
      <c r="C382" s="19" t="str">
        <f aca="false">'Object Crosswalk'!B82</f>
        <v>Station integration</v>
      </c>
      <c r="D382" s="19" t="str">
        <f aca="false">'Object Crosswalk'!D82</f>
        <v>MS-HU</v>
      </c>
      <c r="E382" s="19" t="str">
        <f aca="false">'Object Crosswalk'!E82</f>
        <v>HU-A</v>
      </c>
      <c r="F382" s="19" t="str">
        <f aca="false">'Object Crosswalk'!F82</f>
        <v>CONTROL</v>
      </c>
      <c r="G382" s="9" t="s">
        <v>728</v>
      </c>
      <c r="H382" s="11" t="s">
        <v>58</v>
      </c>
      <c r="I382" s="32" t="n">
        <f aca="false">0</f>
        <v>0</v>
      </c>
      <c r="J382" s="11" t="s">
        <v>576</v>
      </c>
      <c r="K382" s="32" t="str">
        <f aca="false">IF(I382=1,"ACCEPTED","OPEN")</f>
        <v>OPEN</v>
      </c>
    </row>
    <row r="383" customFormat="false" ht="15" hidden="false" customHeight="false" outlineLevel="0" collapsed="false">
      <c r="A383" s="19" t="str">
        <f aca="false">"PKT-"&amp;B383&amp;"-CONTROL"</f>
        <v>PKT-INT-HU-CON-CONTROL</v>
      </c>
      <c r="B383" s="19" t="str">
        <f aca="false">'Object Crosswalk'!A82</f>
        <v>INT-HU-CON</v>
      </c>
      <c r="C383" s="19" t="str">
        <f aca="false">'Object Crosswalk'!B82</f>
        <v>Station integration</v>
      </c>
      <c r="D383" s="19" t="str">
        <f aca="false">'Object Crosswalk'!D82</f>
        <v>MS-HU</v>
      </c>
      <c r="E383" s="19" t="str">
        <f aca="false">'Object Crosswalk'!E82</f>
        <v>HU-A</v>
      </c>
      <c r="F383" s="19" t="str">
        <f aca="false">'Object Crosswalk'!F82</f>
        <v>CONTROL</v>
      </c>
      <c r="G383" s="9" t="s">
        <v>333</v>
      </c>
      <c r="H383" s="11" t="s">
        <v>58</v>
      </c>
      <c r="I383" s="32" t="n">
        <f aca="false">0</f>
        <v>0</v>
      </c>
      <c r="J383" s="11" t="s">
        <v>576</v>
      </c>
      <c r="K383" s="32" t="str">
        <f aca="false">IF(I383=1,"ACCEPTED","OPEN")</f>
        <v>OPEN</v>
      </c>
    </row>
    <row r="384" customFormat="false" ht="15" hidden="false" customHeight="false" outlineLevel="0" collapsed="false">
      <c r="A384" s="19" t="str">
        <f aca="false">"PKT-"&amp;B384&amp;"-METROLOGY"</f>
        <v>PKT-INT-HU-CON-METROLOGY</v>
      </c>
      <c r="B384" s="19" t="str">
        <f aca="false">'Object Crosswalk'!A82</f>
        <v>INT-HU-CON</v>
      </c>
      <c r="C384" s="19" t="str">
        <f aca="false">'Object Crosswalk'!B82</f>
        <v>Station integration</v>
      </c>
      <c r="D384" s="19" t="str">
        <f aca="false">'Object Crosswalk'!D82</f>
        <v>MS-HU</v>
      </c>
      <c r="E384" s="19" t="str">
        <f aca="false">'Object Crosswalk'!E82</f>
        <v>HU-A</v>
      </c>
      <c r="F384" s="19" t="str">
        <f aca="false">'Object Crosswalk'!F82</f>
        <v>CONTROL</v>
      </c>
      <c r="G384" s="9" t="s">
        <v>729</v>
      </c>
      <c r="H384" s="11" t="s">
        <v>58</v>
      </c>
      <c r="I384" s="32" t="n">
        <f aca="false">0</f>
        <v>0</v>
      </c>
      <c r="J384" s="11" t="s">
        <v>576</v>
      </c>
      <c r="K384" s="32" t="str">
        <f aca="false">IF(I384=1,"ACCEPTED","OPEN")</f>
        <v>OPEN</v>
      </c>
    </row>
    <row r="385" customFormat="false" ht="15" hidden="false" customHeight="false" outlineLevel="0" collapsed="false">
      <c r="A385" s="19" t="str">
        <f aca="false">"PKT-"&amp;B385&amp;"-SAFETY"</f>
        <v>PKT-INT-HU-CON-SAFETY</v>
      </c>
      <c r="B385" s="19" t="str">
        <f aca="false">'Object Crosswalk'!A82</f>
        <v>INT-HU-CON</v>
      </c>
      <c r="C385" s="19" t="str">
        <f aca="false">'Object Crosswalk'!B82</f>
        <v>Station integration</v>
      </c>
      <c r="D385" s="19" t="str">
        <f aca="false">'Object Crosswalk'!D82</f>
        <v>MS-HU</v>
      </c>
      <c r="E385" s="19" t="str">
        <f aca="false">'Object Crosswalk'!E82</f>
        <v>HU-A</v>
      </c>
      <c r="F385" s="19" t="str">
        <f aca="false">'Object Crosswalk'!F82</f>
        <v>CONTROL</v>
      </c>
      <c r="G385" s="9" t="s">
        <v>730</v>
      </c>
      <c r="H385" s="11" t="s">
        <v>58</v>
      </c>
      <c r="I385" s="32" t="n">
        <f aca="false">0</f>
        <v>0</v>
      </c>
      <c r="J385" s="11" t="s">
        <v>576</v>
      </c>
      <c r="K385" s="32" t="str">
        <f aca="false">IF(I385=1,"ACCEPTED","OPEN")</f>
        <v>OPEN</v>
      </c>
    </row>
    <row r="386" customFormat="false" ht="15" hidden="false" customHeight="false" outlineLevel="0" collapsed="false">
      <c r="A386" s="19" t="str">
        <f aca="false">"PKT-"&amp;B386&amp;"-RECONSTRUCTION"</f>
        <v>PKT-INT-HU-CON-RECONSTRUCTION</v>
      </c>
      <c r="B386" s="19" t="str">
        <f aca="false">'Object Crosswalk'!A82</f>
        <v>INT-HU-CON</v>
      </c>
      <c r="C386" s="19" t="str">
        <f aca="false">'Object Crosswalk'!B82</f>
        <v>Station integration</v>
      </c>
      <c r="D386" s="19" t="str">
        <f aca="false">'Object Crosswalk'!D82</f>
        <v>MS-HU</v>
      </c>
      <c r="E386" s="19" t="str">
        <f aca="false">'Object Crosswalk'!E82</f>
        <v>HU-A</v>
      </c>
      <c r="F386" s="19" t="str">
        <f aca="false">'Object Crosswalk'!F82</f>
        <v>CONTROL</v>
      </c>
      <c r="G386" s="9" t="s">
        <v>341</v>
      </c>
      <c r="H386" s="11" t="s">
        <v>58</v>
      </c>
      <c r="I386" s="32" t="n">
        <f aca="false">0</f>
        <v>0</v>
      </c>
      <c r="J386" s="11" t="s">
        <v>576</v>
      </c>
      <c r="K386" s="32" t="str">
        <f aca="false">IF(I386=1,"ACCEPTED","OPEN")</f>
        <v>OPEN</v>
      </c>
    </row>
    <row r="387" customFormat="false" ht="15" hidden="false" customHeight="false" outlineLevel="0" collapsed="false">
      <c r="A387" s="19" t="str">
        <f aca="false">"PKT-"&amp;B387&amp;"-CONFIGURATION"</f>
        <v>PKT-RIG-HU-REC-CONFIGURATION</v>
      </c>
      <c r="B387" s="19" t="str">
        <f aca="false">'Object Crosswalk'!A83</f>
        <v>RIG-HU-REC</v>
      </c>
      <c r="C387" s="19" t="str">
        <f aca="false">'Object Crosswalk'!B83</f>
        <v>Root-native rig</v>
      </c>
      <c r="D387" s="19" t="str">
        <f aca="false">'Object Crosswalk'!D83</f>
        <v>MS-HU</v>
      </c>
      <c r="E387" s="19" t="str">
        <f aca="false">'Object Crosswalk'!E83</f>
        <v>HU-A</v>
      </c>
      <c r="F387" s="19" t="str">
        <f aca="false">'Object Crosswalk'!F83</f>
        <v>RECONSTRUCTION</v>
      </c>
      <c r="G387" s="9" t="s">
        <v>728</v>
      </c>
      <c r="H387" s="11" t="s">
        <v>58</v>
      </c>
      <c r="I387" s="32" t="n">
        <f aca="false">0</f>
        <v>0</v>
      </c>
      <c r="J387" s="11" t="s">
        <v>576</v>
      </c>
      <c r="K387" s="32" t="str">
        <f aca="false">IF(I387=1,"ACCEPTED","OPEN")</f>
        <v>OPEN</v>
      </c>
    </row>
    <row r="388" customFormat="false" ht="15" hidden="false" customHeight="false" outlineLevel="0" collapsed="false">
      <c r="A388" s="19" t="str">
        <f aca="false">"PKT-"&amp;B388&amp;"-CONTROL"</f>
        <v>PKT-RIG-HU-REC-CONTROL</v>
      </c>
      <c r="B388" s="19" t="str">
        <f aca="false">'Object Crosswalk'!A83</f>
        <v>RIG-HU-REC</v>
      </c>
      <c r="C388" s="19" t="str">
        <f aca="false">'Object Crosswalk'!B83</f>
        <v>Root-native rig</v>
      </c>
      <c r="D388" s="19" t="str">
        <f aca="false">'Object Crosswalk'!D83</f>
        <v>MS-HU</v>
      </c>
      <c r="E388" s="19" t="str">
        <f aca="false">'Object Crosswalk'!E83</f>
        <v>HU-A</v>
      </c>
      <c r="F388" s="19" t="str">
        <f aca="false">'Object Crosswalk'!F83</f>
        <v>RECONSTRUCTION</v>
      </c>
      <c r="G388" s="9" t="s">
        <v>333</v>
      </c>
      <c r="H388" s="11" t="s">
        <v>58</v>
      </c>
      <c r="I388" s="32" t="n">
        <f aca="false">0</f>
        <v>0</v>
      </c>
      <c r="J388" s="11" t="s">
        <v>576</v>
      </c>
      <c r="K388" s="32" t="str">
        <f aca="false">IF(I388=1,"ACCEPTED","OPEN")</f>
        <v>OPEN</v>
      </c>
    </row>
    <row r="389" customFormat="false" ht="15" hidden="false" customHeight="false" outlineLevel="0" collapsed="false">
      <c r="A389" s="19" t="str">
        <f aca="false">"PKT-"&amp;B389&amp;"-METROLOGY"</f>
        <v>PKT-RIG-HU-REC-METROLOGY</v>
      </c>
      <c r="B389" s="19" t="str">
        <f aca="false">'Object Crosswalk'!A83</f>
        <v>RIG-HU-REC</v>
      </c>
      <c r="C389" s="19" t="str">
        <f aca="false">'Object Crosswalk'!B83</f>
        <v>Root-native rig</v>
      </c>
      <c r="D389" s="19" t="str">
        <f aca="false">'Object Crosswalk'!D83</f>
        <v>MS-HU</v>
      </c>
      <c r="E389" s="19" t="str">
        <f aca="false">'Object Crosswalk'!E83</f>
        <v>HU-A</v>
      </c>
      <c r="F389" s="19" t="str">
        <f aca="false">'Object Crosswalk'!F83</f>
        <v>RECONSTRUCTION</v>
      </c>
      <c r="G389" s="9" t="s">
        <v>729</v>
      </c>
      <c r="H389" s="11" t="s">
        <v>58</v>
      </c>
      <c r="I389" s="32" t="n">
        <f aca="false">0</f>
        <v>0</v>
      </c>
      <c r="J389" s="11" t="s">
        <v>576</v>
      </c>
      <c r="K389" s="32" t="str">
        <f aca="false">IF(I389=1,"ACCEPTED","OPEN")</f>
        <v>OPEN</v>
      </c>
    </row>
    <row r="390" customFormat="false" ht="15" hidden="false" customHeight="false" outlineLevel="0" collapsed="false">
      <c r="A390" s="19" t="str">
        <f aca="false">"PKT-"&amp;B390&amp;"-SAFETY"</f>
        <v>PKT-RIG-HU-REC-SAFETY</v>
      </c>
      <c r="B390" s="19" t="str">
        <f aca="false">'Object Crosswalk'!A83</f>
        <v>RIG-HU-REC</v>
      </c>
      <c r="C390" s="19" t="str">
        <f aca="false">'Object Crosswalk'!B83</f>
        <v>Root-native rig</v>
      </c>
      <c r="D390" s="19" t="str">
        <f aca="false">'Object Crosswalk'!D83</f>
        <v>MS-HU</v>
      </c>
      <c r="E390" s="19" t="str">
        <f aca="false">'Object Crosswalk'!E83</f>
        <v>HU-A</v>
      </c>
      <c r="F390" s="19" t="str">
        <f aca="false">'Object Crosswalk'!F83</f>
        <v>RECONSTRUCTION</v>
      </c>
      <c r="G390" s="9" t="s">
        <v>730</v>
      </c>
      <c r="H390" s="11" t="s">
        <v>58</v>
      </c>
      <c r="I390" s="32" t="n">
        <f aca="false">0</f>
        <v>0</v>
      </c>
      <c r="J390" s="11" t="s">
        <v>576</v>
      </c>
      <c r="K390" s="32" t="str">
        <f aca="false">IF(I390=1,"ACCEPTED","OPEN")</f>
        <v>OPEN</v>
      </c>
    </row>
    <row r="391" customFormat="false" ht="15" hidden="false" customHeight="false" outlineLevel="0" collapsed="false">
      <c r="A391" s="19" t="str">
        <f aca="false">"PKT-"&amp;B391&amp;"-RECONSTRUCTION"</f>
        <v>PKT-RIG-HU-REC-RECONSTRUCTION</v>
      </c>
      <c r="B391" s="19" t="str">
        <f aca="false">'Object Crosswalk'!A83</f>
        <v>RIG-HU-REC</v>
      </c>
      <c r="C391" s="19" t="str">
        <f aca="false">'Object Crosswalk'!B83</f>
        <v>Root-native rig</v>
      </c>
      <c r="D391" s="19" t="str">
        <f aca="false">'Object Crosswalk'!D83</f>
        <v>MS-HU</v>
      </c>
      <c r="E391" s="19" t="str">
        <f aca="false">'Object Crosswalk'!E83</f>
        <v>HU-A</v>
      </c>
      <c r="F391" s="19" t="str">
        <f aca="false">'Object Crosswalk'!F83</f>
        <v>RECONSTRUCTION</v>
      </c>
      <c r="G391" s="9" t="s">
        <v>341</v>
      </c>
      <c r="H391" s="11" t="s">
        <v>58</v>
      </c>
      <c r="I391" s="32" t="n">
        <f aca="false">0</f>
        <v>0</v>
      </c>
      <c r="J391" s="11" t="s">
        <v>576</v>
      </c>
      <c r="K391" s="32" t="str">
        <f aca="false">IF(I391=1,"ACCEPTED","OPEN")</f>
        <v>OPEN</v>
      </c>
    </row>
    <row r="392" customFormat="false" ht="15" hidden="false" customHeight="false" outlineLevel="0" collapsed="false">
      <c r="A392" s="19" t="str">
        <f aca="false">"PKT-"&amp;B392&amp;"-CONFIGURATION"</f>
        <v>PKT-MTH-HU-REC-L1-CONFIGURATION</v>
      </c>
      <c r="B392" s="19" t="str">
        <f aca="false">'Object Crosswalk'!A84</f>
        <v>MTH-HU-REC-L1</v>
      </c>
      <c r="C392" s="19" t="str">
        <f aca="false">'Object Crosswalk'!B84</f>
        <v>Method lineage</v>
      </c>
      <c r="D392" s="19" t="str">
        <f aca="false">'Object Crosswalk'!D84</f>
        <v>MS-HU</v>
      </c>
      <c r="E392" s="19" t="str">
        <f aca="false">'Object Crosswalk'!E84</f>
        <v>HU-A</v>
      </c>
      <c r="F392" s="19" t="str">
        <f aca="false">'Object Crosswalk'!F84</f>
        <v>RECONSTRUCTION</v>
      </c>
      <c r="G392" s="9" t="s">
        <v>728</v>
      </c>
      <c r="H392" s="11" t="s">
        <v>58</v>
      </c>
      <c r="I392" s="32" t="n">
        <f aca="false">0</f>
        <v>0</v>
      </c>
      <c r="J392" s="11" t="s">
        <v>576</v>
      </c>
      <c r="K392" s="32" t="str">
        <f aca="false">IF(I392=1,"ACCEPTED","OPEN")</f>
        <v>OPEN</v>
      </c>
    </row>
    <row r="393" customFormat="false" ht="15" hidden="false" customHeight="false" outlineLevel="0" collapsed="false">
      <c r="A393" s="19" t="str">
        <f aca="false">"PKT-"&amp;B393&amp;"-CONTROL"</f>
        <v>PKT-MTH-HU-REC-L1-CONTROL</v>
      </c>
      <c r="B393" s="19" t="str">
        <f aca="false">'Object Crosswalk'!A84</f>
        <v>MTH-HU-REC-L1</v>
      </c>
      <c r="C393" s="19" t="str">
        <f aca="false">'Object Crosswalk'!B84</f>
        <v>Method lineage</v>
      </c>
      <c r="D393" s="19" t="str">
        <f aca="false">'Object Crosswalk'!D84</f>
        <v>MS-HU</v>
      </c>
      <c r="E393" s="19" t="str">
        <f aca="false">'Object Crosswalk'!E84</f>
        <v>HU-A</v>
      </c>
      <c r="F393" s="19" t="str">
        <f aca="false">'Object Crosswalk'!F84</f>
        <v>RECONSTRUCTION</v>
      </c>
      <c r="G393" s="9" t="s">
        <v>333</v>
      </c>
      <c r="H393" s="11" t="s">
        <v>58</v>
      </c>
      <c r="I393" s="32" t="n">
        <f aca="false">0</f>
        <v>0</v>
      </c>
      <c r="J393" s="11" t="s">
        <v>576</v>
      </c>
      <c r="K393" s="32" t="str">
        <f aca="false">IF(I393=1,"ACCEPTED","OPEN")</f>
        <v>OPEN</v>
      </c>
    </row>
    <row r="394" customFormat="false" ht="15" hidden="false" customHeight="false" outlineLevel="0" collapsed="false">
      <c r="A394" s="19" t="str">
        <f aca="false">"PKT-"&amp;B394&amp;"-METROLOGY"</f>
        <v>PKT-MTH-HU-REC-L1-METROLOGY</v>
      </c>
      <c r="B394" s="19" t="str">
        <f aca="false">'Object Crosswalk'!A84</f>
        <v>MTH-HU-REC-L1</v>
      </c>
      <c r="C394" s="19" t="str">
        <f aca="false">'Object Crosswalk'!B84</f>
        <v>Method lineage</v>
      </c>
      <c r="D394" s="19" t="str">
        <f aca="false">'Object Crosswalk'!D84</f>
        <v>MS-HU</v>
      </c>
      <c r="E394" s="19" t="str">
        <f aca="false">'Object Crosswalk'!E84</f>
        <v>HU-A</v>
      </c>
      <c r="F394" s="19" t="str">
        <f aca="false">'Object Crosswalk'!F84</f>
        <v>RECONSTRUCTION</v>
      </c>
      <c r="G394" s="9" t="s">
        <v>729</v>
      </c>
      <c r="H394" s="11" t="s">
        <v>58</v>
      </c>
      <c r="I394" s="32" t="n">
        <f aca="false">0</f>
        <v>0</v>
      </c>
      <c r="J394" s="11" t="s">
        <v>576</v>
      </c>
      <c r="K394" s="32" t="str">
        <f aca="false">IF(I394=1,"ACCEPTED","OPEN")</f>
        <v>OPEN</v>
      </c>
    </row>
    <row r="395" customFormat="false" ht="15" hidden="false" customHeight="false" outlineLevel="0" collapsed="false">
      <c r="A395" s="19" t="str">
        <f aca="false">"PKT-"&amp;B395&amp;"-SAFETY"</f>
        <v>PKT-MTH-HU-REC-L1-SAFETY</v>
      </c>
      <c r="B395" s="19" t="str">
        <f aca="false">'Object Crosswalk'!A84</f>
        <v>MTH-HU-REC-L1</v>
      </c>
      <c r="C395" s="19" t="str">
        <f aca="false">'Object Crosswalk'!B84</f>
        <v>Method lineage</v>
      </c>
      <c r="D395" s="19" t="str">
        <f aca="false">'Object Crosswalk'!D84</f>
        <v>MS-HU</v>
      </c>
      <c r="E395" s="19" t="str">
        <f aca="false">'Object Crosswalk'!E84</f>
        <v>HU-A</v>
      </c>
      <c r="F395" s="19" t="str">
        <f aca="false">'Object Crosswalk'!F84</f>
        <v>RECONSTRUCTION</v>
      </c>
      <c r="G395" s="9" t="s">
        <v>730</v>
      </c>
      <c r="H395" s="11" t="s">
        <v>58</v>
      </c>
      <c r="I395" s="32" t="n">
        <f aca="false">0</f>
        <v>0</v>
      </c>
      <c r="J395" s="11" t="s">
        <v>576</v>
      </c>
      <c r="K395" s="32" t="str">
        <f aca="false">IF(I395=1,"ACCEPTED","OPEN")</f>
        <v>OPEN</v>
      </c>
    </row>
    <row r="396" customFormat="false" ht="15" hidden="false" customHeight="false" outlineLevel="0" collapsed="false">
      <c r="A396" s="19" t="str">
        <f aca="false">"PKT-"&amp;B396&amp;"-RECONSTRUCTION"</f>
        <v>PKT-MTH-HU-REC-L1-RECONSTRUCTION</v>
      </c>
      <c r="B396" s="19" t="str">
        <f aca="false">'Object Crosswalk'!A84</f>
        <v>MTH-HU-REC-L1</v>
      </c>
      <c r="C396" s="19" t="str">
        <f aca="false">'Object Crosswalk'!B84</f>
        <v>Method lineage</v>
      </c>
      <c r="D396" s="19" t="str">
        <f aca="false">'Object Crosswalk'!D84</f>
        <v>MS-HU</v>
      </c>
      <c r="E396" s="19" t="str">
        <f aca="false">'Object Crosswalk'!E84</f>
        <v>HU-A</v>
      </c>
      <c r="F396" s="19" t="str">
        <f aca="false">'Object Crosswalk'!F84</f>
        <v>RECONSTRUCTION</v>
      </c>
      <c r="G396" s="9" t="s">
        <v>341</v>
      </c>
      <c r="H396" s="11" t="s">
        <v>58</v>
      </c>
      <c r="I396" s="32" t="n">
        <f aca="false">0</f>
        <v>0</v>
      </c>
      <c r="J396" s="11" t="s">
        <v>576</v>
      </c>
      <c r="K396" s="32" t="str">
        <f aca="false">IF(I396=1,"ACCEPTED","OPEN")</f>
        <v>OPEN</v>
      </c>
    </row>
    <row r="397" customFormat="false" ht="15" hidden="false" customHeight="false" outlineLevel="0" collapsed="false">
      <c r="A397" s="19" t="str">
        <f aca="false">"PKT-"&amp;B397&amp;"-CONFIGURATION"</f>
        <v>PKT-MTH-HU-REC-L2-CONFIGURATION</v>
      </c>
      <c r="B397" s="19" t="str">
        <f aca="false">'Object Crosswalk'!A85</f>
        <v>MTH-HU-REC-L2</v>
      </c>
      <c r="C397" s="19" t="str">
        <f aca="false">'Object Crosswalk'!B85</f>
        <v>Method lineage</v>
      </c>
      <c r="D397" s="19" t="str">
        <f aca="false">'Object Crosswalk'!D85</f>
        <v>MS-HU</v>
      </c>
      <c r="E397" s="19" t="str">
        <f aca="false">'Object Crosswalk'!E85</f>
        <v>HU-A</v>
      </c>
      <c r="F397" s="19" t="str">
        <f aca="false">'Object Crosswalk'!F85</f>
        <v>RECONSTRUCTION</v>
      </c>
      <c r="G397" s="9" t="s">
        <v>728</v>
      </c>
      <c r="H397" s="11" t="s">
        <v>58</v>
      </c>
      <c r="I397" s="32" t="n">
        <f aca="false">0</f>
        <v>0</v>
      </c>
      <c r="J397" s="11" t="s">
        <v>576</v>
      </c>
      <c r="K397" s="32" t="str">
        <f aca="false">IF(I397=1,"ACCEPTED","OPEN")</f>
        <v>OPEN</v>
      </c>
    </row>
    <row r="398" customFormat="false" ht="15" hidden="false" customHeight="false" outlineLevel="0" collapsed="false">
      <c r="A398" s="19" t="str">
        <f aca="false">"PKT-"&amp;B398&amp;"-CONTROL"</f>
        <v>PKT-MTH-HU-REC-L2-CONTROL</v>
      </c>
      <c r="B398" s="19" t="str">
        <f aca="false">'Object Crosswalk'!A85</f>
        <v>MTH-HU-REC-L2</v>
      </c>
      <c r="C398" s="19" t="str">
        <f aca="false">'Object Crosswalk'!B85</f>
        <v>Method lineage</v>
      </c>
      <c r="D398" s="19" t="str">
        <f aca="false">'Object Crosswalk'!D85</f>
        <v>MS-HU</v>
      </c>
      <c r="E398" s="19" t="str">
        <f aca="false">'Object Crosswalk'!E85</f>
        <v>HU-A</v>
      </c>
      <c r="F398" s="19" t="str">
        <f aca="false">'Object Crosswalk'!F85</f>
        <v>RECONSTRUCTION</v>
      </c>
      <c r="G398" s="9" t="s">
        <v>333</v>
      </c>
      <c r="H398" s="11" t="s">
        <v>58</v>
      </c>
      <c r="I398" s="32" t="n">
        <f aca="false">0</f>
        <v>0</v>
      </c>
      <c r="J398" s="11" t="s">
        <v>576</v>
      </c>
      <c r="K398" s="32" t="str">
        <f aca="false">IF(I398=1,"ACCEPTED","OPEN")</f>
        <v>OPEN</v>
      </c>
    </row>
    <row r="399" customFormat="false" ht="15" hidden="false" customHeight="false" outlineLevel="0" collapsed="false">
      <c r="A399" s="19" t="str">
        <f aca="false">"PKT-"&amp;B399&amp;"-METROLOGY"</f>
        <v>PKT-MTH-HU-REC-L2-METROLOGY</v>
      </c>
      <c r="B399" s="19" t="str">
        <f aca="false">'Object Crosswalk'!A85</f>
        <v>MTH-HU-REC-L2</v>
      </c>
      <c r="C399" s="19" t="str">
        <f aca="false">'Object Crosswalk'!B85</f>
        <v>Method lineage</v>
      </c>
      <c r="D399" s="19" t="str">
        <f aca="false">'Object Crosswalk'!D85</f>
        <v>MS-HU</v>
      </c>
      <c r="E399" s="19" t="str">
        <f aca="false">'Object Crosswalk'!E85</f>
        <v>HU-A</v>
      </c>
      <c r="F399" s="19" t="str">
        <f aca="false">'Object Crosswalk'!F85</f>
        <v>RECONSTRUCTION</v>
      </c>
      <c r="G399" s="9" t="s">
        <v>729</v>
      </c>
      <c r="H399" s="11" t="s">
        <v>58</v>
      </c>
      <c r="I399" s="32" t="n">
        <f aca="false">0</f>
        <v>0</v>
      </c>
      <c r="J399" s="11" t="s">
        <v>576</v>
      </c>
      <c r="K399" s="32" t="str">
        <f aca="false">IF(I399=1,"ACCEPTED","OPEN")</f>
        <v>OPEN</v>
      </c>
    </row>
    <row r="400" customFormat="false" ht="15" hidden="false" customHeight="false" outlineLevel="0" collapsed="false">
      <c r="A400" s="19" t="str">
        <f aca="false">"PKT-"&amp;B400&amp;"-SAFETY"</f>
        <v>PKT-MTH-HU-REC-L2-SAFETY</v>
      </c>
      <c r="B400" s="19" t="str">
        <f aca="false">'Object Crosswalk'!A85</f>
        <v>MTH-HU-REC-L2</v>
      </c>
      <c r="C400" s="19" t="str">
        <f aca="false">'Object Crosswalk'!B85</f>
        <v>Method lineage</v>
      </c>
      <c r="D400" s="19" t="str">
        <f aca="false">'Object Crosswalk'!D85</f>
        <v>MS-HU</v>
      </c>
      <c r="E400" s="19" t="str">
        <f aca="false">'Object Crosswalk'!E85</f>
        <v>HU-A</v>
      </c>
      <c r="F400" s="19" t="str">
        <f aca="false">'Object Crosswalk'!F85</f>
        <v>RECONSTRUCTION</v>
      </c>
      <c r="G400" s="9" t="s">
        <v>730</v>
      </c>
      <c r="H400" s="11" t="s">
        <v>58</v>
      </c>
      <c r="I400" s="32" t="n">
        <f aca="false">0</f>
        <v>0</v>
      </c>
      <c r="J400" s="11" t="s">
        <v>576</v>
      </c>
      <c r="K400" s="32" t="str">
        <f aca="false">IF(I400=1,"ACCEPTED","OPEN")</f>
        <v>OPEN</v>
      </c>
    </row>
    <row r="401" customFormat="false" ht="15" hidden="false" customHeight="false" outlineLevel="0" collapsed="false">
      <c r="A401" s="19" t="str">
        <f aca="false">"PKT-"&amp;B401&amp;"-RECONSTRUCTION"</f>
        <v>PKT-MTH-HU-REC-L2-RECONSTRUCTION</v>
      </c>
      <c r="B401" s="19" t="str">
        <f aca="false">'Object Crosswalk'!A85</f>
        <v>MTH-HU-REC-L2</v>
      </c>
      <c r="C401" s="19" t="str">
        <f aca="false">'Object Crosswalk'!B85</f>
        <v>Method lineage</v>
      </c>
      <c r="D401" s="19" t="str">
        <f aca="false">'Object Crosswalk'!D85</f>
        <v>MS-HU</v>
      </c>
      <c r="E401" s="19" t="str">
        <f aca="false">'Object Crosswalk'!E85</f>
        <v>HU-A</v>
      </c>
      <c r="F401" s="19" t="str">
        <f aca="false">'Object Crosswalk'!F85</f>
        <v>RECONSTRUCTION</v>
      </c>
      <c r="G401" s="9" t="s">
        <v>341</v>
      </c>
      <c r="H401" s="11" t="s">
        <v>58</v>
      </c>
      <c r="I401" s="32" t="n">
        <f aca="false">0</f>
        <v>0</v>
      </c>
      <c r="J401" s="11" t="s">
        <v>576</v>
      </c>
      <c r="K401" s="32" t="str">
        <f aca="false">IF(I401=1,"ACCEPTED","OPEN")</f>
        <v>OPEN</v>
      </c>
    </row>
    <row r="402" customFormat="false" ht="15" hidden="false" customHeight="false" outlineLevel="0" collapsed="false">
      <c r="A402" s="19" t="str">
        <f aca="false">"PKT-"&amp;B402&amp;"-CONFIGURATION"</f>
        <v>PKT-REG-HU-REC-CONFIGURATION</v>
      </c>
      <c r="B402" s="19" t="str">
        <f aca="false">'Object Crosswalk'!A86</f>
        <v>REG-HU-REC</v>
      </c>
      <c r="C402" s="19" t="str">
        <f aca="false">'Object Crosswalk'!B86</f>
        <v>Regeneration tool</v>
      </c>
      <c r="D402" s="19" t="str">
        <f aca="false">'Object Crosswalk'!D86</f>
        <v>MS-HU</v>
      </c>
      <c r="E402" s="19" t="str">
        <f aca="false">'Object Crosswalk'!E86</f>
        <v>HU-A</v>
      </c>
      <c r="F402" s="19" t="str">
        <f aca="false">'Object Crosswalk'!F86</f>
        <v>RECONSTRUCTION</v>
      </c>
      <c r="G402" s="9" t="s">
        <v>728</v>
      </c>
      <c r="H402" s="11" t="s">
        <v>58</v>
      </c>
      <c r="I402" s="32" t="n">
        <f aca="false">0</f>
        <v>0</v>
      </c>
      <c r="J402" s="11" t="s">
        <v>576</v>
      </c>
      <c r="K402" s="32" t="str">
        <f aca="false">IF(I402=1,"ACCEPTED","OPEN")</f>
        <v>OPEN</v>
      </c>
    </row>
    <row r="403" customFormat="false" ht="15" hidden="false" customHeight="false" outlineLevel="0" collapsed="false">
      <c r="A403" s="19" t="str">
        <f aca="false">"PKT-"&amp;B403&amp;"-CONTROL"</f>
        <v>PKT-REG-HU-REC-CONTROL</v>
      </c>
      <c r="B403" s="19" t="str">
        <f aca="false">'Object Crosswalk'!A86</f>
        <v>REG-HU-REC</v>
      </c>
      <c r="C403" s="19" t="str">
        <f aca="false">'Object Crosswalk'!B86</f>
        <v>Regeneration tool</v>
      </c>
      <c r="D403" s="19" t="str">
        <f aca="false">'Object Crosswalk'!D86</f>
        <v>MS-HU</v>
      </c>
      <c r="E403" s="19" t="str">
        <f aca="false">'Object Crosswalk'!E86</f>
        <v>HU-A</v>
      </c>
      <c r="F403" s="19" t="str">
        <f aca="false">'Object Crosswalk'!F86</f>
        <v>RECONSTRUCTION</v>
      </c>
      <c r="G403" s="9" t="s">
        <v>333</v>
      </c>
      <c r="H403" s="11" t="s">
        <v>58</v>
      </c>
      <c r="I403" s="32" t="n">
        <f aca="false">0</f>
        <v>0</v>
      </c>
      <c r="J403" s="11" t="s">
        <v>576</v>
      </c>
      <c r="K403" s="32" t="str">
        <f aca="false">IF(I403=1,"ACCEPTED","OPEN")</f>
        <v>OPEN</v>
      </c>
    </row>
    <row r="404" customFormat="false" ht="15" hidden="false" customHeight="false" outlineLevel="0" collapsed="false">
      <c r="A404" s="19" t="str">
        <f aca="false">"PKT-"&amp;B404&amp;"-METROLOGY"</f>
        <v>PKT-REG-HU-REC-METROLOGY</v>
      </c>
      <c r="B404" s="19" t="str">
        <f aca="false">'Object Crosswalk'!A86</f>
        <v>REG-HU-REC</v>
      </c>
      <c r="C404" s="19" t="str">
        <f aca="false">'Object Crosswalk'!B86</f>
        <v>Regeneration tool</v>
      </c>
      <c r="D404" s="19" t="str">
        <f aca="false">'Object Crosswalk'!D86</f>
        <v>MS-HU</v>
      </c>
      <c r="E404" s="19" t="str">
        <f aca="false">'Object Crosswalk'!E86</f>
        <v>HU-A</v>
      </c>
      <c r="F404" s="19" t="str">
        <f aca="false">'Object Crosswalk'!F86</f>
        <v>RECONSTRUCTION</v>
      </c>
      <c r="G404" s="9" t="s">
        <v>729</v>
      </c>
      <c r="H404" s="11" t="s">
        <v>58</v>
      </c>
      <c r="I404" s="32" t="n">
        <f aca="false">0</f>
        <v>0</v>
      </c>
      <c r="J404" s="11" t="s">
        <v>576</v>
      </c>
      <c r="K404" s="32" t="str">
        <f aca="false">IF(I404=1,"ACCEPTED","OPEN")</f>
        <v>OPEN</v>
      </c>
    </row>
    <row r="405" customFormat="false" ht="15" hidden="false" customHeight="false" outlineLevel="0" collapsed="false">
      <c r="A405" s="19" t="str">
        <f aca="false">"PKT-"&amp;B405&amp;"-SAFETY"</f>
        <v>PKT-REG-HU-REC-SAFETY</v>
      </c>
      <c r="B405" s="19" t="str">
        <f aca="false">'Object Crosswalk'!A86</f>
        <v>REG-HU-REC</v>
      </c>
      <c r="C405" s="19" t="str">
        <f aca="false">'Object Crosswalk'!B86</f>
        <v>Regeneration tool</v>
      </c>
      <c r="D405" s="19" t="str">
        <f aca="false">'Object Crosswalk'!D86</f>
        <v>MS-HU</v>
      </c>
      <c r="E405" s="19" t="str">
        <f aca="false">'Object Crosswalk'!E86</f>
        <v>HU-A</v>
      </c>
      <c r="F405" s="19" t="str">
        <f aca="false">'Object Crosswalk'!F86</f>
        <v>RECONSTRUCTION</v>
      </c>
      <c r="G405" s="9" t="s">
        <v>730</v>
      </c>
      <c r="H405" s="11" t="s">
        <v>58</v>
      </c>
      <c r="I405" s="32" t="n">
        <f aca="false">0</f>
        <v>0</v>
      </c>
      <c r="J405" s="11" t="s">
        <v>576</v>
      </c>
      <c r="K405" s="32" t="str">
        <f aca="false">IF(I405=1,"ACCEPTED","OPEN")</f>
        <v>OPEN</v>
      </c>
    </row>
    <row r="406" customFormat="false" ht="15" hidden="false" customHeight="false" outlineLevel="0" collapsed="false">
      <c r="A406" s="19" t="str">
        <f aca="false">"PKT-"&amp;B406&amp;"-RECONSTRUCTION"</f>
        <v>PKT-REG-HU-REC-RECONSTRUCTION</v>
      </c>
      <c r="B406" s="19" t="str">
        <f aca="false">'Object Crosswalk'!A86</f>
        <v>REG-HU-REC</v>
      </c>
      <c r="C406" s="19" t="str">
        <f aca="false">'Object Crosswalk'!B86</f>
        <v>Regeneration tool</v>
      </c>
      <c r="D406" s="19" t="str">
        <f aca="false">'Object Crosswalk'!D86</f>
        <v>MS-HU</v>
      </c>
      <c r="E406" s="19" t="str">
        <f aca="false">'Object Crosswalk'!E86</f>
        <v>HU-A</v>
      </c>
      <c r="F406" s="19" t="str">
        <f aca="false">'Object Crosswalk'!F86</f>
        <v>RECONSTRUCTION</v>
      </c>
      <c r="G406" s="9" t="s">
        <v>341</v>
      </c>
      <c r="H406" s="11" t="s">
        <v>58</v>
      </c>
      <c r="I406" s="32" t="n">
        <f aca="false">0</f>
        <v>0</v>
      </c>
      <c r="J406" s="11" t="s">
        <v>576</v>
      </c>
      <c r="K406" s="32" t="str">
        <f aca="false">IF(I406=1,"ACCEPTED","OPEN")</f>
        <v>OPEN</v>
      </c>
    </row>
    <row r="407" customFormat="false" ht="15" hidden="false" customHeight="false" outlineLevel="0" collapsed="false">
      <c r="A407" s="19" t="str">
        <f aca="false">"PKT-"&amp;B407&amp;"-CONFIGURATION"</f>
        <v>PKT-INT-HU-REC-CONFIGURATION</v>
      </c>
      <c r="B407" s="19" t="str">
        <f aca="false">'Object Crosswalk'!A87</f>
        <v>INT-HU-REC</v>
      </c>
      <c r="C407" s="19" t="str">
        <f aca="false">'Object Crosswalk'!B87</f>
        <v>Station integration</v>
      </c>
      <c r="D407" s="19" t="str">
        <f aca="false">'Object Crosswalk'!D87</f>
        <v>MS-HU</v>
      </c>
      <c r="E407" s="19" t="str">
        <f aca="false">'Object Crosswalk'!E87</f>
        <v>HU-A</v>
      </c>
      <c r="F407" s="19" t="str">
        <f aca="false">'Object Crosswalk'!F87</f>
        <v>RECONSTRUCTION</v>
      </c>
      <c r="G407" s="9" t="s">
        <v>728</v>
      </c>
      <c r="H407" s="11" t="s">
        <v>58</v>
      </c>
      <c r="I407" s="32" t="n">
        <f aca="false">0</f>
        <v>0</v>
      </c>
      <c r="J407" s="11" t="s">
        <v>576</v>
      </c>
      <c r="K407" s="32" t="str">
        <f aca="false">IF(I407=1,"ACCEPTED","OPEN")</f>
        <v>OPEN</v>
      </c>
    </row>
    <row r="408" customFormat="false" ht="15" hidden="false" customHeight="false" outlineLevel="0" collapsed="false">
      <c r="A408" s="19" t="str">
        <f aca="false">"PKT-"&amp;B408&amp;"-CONTROL"</f>
        <v>PKT-INT-HU-REC-CONTROL</v>
      </c>
      <c r="B408" s="19" t="str">
        <f aca="false">'Object Crosswalk'!A87</f>
        <v>INT-HU-REC</v>
      </c>
      <c r="C408" s="19" t="str">
        <f aca="false">'Object Crosswalk'!B87</f>
        <v>Station integration</v>
      </c>
      <c r="D408" s="19" t="str">
        <f aca="false">'Object Crosswalk'!D87</f>
        <v>MS-HU</v>
      </c>
      <c r="E408" s="19" t="str">
        <f aca="false">'Object Crosswalk'!E87</f>
        <v>HU-A</v>
      </c>
      <c r="F408" s="19" t="str">
        <f aca="false">'Object Crosswalk'!F87</f>
        <v>RECONSTRUCTION</v>
      </c>
      <c r="G408" s="9" t="s">
        <v>333</v>
      </c>
      <c r="H408" s="11" t="s">
        <v>58</v>
      </c>
      <c r="I408" s="32" t="n">
        <f aca="false">0</f>
        <v>0</v>
      </c>
      <c r="J408" s="11" t="s">
        <v>576</v>
      </c>
      <c r="K408" s="32" t="str">
        <f aca="false">IF(I408=1,"ACCEPTED","OPEN")</f>
        <v>OPEN</v>
      </c>
    </row>
    <row r="409" customFormat="false" ht="15" hidden="false" customHeight="false" outlineLevel="0" collapsed="false">
      <c r="A409" s="19" t="str">
        <f aca="false">"PKT-"&amp;B409&amp;"-METROLOGY"</f>
        <v>PKT-INT-HU-REC-METROLOGY</v>
      </c>
      <c r="B409" s="19" t="str">
        <f aca="false">'Object Crosswalk'!A87</f>
        <v>INT-HU-REC</v>
      </c>
      <c r="C409" s="19" t="str">
        <f aca="false">'Object Crosswalk'!B87</f>
        <v>Station integration</v>
      </c>
      <c r="D409" s="19" t="str">
        <f aca="false">'Object Crosswalk'!D87</f>
        <v>MS-HU</v>
      </c>
      <c r="E409" s="19" t="str">
        <f aca="false">'Object Crosswalk'!E87</f>
        <v>HU-A</v>
      </c>
      <c r="F409" s="19" t="str">
        <f aca="false">'Object Crosswalk'!F87</f>
        <v>RECONSTRUCTION</v>
      </c>
      <c r="G409" s="9" t="s">
        <v>729</v>
      </c>
      <c r="H409" s="11" t="s">
        <v>58</v>
      </c>
      <c r="I409" s="32" t="n">
        <f aca="false">0</f>
        <v>0</v>
      </c>
      <c r="J409" s="11" t="s">
        <v>576</v>
      </c>
      <c r="K409" s="32" t="str">
        <f aca="false">IF(I409=1,"ACCEPTED","OPEN")</f>
        <v>OPEN</v>
      </c>
    </row>
    <row r="410" customFormat="false" ht="15" hidden="false" customHeight="false" outlineLevel="0" collapsed="false">
      <c r="A410" s="19" t="str">
        <f aca="false">"PKT-"&amp;B410&amp;"-SAFETY"</f>
        <v>PKT-INT-HU-REC-SAFETY</v>
      </c>
      <c r="B410" s="19" t="str">
        <f aca="false">'Object Crosswalk'!A87</f>
        <v>INT-HU-REC</v>
      </c>
      <c r="C410" s="19" t="str">
        <f aca="false">'Object Crosswalk'!B87</f>
        <v>Station integration</v>
      </c>
      <c r="D410" s="19" t="str">
        <f aca="false">'Object Crosswalk'!D87</f>
        <v>MS-HU</v>
      </c>
      <c r="E410" s="19" t="str">
        <f aca="false">'Object Crosswalk'!E87</f>
        <v>HU-A</v>
      </c>
      <c r="F410" s="19" t="str">
        <f aca="false">'Object Crosswalk'!F87</f>
        <v>RECONSTRUCTION</v>
      </c>
      <c r="G410" s="9" t="s">
        <v>730</v>
      </c>
      <c r="H410" s="11" t="s">
        <v>58</v>
      </c>
      <c r="I410" s="32" t="n">
        <f aca="false">0</f>
        <v>0</v>
      </c>
      <c r="J410" s="11" t="s">
        <v>576</v>
      </c>
      <c r="K410" s="32" t="str">
        <f aca="false">IF(I410=1,"ACCEPTED","OPEN")</f>
        <v>OPEN</v>
      </c>
    </row>
    <row r="411" customFormat="false" ht="15" hidden="false" customHeight="false" outlineLevel="0" collapsed="false">
      <c r="A411" s="19" t="str">
        <f aca="false">"PKT-"&amp;B411&amp;"-RECONSTRUCTION"</f>
        <v>PKT-INT-HU-REC-RECONSTRUCTION</v>
      </c>
      <c r="B411" s="19" t="str">
        <f aca="false">'Object Crosswalk'!A87</f>
        <v>INT-HU-REC</v>
      </c>
      <c r="C411" s="19" t="str">
        <f aca="false">'Object Crosswalk'!B87</f>
        <v>Station integration</v>
      </c>
      <c r="D411" s="19" t="str">
        <f aca="false">'Object Crosswalk'!D87</f>
        <v>MS-HU</v>
      </c>
      <c r="E411" s="19" t="str">
        <f aca="false">'Object Crosswalk'!E87</f>
        <v>HU-A</v>
      </c>
      <c r="F411" s="19" t="str">
        <f aca="false">'Object Crosswalk'!F87</f>
        <v>RECONSTRUCTION</v>
      </c>
      <c r="G411" s="9" t="s">
        <v>341</v>
      </c>
      <c r="H411" s="11" t="s">
        <v>58</v>
      </c>
      <c r="I411" s="32" t="n">
        <f aca="false">0</f>
        <v>0</v>
      </c>
      <c r="J411" s="11" t="s">
        <v>576</v>
      </c>
      <c r="K411" s="32" t="str">
        <f aca="false">IF(I411=1,"ACCEPTED","OPEN")</f>
        <v>OPEN</v>
      </c>
    </row>
    <row r="412" customFormat="false" ht="15" hidden="false" customHeight="false" outlineLevel="0" collapsed="false">
      <c r="A412" s="19" t="str">
        <f aca="false">"PKT-"&amp;B412&amp;"-CONFIGURATION"</f>
        <v>PKT-RIG-RT-CHA-CONFIGURATION</v>
      </c>
      <c r="B412" s="19" t="str">
        <f aca="false">'Object Crosswalk'!A88</f>
        <v>RIG-RT-CHA</v>
      </c>
      <c r="C412" s="19" t="str">
        <f aca="false">'Object Crosswalk'!B88</f>
        <v>Root-native rig</v>
      </c>
      <c r="D412" s="19" t="str">
        <f aca="false">'Object Crosswalk'!D88</f>
        <v>MS-RT</v>
      </c>
      <c r="E412" s="19" t="str">
        <f aca="false">'Object Crosswalk'!E88</f>
        <v>RT-B</v>
      </c>
      <c r="F412" s="19" t="str">
        <f aca="false">'Object Crosswalk'!F88</f>
        <v>CHALLENGE</v>
      </c>
      <c r="G412" s="9" t="s">
        <v>728</v>
      </c>
      <c r="H412" s="11" t="s">
        <v>58</v>
      </c>
      <c r="I412" s="32" t="n">
        <f aca="false">0</f>
        <v>0</v>
      </c>
      <c r="J412" s="11" t="s">
        <v>576</v>
      </c>
      <c r="K412" s="32" t="str">
        <f aca="false">IF(I412=1,"ACCEPTED","OPEN")</f>
        <v>OPEN</v>
      </c>
    </row>
    <row r="413" customFormat="false" ht="15" hidden="false" customHeight="false" outlineLevel="0" collapsed="false">
      <c r="A413" s="19" t="str">
        <f aca="false">"PKT-"&amp;B413&amp;"-CONTROL"</f>
        <v>PKT-RIG-RT-CHA-CONTROL</v>
      </c>
      <c r="B413" s="19" t="str">
        <f aca="false">'Object Crosswalk'!A88</f>
        <v>RIG-RT-CHA</v>
      </c>
      <c r="C413" s="19" t="str">
        <f aca="false">'Object Crosswalk'!B88</f>
        <v>Root-native rig</v>
      </c>
      <c r="D413" s="19" t="str">
        <f aca="false">'Object Crosswalk'!D88</f>
        <v>MS-RT</v>
      </c>
      <c r="E413" s="19" t="str">
        <f aca="false">'Object Crosswalk'!E88</f>
        <v>RT-B</v>
      </c>
      <c r="F413" s="19" t="str">
        <f aca="false">'Object Crosswalk'!F88</f>
        <v>CHALLENGE</v>
      </c>
      <c r="G413" s="9" t="s">
        <v>333</v>
      </c>
      <c r="H413" s="11" t="s">
        <v>58</v>
      </c>
      <c r="I413" s="32" t="n">
        <f aca="false">0</f>
        <v>0</v>
      </c>
      <c r="J413" s="11" t="s">
        <v>576</v>
      </c>
      <c r="K413" s="32" t="str">
        <f aca="false">IF(I413=1,"ACCEPTED","OPEN")</f>
        <v>OPEN</v>
      </c>
    </row>
    <row r="414" customFormat="false" ht="15" hidden="false" customHeight="false" outlineLevel="0" collapsed="false">
      <c r="A414" s="19" t="str">
        <f aca="false">"PKT-"&amp;B414&amp;"-METROLOGY"</f>
        <v>PKT-RIG-RT-CHA-METROLOGY</v>
      </c>
      <c r="B414" s="19" t="str">
        <f aca="false">'Object Crosswalk'!A88</f>
        <v>RIG-RT-CHA</v>
      </c>
      <c r="C414" s="19" t="str">
        <f aca="false">'Object Crosswalk'!B88</f>
        <v>Root-native rig</v>
      </c>
      <c r="D414" s="19" t="str">
        <f aca="false">'Object Crosswalk'!D88</f>
        <v>MS-RT</v>
      </c>
      <c r="E414" s="19" t="str">
        <f aca="false">'Object Crosswalk'!E88</f>
        <v>RT-B</v>
      </c>
      <c r="F414" s="19" t="str">
        <f aca="false">'Object Crosswalk'!F88</f>
        <v>CHALLENGE</v>
      </c>
      <c r="G414" s="9" t="s">
        <v>729</v>
      </c>
      <c r="H414" s="11" t="s">
        <v>58</v>
      </c>
      <c r="I414" s="32" t="n">
        <f aca="false">0</f>
        <v>0</v>
      </c>
      <c r="J414" s="11" t="s">
        <v>576</v>
      </c>
      <c r="K414" s="32" t="str">
        <f aca="false">IF(I414=1,"ACCEPTED","OPEN")</f>
        <v>OPEN</v>
      </c>
    </row>
    <row r="415" customFormat="false" ht="15" hidden="false" customHeight="false" outlineLevel="0" collapsed="false">
      <c r="A415" s="19" t="str">
        <f aca="false">"PKT-"&amp;B415&amp;"-SAFETY"</f>
        <v>PKT-RIG-RT-CHA-SAFETY</v>
      </c>
      <c r="B415" s="19" t="str">
        <f aca="false">'Object Crosswalk'!A88</f>
        <v>RIG-RT-CHA</v>
      </c>
      <c r="C415" s="19" t="str">
        <f aca="false">'Object Crosswalk'!B88</f>
        <v>Root-native rig</v>
      </c>
      <c r="D415" s="19" t="str">
        <f aca="false">'Object Crosswalk'!D88</f>
        <v>MS-RT</v>
      </c>
      <c r="E415" s="19" t="str">
        <f aca="false">'Object Crosswalk'!E88</f>
        <v>RT-B</v>
      </c>
      <c r="F415" s="19" t="str">
        <f aca="false">'Object Crosswalk'!F88</f>
        <v>CHALLENGE</v>
      </c>
      <c r="G415" s="9" t="s">
        <v>730</v>
      </c>
      <c r="H415" s="11" t="s">
        <v>58</v>
      </c>
      <c r="I415" s="32" t="n">
        <f aca="false">0</f>
        <v>0</v>
      </c>
      <c r="J415" s="11" t="s">
        <v>576</v>
      </c>
      <c r="K415" s="32" t="str">
        <f aca="false">IF(I415=1,"ACCEPTED","OPEN")</f>
        <v>OPEN</v>
      </c>
    </row>
    <row r="416" customFormat="false" ht="15" hidden="false" customHeight="false" outlineLevel="0" collapsed="false">
      <c r="A416" s="19" t="str">
        <f aca="false">"PKT-"&amp;B416&amp;"-RECONSTRUCTION"</f>
        <v>PKT-RIG-RT-CHA-RECONSTRUCTION</v>
      </c>
      <c r="B416" s="19" t="str">
        <f aca="false">'Object Crosswalk'!A88</f>
        <v>RIG-RT-CHA</v>
      </c>
      <c r="C416" s="19" t="str">
        <f aca="false">'Object Crosswalk'!B88</f>
        <v>Root-native rig</v>
      </c>
      <c r="D416" s="19" t="str">
        <f aca="false">'Object Crosswalk'!D88</f>
        <v>MS-RT</v>
      </c>
      <c r="E416" s="19" t="str">
        <f aca="false">'Object Crosswalk'!E88</f>
        <v>RT-B</v>
      </c>
      <c r="F416" s="19" t="str">
        <f aca="false">'Object Crosswalk'!F88</f>
        <v>CHALLENGE</v>
      </c>
      <c r="G416" s="9" t="s">
        <v>341</v>
      </c>
      <c r="H416" s="11" t="s">
        <v>58</v>
      </c>
      <c r="I416" s="32" t="n">
        <f aca="false">0</f>
        <v>0</v>
      </c>
      <c r="J416" s="11" t="s">
        <v>576</v>
      </c>
      <c r="K416" s="32" t="str">
        <f aca="false">IF(I416=1,"ACCEPTED","OPEN")</f>
        <v>OPEN</v>
      </c>
    </row>
    <row r="417" customFormat="false" ht="15" hidden="false" customHeight="false" outlineLevel="0" collapsed="false">
      <c r="A417" s="19" t="str">
        <f aca="false">"PKT-"&amp;B417&amp;"-CONFIGURATION"</f>
        <v>PKT-MTH-RT-CHA-L1-CONFIGURATION</v>
      </c>
      <c r="B417" s="19" t="str">
        <f aca="false">'Object Crosswalk'!A89</f>
        <v>MTH-RT-CHA-L1</v>
      </c>
      <c r="C417" s="19" t="str">
        <f aca="false">'Object Crosswalk'!B89</f>
        <v>Method lineage</v>
      </c>
      <c r="D417" s="19" t="str">
        <f aca="false">'Object Crosswalk'!D89</f>
        <v>MS-RT</v>
      </c>
      <c r="E417" s="19" t="str">
        <f aca="false">'Object Crosswalk'!E89</f>
        <v>RT-B</v>
      </c>
      <c r="F417" s="19" t="str">
        <f aca="false">'Object Crosswalk'!F89</f>
        <v>CHALLENGE</v>
      </c>
      <c r="G417" s="9" t="s">
        <v>728</v>
      </c>
      <c r="H417" s="11" t="s">
        <v>58</v>
      </c>
      <c r="I417" s="32" t="n">
        <f aca="false">0</f>
        <v>0</v>
      </c>
      <c r="J417" s="11" t="s">
        <v>576</v>
      </c>
      <c r="K417" s="32" t="str">
        <f aca="false">IF(I417=1,"ACCEPTED","OPEN")</f>
        <v>OPEN</v>
      </c>
    </row>
    <row r="418" customFormat="false" ht="15" hidden="false" customHeight="false" outlineLevel="0" collapsed="false">
      <c r="A418" s="19" t="str">
        <f aca="false">"PKT-"&amp;B418&amp;"-CONTROL"</f>
        <v>PKT-MTH-RT-CHA-L1-CONTROL</v>
      </c>
      <c r="B418" s="19" t="str">
        <f aca="false">'Object Crosswalk'!A89</f>
        <v>MTH-RT-CHA-L1</v>
      </c>
      <c r="C418" s="19" t="str">
        <f aca="false">'Object Crosswalk'!B89</f>
        <v>Method lineage</v>
      </c>
      <c r="D418" s="19" t="str">
        <f aca="false">'Object Crosswalk'!D89</f>
        <v>MS-RT</v>
      </c>
      <c r="E418" s="19" t="str">
        <f aca="false">'Object Crosswalk'!E89</f>
        <v>RT-B</v>
      </c>
      <c r="F418" s="19" t="str">
        <f aca="false">'Object Crosswalk'!F89</f>
        <v>CHALLENGE</v>
      </c>
      <c r="G418" s="9" t="s">
        <v>333</v>
      </c>
      <c r="H418" s="11" t="s">
        <v>58</v>
      </c>
      <c r="I418" s="32" t="n">
        <f aca="false">0</f>
        <v>0</v>
      </c>
      <c r="J418" s="11" t="s">
        <v>576</v>
      </c>
      <c r="K418" s="32" t="str">
        <f aca="false">IF(I418=1,"ACCEPTED","OPEN")</f>
        <v>OPEN</v>
      </c>
    </row>
    <row r="419" customFormat="false" ht="15" hidden="false" customHeight="false" outlineLevel="0" collapsed="false">
      <c r="A419" s="19" t="str">
        <f aca="false">"PKT-"&amp;B419&amp;"-METROLOGY"</f>
        <v>PKT-MTH-RT-CHA-L1-METROLOGY</v>
      </c>
      <c r="B419" s="19" t="str">
        <f aca="false">'Object Crosswalk'!A89</f>
        <v>MTH-RT-CHA-L1</v>
      </c>
      <c r="C419" s="19" t="str">
        <f aca="false">'Object Crosswalk'!B89</f>
        <v>Method lineage</v>
      </c>
      <c r="D419" s="19" t="str">
        <f aca="false">'Object Crosswalk'!D89</f>
        <v>MS-RT</v>
      </c>
      <c r="E419" s="19" t="str">
        <f aca="false">'Object Crosswalk'!E89</f>
        <v>RT-B</v>
      </c>
      <c r="F419" s="19" t="str">
        <f aca="false">'Object Crosswalk'!F89</f>
        <v>CHALLENGE</v>
      </c>
      <c r="G419" s="9" t="s">
        <v>729</v>
      </c>
      <c r="H419" s="11" t="s">
        <v>58</v>
      </c>
      <c r="I419" s="32" t="n">
        <f aca="false">0</f>
        <v>0</v>
      </c>
      <c r="J419" s="11" t="s">
        <v>576</v>
      </c>
      <c r="K419" s="32" t="str">
        <f aca="false">IF(I419=1,"ACCEPTED","OPEN")</f>
        <v>OPEN</v>
      </c>
    </row>
    <row r="420" customFormat="false" ht="15" hidden="false" customHeight="false" outlineLevel="0" collapsed="false">
      <c r="A420" s="19" t="str">
        <f aca="false">"PKT-"&amp;B420&amp;"-SAFETY"</f>
        <v>PKT-MTH-RT-CHA-L1-SAFETY</v>
      </c>
      <c r="B420" s="19" t="str">
        <f aca="false">'Object Crosswalk'!A89</f>
        <v>MTH-RT-CHA-L1</v>
      </c>
      <c r="C420" s="19" t="str">
        <f aca="false">'Object Crosswalk'!B89</f>
        <v>Method lineage</v>
      </c>
      <c r="D420" s="19" t="str">
        <f aca="false">'Object Crosswalk'!D89</f>
        <v>MS-RT</v>
      </c>
      <c r="E420" s="19" t="str">
        <f aca="false">'Object Crosswalk'!E89</f>
        <v>RT-B</v>
      </c>
      <c r="F420" s="19" t="str">
        <f aca="false">'Object Crosswalk'!F89</f>
        <v>CHALLENGE</v>
      </c>
      <c r="G420" s="9" t="s">
        <v>730</v>
      </c>
      <c r="H420" s="11" t="s">
        <v>58</v>
      </c>
      <c r="I420" s="32" t="n">
        <f aca="false">0</f>
        <v>0</v>
      </c>
      <c r="J420" s="11" t="s">
        <v>576</v>
      </c>
      <c r="K420" s="32" t="str">
        <f aca="false">IF(I420=1,"ACCEPTED","OPEN")</f>
        <v>OPEN</v>
      </c>
    </row>
    <row r="421" customFormat="false" ht="15" hidden="false" customHeight="false" outlineLevel="0" collapsed="false">
      <c r="A421" s="19" t="str">
        <f aca="false">"PKT-"&amp;B421&amp;"-RECONSTRUCTION"</f>
        <v>PKT-MTH-RT-CHA-L1-RECONSTRUCTION</v>
      </c>
      <c r="B421" s="19" t="str">
        <f aca="false">'Object Crosswalk'!A89</f>
        <v>MTH-RT-CHA-L1</v>
      </c>
      <c r="C421" s="19" t="str">
        <f aca="false">'Object Crosswalk'!B89</f>
        <v>Method lineage</v>
      </c>
      <c r="D421" s="19" t="str">
        <f aca="false">'Object Crosswalk'!D89</f>
        <v>MS-RT</v>
      </c>
      <c r="E421" s="19" t="str">
        <f aca="false">'Object Crosswalk'!E89</f>
        <v>RT-B</v>
      </c>
      <c r="F421" s="19" t="str">
        <f aca="false">'Object Crosswalk'!F89</f>
        <v>CHALLENGE</v>
      </c>
      <c r="G421" s="9" t="s">
        <v>341</v>
      </c>
      <c r="H421" s="11" t="s">
        <v>58</v>
      </c>
      <c r="I421" s="32" t="n">
        <f aca="false">0</f>
        <v>0</v>
      </c>
      <c r="J421" s="11" t="s">
        <v>576</v>
      </c>
      <c r="K421" s="32" t="str">
        <f aca="false">IF(I421=1,"ACCEPTED","OPEN")</f>
        <v>OPEN</v>
      </c>
    </row>
    <row r="422" customFormat="false" ht="15" hidden="false" customHeight="false" outlineLevel="0" collapsed="false">
      <c r="A422" s="19" t="str">
        <f aca="false">"PKT-"&amp;B422&amp;"-CONFIGURATION"</f>
        <v>PKT-MTH-RT-CHA-L2-CONFIGURATION</v>
      </c>
      <c r="B422" s="19" t="str">
        <f aca="false">'Object Crosswalk'!A90</f>
        <v>MTH-RT-CHA-L2</v>
      </c>
      <c r="C422" s="19" t="str">
        <f aca="false">'Object Crosswalk'!B90</f>
        <v>Method lineage</v>
      </c>
      <c r="D422" s="19" t="str">
        <f aca="false">'Object Crosswalk'!D90</f>
        <v>MS-RT</v>
      </c>
      <c r="E422" s="19" t="str">
        <f aca="false">'Object Crosswalk'!E90</f>
        <v>RT-B</v>
      </c>
      <c r="F422" s="19" t="str">
        <f aca="false">'Object Crosswalk'!F90</f>
        <v>CHALLENGE</v>
      </c>
      <c r="G422" s="9" t="s">
        <v>728</v>
      </c>
      <c r="H422" s="11" t="s">
        <v>58</v>
      </c>
      <c r="I422" s="32" t="n">
        <f aca="false">0</f>
        <v>0</v>
      </c>
      <c r="J422" s="11" t="s">
        <v>576</v>
      </c>
      <c r="K422" s="32" t="str">
        <f aca="false">IF(I422=1,"ACCEPTED","OPEN")</f>
        <v>OPEN</v>
      </c>
    </row>
    <row r="423" customFormat="false" ht="15" hidden="false" customHeight="false" outlineLevel="0" collapsed="false">
      <c r="A423" s="19" t="str">
        <f aca="false">"PKT-"&amp;B423&amp;"-CONTROL"</f>
        <v>PKT-MTH-RT-CHA-L2-CONTROL</v>
      </c>
      <c r="B423" s="19" t="str">
        <f aca="false">'Object Crosswalk'!A90</f>
        <v>MTH-RT-CHA-L2</v>
      </c>
      <c r="C423" s="19" t="str">
        <f aca="false">'Object Crosswalk'!B90</f>
        <v>Method lineage</v>
      </c>
      <c r="D423" s="19" t="str">
        <f aca="false">'Object Crosswalk'!D90</f>
        <v>MS-RT</v>
      </c>
      <c r="E423" s="19" t="str">
        <f aca="false">'Object Crosswalk'!E90</f>
        <v>RT-B</v>
      </c>
      <c r="F423" s="19" t="str">
        <f aca="false">'Object Crosswalk'!F90</f>
        <v>CHALLENGE</v>
      </c>
      <c r="G423" s="9" t="s">
        <v>333</v>
      </c>
      <c r="H423" s="11" t="s">
        <v>58</v>
      </c>
      <c r="I423" s="32" t="n">
        <f aca="false">0</f>
        <v>0</v>
      </c>
      <c r="J423" s="11" t="s">
        <v>576</v>
      </c>
      <c r="K423" s="32" t="str">
        <f aca="false">IF(I423=1,"ACCEPTED","OPEN")</f>
        <v>OPEN</v>
      </c>
    </row>
    <row r="424" customFormat="false" ht="15" hidden="false" customHeight="false" outlineLevel="0" collapsed="false">
      <c r="A424" s="19" t="str">
        <f aca="false">"PKT-"&amp;B424&amp;"-METROLOGY"</f>
        <v>PKT-MTH-RT-CHA-L2-METROLOGY</v>
      </c>
      <c r="B424" s="19" t="str">
        <f aca="false">'Object Crosswalk'!A90</f>
        <v>MTH-RT-CHA-L2</v>
      </c>
      <c r="C424" s="19" t="str">
        <f aca="false">'Object Crosswalk'!B90</f>
        <v>Method lineage</v>
      </c>
      <c r="D424" s="19" t="str">
        <f aca="false">'Object Crosswalk'!D90</f>
        <v>MS-RT</v>
      </c>
      <c r="E424" s="19" t="str">
        <f aca="false">'Object Crosswalk'!E90</f>
        <v>RT-B</v>
      </c>
      <c r="F424" s="19" t="str">
        <f aca="false">'Object Crosswalk'!F90</f>
        <v>CHALLENGE</v>
      </c>
      <c r="G424" s="9" t="s">
        <v>729</v>
      </c>
      <c r="H424" s="11" t="s">
        <v>58</v>
      </c>
      <c r="I424" s="32" t="n">
        <f aca="false">0</f>
        <v>0</v>
      </c>
      <c r="J424" s="11" t="s">
        <v>576</v>
      </c>
      <c r="K424" s="32" t="str">
        <f aca="false">IF(I424=1,"ACCEPTED","OPEN")</f>
        <v>OPEN</v>
      </c>
    </row>
    <row r="425" customFormat="false" ht="15" hidden="false" customHeight="false" outlineLevel="0" collapsed="false">
      <c r="A425" s="19" t="str">
        <f aca="false">"PKT-"&amp;B425&amp;"-SAFETY"</f>
        <v>PKT-MTH-RT-CHA-L2-SAFETY</v>
      </c>
      <c r="B425" s="19" t="str">
        <f aca="false">'Object Crosswalk'!A90</f>
        <v>MTH-RT-CHA-L2</v>
      </c>
      <c r="C425" s="19" t="str">
        <f aca="false">'Object Crosswalk'!B90</f>
        <v>Method lineage</v>
      </c>
      <c r="D425" s="19" t="str">
        <f aca="false">'Object Crosswalk'!D90</f>
        <v>MS-RT</v>
      </c>
      <c r="E425" s="19" t="str">
        <f aca="false">'Object Crosswalk'!E90</f>
        <v>RT-B</v>
      </c>
      <c r="F425" s="19" t="str">
        <f aca="false">'Object Crosswalk'!F90</f>
        <v>CHALLENGE</v>
      </c>
      <c r="G425" s="9" t="s">
        <v>730</v>
      </c>
      <c r="H425" s="11" t="s">
        <v>58</v>
      </c>
      <c r="I425" s="32" t="n">
        <f aca="false">0</f>
        <v>0</v>
      </c>
      <c r="J425" s="11" t="s">
        <v>576</v>
      </c>
      <c r="K425" s="32" t="str">
        <f aca="false">IF(I425=1,"ACCEPTED","OPEN")</f>
        <v>OPEN</v>
      </c>
    </row>
    <row r="426" customFormat="false" ht="15" hidden="false" customHeight="false" outlineLevel="0" collapsed="false">
      <c r="A426" s="19" t="str">
        <f aca="false">"PKT-"&amp;B426&amp;"-RECONSTRUCTION"</f>
        <v>PKT-MTH-RT-CHA-L2-RECONSTRUCTION</v>
      </c>
      <c r="B426" s="19" t="str">
        <f aca="false">'Object Crosswalk'!A90</f>
        <v>MTH-RT-CHA-L2</v>
      </c>
      <c r="C426" s="19" t="str">
        <f aca="false">'Object Crosswalk'!B90</f>
        <v>Method lineage</v>
      </c>
      <c r="D426" s="19" t="str">
        <f aca="false">'Object Crosswalk'!D90</f>
        <v>MS-RT</v>
      </c>
      <c r="E426" s="19" t="str">
        <f aca="false">'Object Crosswalk'!E90</f>
        <v>RT-B</v>
      </c>
      <c r="F426" s="19" t="str">
        <f aca="false">'Object Crosswalk'!F90</f>
        <v>CHALLENGE</v>
      </c>
      <c r="G426" s="9" t="s">
        <v>341</v>
      </c>
      <c r="H426" s="11" t="s">
        <v>58</v>
      </c>
      <c r="I426" s="32" t="n">
        <f aca="false">0</f>
        <v>0</v>
      </c>
      <c r="J426" s="11" t="s">
        <v>576</v>
      </c>
      <c r="K426" s="32" t="str">
        <f aca="false">IF(I426=1,"ACCEPTED","OPEN")</f>
        <v>OPEN</v>
      </c>
    </row>
    <row r="427" customFormat="false" ht="15" hidden="false" customHeight="false" outlineLevel="0" collapsed="false">
      <c r="A427" s="19" t="str">
        <f aca="false">"PKT-"&amp;B427&amp;"-CONFIGURATION"</f>
        <v>PKT-REG-RT-CHA-CONFIGURATION</v>
      </c>
      <c r="B427" s="19" t="str">
        <f aca="false">'Object Crosswalk'!A91</f>
        <v>REG-RT-CHA</v>
      </c>
      <c r="C427" s="19" t="str">
        <f aca="false">'Object Crosswalk'!B91</f>
        <v>Regeneration tool</v>
      </c>
      <c r="D427" s="19" t="str">
        <f aca="false">'Object Crosswalk'!D91</f>
        <v>MS-RT</v>
      </c>
      <c r="E427" s="19" t="str">
        <f aca="false">'Object Crosswalk'!E91</f>
        <v>RT-B</v>
      </c>
      <c r="F427" s="19" t="str">
        <f aca="false">'Object Crosswalk'!F91</f>
        <v>CHALLENGE</v>
      </c>
      <c r="G427" s="9" t="s">
        <v>728</v>
      </c>
      <c r="H427" s="11" t="s">
        <v>58</v>
      </c>
      <c r="I427" s="32" t="n">
        <f aca="false">0</f>
        <v>0</v>
      </c>
      <c r="J427" s="11" t="s">
        <v>576</v>
      </c>
      <c r="K427" s="32" t="str">
        <f aca="false">IF(I427=1,"ACCEPTED","OPEN")</f>
        <v>OPEN</v>
      </c>
    </row>
    <row r="428" customFormat="false" ht="15" hidden="false" customHeight="false" outlineLevel="0" collapsed="false">
      <c r="A428" s="19" t="str">
        <f aca="false">"PKT-"&amp;B428&amp;"-CONTROL"</f>
        <v>PKT-REG-RT-CHA-CONTROL</v>
      </c>
      <c r="B428" s="19" t="str">
        <f aca="false">'Object Crosswalk'!A91</f>
        <v>REG-RT-CHA</v>
      </c>
      <c r="C428" s="19" t="str">
        <f aca="false">'Object Crosswalk'!B91</f>
        <v>Regeneration tool</v>
      </c>
      <c r="D428" s="19" t="str">
        <f aca="false">'Object Crosswalk'!D91</f>
        <v>MS-RT</v>
      </c>
      <c r="E428" s="19" t="str">
        <f aca="false">'Object Crosswalk'!E91</f>
        <v>RT-B</v>
      </c>
      <c r="F428" s="19" t="str">
        <f aca="false">'Object Crosswalk'!F91</f>
        <v>CHALLENGE</v>
      </c>
      <c r="G428" s="9" t="s">
        <v>333</v>
      </c>
      <c r="H428" s="11" t="s">
        <v>58</v>
      </c>
      <c r="I428" s="32" t="n">
        <f aca="false">0</f>
        <v>0</v>
      </c>
      <c r="J428" s="11" t="s">
        <v>576</v>
      </c>
      <c r="K428" s="32" t="str">
        <f aca="false">IF(I428=1,"ACCEPTED","OPEN")</f>
        <v>OPEN</v>
      </c>
    </row>
    <row r="429" customFormat="false" ht="15" hidden="false" customHeight="false" outlineLevel="0" collapsed="false">
      <c r="A429" s="19" t="str">
        <f aca="false">"PKT-"&amp;B429&amp;"-METROLOGY"</f>
        <v>PKT-REG-RT-CHA-METROLOGY</v>
      </c>
      <c r="B429" s="19" t="str">
        <f aca="false">'Object Crosswalk'!A91</f>
        <v>REG-RT-CHA</v>
      </c>
      <c r="C429" s="19" t="str">
        <f aca="false">'Object Crosswalk'!B91</f>
        <v>Regeneration tool</v>
      </c>
      <c r="D429" s="19" t="str">
        <f aca="false">'Object Crosswalk'!D91</f>
        <v>MS-RT</v>
      </c>
      <c r="E429" s="19" t="str">
        <f aca="false">'Object Crosswalk'!E91</f>
        <v>RT-B</v>
      </c>
      <c r="F429" s="19" t="str">
        <f aca="false">'Object Crosswalk'!F91</f>
        <v>CHALLENGE</v>
      </c>
      <c r="G429" s="9" t="s">
        <v>729</v>
      </c>
      <c r="H429" s="11" t="s">
        <v>58</v>
      </c>
      <c r="I429" s="32" t="n">
        <f aca="false">0</f>
        <v>0</v>
      </c>
      <c r="J429" s="11" t="s">
        <v>576</v>
      </c>
      <c r="K429" s="32" t="str">
        <f aca="false">IF(I429=1,"ACCEPTED","OPEN")</f>
        <v>OPEN</v>
      </c>
    </row>
    <row r="430" customFormat="false" ht="15" hidden="false" customHeight="false" outlineLevel="0" collapsed="false">
      <c r="A430" s="19" t="str">
        <f aca="false">"PKT-"&amp;B430&amp;"-SAFETY"</f>
        <v>PKT-REG-RT-CHA-SAFETY</v>
      </c>
      <c r="B430" s="19" t="str">
        <f aca="false">'Object Crosswalk'!A91</f>
        <v>REG-RT-CHA</v>
      </c>
      <c r="C430" s="19" t="str">
        <f aca="false">'Object Crosswalk'!B91</f>
        <v>Regeneration tool</v>
      </c>
      <c r="D430" s="19" t="str">
        <f aca="false">'Object Crosswalk'!D91</f>
        <v>MS-RT</v>
      </c>
      <c r="E430" s="19" t="str">
        <f aca="false">'Object Crosswalk'!E91</f>
        <v>RT-B</v>
      </c>
      <c r="F430" s="19" t="str">
        <f aca="false">'Object Crosswalk'!F91</f>
        <v>CHALLENGE</v>
      </c>
      <c r="G430" s="9" t="s">
        <v>730</v>
      </c>
      <c r="H430" s="11" t="s">
        <v>58</v>
      </c>
      <c r="I430" s="32" t="n">
        <f aca="false">0</f>
        <v>0</v>
      </c>
      <c r="J430" s="11" t="s">
        <v>576</v>
      </c>
      <c r="K430" s="32" t="str">
        <f aca="false">IF(I430=1,"ACCEPTED","OPEN")</f>
        <v>OPEN</v>
      </c>
    </row>
    <row r="431" customFormat="false" ht="15" hidden="false" customHeight="false" outlineLevel="0" collapsed="false">
      <c r="A431" s="19" t="str">
        <f aca="false">"PKT-"&amp;B431&amp;"-RECONSTRUCTION"</f>
        <v>PKT-REG-RT-CHA-RECONSTRUCTION</v>
      </c>
      <c r="B431" s="19" t="str">
        <f aca="false">'Object Crosswalk'!A91</f>
        <v>REG-RT-CHA</v>
      </c>
      <c r="C431" s="19" t="str">
        <f aca="false">'Object Crosswalk'!B91</f>
        <v>Regeneration tool</v>
      </c>
      <c r="D431" s="19" t="str">
        <f aca="false">'Object Crosswalk'!D91</f>
        <v>MS-RT</v>
      </c>
      <c r="E431" s="19" t="str">
        <f aca="false">'Object Crosswalk'!E91</f>
        <v>RT-B</v>
      </c>
      <c r="F431" s="19" t="str">
        <f aca="false">'Object Crosswalk'!F91</f>
        <v>CHALLENGE</v>
      </c>
      <c r="G431" s="9" t="s">
        <v>341</v>
      </c>
      <c r="H431" s="11" t="s">
        <v>58</v>
      </c>
      <c r="I431" s="32" t="n">
        <f aca="false">0</f>
        <v>0</v>
      </c>
      <c r="J431" s="11" t="s">
        <v>576</v>
      </c>
      <c r="K431" s="32" t="str">
        <f aca="false">IF(I431=1,"ACCEPTED","OPEN")</f>
        <v>OPEN</v>
      </c>
    </row>
    <row r="432" customFormat="false" ht="15" hidden="false" customHeight="false" outlineLevel="0" collapsed="false">
      <c r="A432" s="19" t="str">
        <f aca="false">"PKT-"&amp;B432&amp;"-CONFIGURATION"</f>
        <v>PKT-INT-RT-CHA-CONFIGURATION</v>
      </c>
      <c r="B432" s="19" t="str">
        <f aca="false">'Object Crosswalk'!A92</f>
        <v>INT-RT-CHA</v>
      </c>
      <c r="C432" s="19" t="str">
        <f aca="false">'Object Crosswalk'!B92</f>
        <v>Station integration</v>
      </c>
      <c r="D432" s="19" t="str">
        <f aca="false">'Object Crosswalk'!D92</f>
        <v>MS-RT</v>
      </c>
      <c r="E432" s="19" t="str">
        <f aca="false">'Object Crosswalk'!E92</f>
        <v>RT-B</v>
      </c>
      <c r="F432" s="19" t="str">
        <f aca="false">'Object Crosswalk'!F92</f>
        <v>CHALLENGE</v>
      </c>
      <c r="G432" s="9" t="s">
        <v>728</v>
      </c>
      <c r="H432" s="11" t="s">
        <v>58</v>
      </c>
      <c r="I432" s="32" t="n">
        <f aca="false">0</f>
        <v>0</v>
      </c>
      <c r="J432" s="11" t="s">
        <v>576</v>
      </c>
      <c r="K432" s="32" t="str">
        <f aca="false">IF(I432=1,"ACCEPTED","OPEN")</f>
        <v>OPEN</v>
      </c>
    </row>
    <row r="433" customFormat="false" ht="15" hidden="false" customHeight="false" outlineLevel="0" collapsed="false">
      <c r="A433" s="19" t="str">
        <f aca="false">"PKT-"&amp;B433&amp;"-CONTROL"</f>
        <v>PKT-INT-RT-CHA-CONTROL</v>
      </c>
      <c r="B433" s="19" t="str">
        <f aca="false">'Object Crosswalk'!A92</f>
        <v>INT-RT-CHA</v>
      </c>
      <c r="C433" s="19" t="str">
        <f aca="false">'Object Crosswalk'!B92</f>
        <v>Station integration</v>
      </c>
      <c r="D433" s="19" t="str">
        <f aca="false">'Object Crosswalk'!D92</f>
        <v>MS-RT</v>
      </c>
      <c r="E433" s="19" t="str">
        <f aca="false">'Object Crosswalk'!E92</f>
        <v>RT-B</v>
      </c>
      <c r="F433" s="19" t="str">
        <f aca="false">'Object Crosswalk'!F92</f>
        <v>CHALLENGE</v>
      </c>
      <c r="G433" s="9" t="s">
        <v>333</v>
      </c>
      <c r="H433" s="11" t="s">
        <v>58</v>
      </c>
      <c r="I433" s="32" t="n">
        <f aca="false">0</f>
        <v>0</v>
      </c>
      <c r="J433" s="11" t="s">
        <v>576</v>
      </c>
      <c r="K433" s="32" t="str">
        <f aca="false">IF(I433=1,"ACCEPTED","OPEN")</f>
        <v>OPEN</v>
      </c>
    </row>
    <row r="434" customFormat="false" ht="15" hidden="false" customHeight="false" outlineLevel="0" collapsed="false">
      <c r="A434" s="19" t="str">
        <f aca="false">"PKT-"&amp;B434&amp;"-METROLOGY"</f>
        <v>PKT-INT-RT-CHA-METROLOGY</v>
      </c>
      <c r="B434" s="19" t="str">
        <f aca="false">'Object Crosswalk'!A92</f>
        <v>INT-RT-CHA</v>
      </c>
      <c r="C434" s="19" t="str">
        <f aca="false">'Object Crosswalk'!B92</f>
        <v>Station integration</v>
      </c>
      <c r="D434" s="19" t="str">
        <f aca="false">'Object Crosswalk'!D92</f>
        <v>MS-RT</v>
      </c>
      <c r="E434" s="19" t="str">
        <f aca="false">'Object Crosswalk'!E92</f>
        <v>RT-B</v>
      </c>
      <c r="F434" s="19" t="str">
        <f aca="false">'Object Crosswalk'!F92</f>
        <v>CHALLENGE</v>
      </c>
      <c r="G434" s="9" t="s">
        <v>729</v>
      </c>
      <c r="H434" s="11" t="s">
        <v>58</v>
      </c>
      <c r="I434" s="32" t="n">
        <f aca="false">0</f>
        <v>0</v>
      </c>
      <c r="J434" s="11" t="s">
        <v>576</v>
      </c>
      <c r="K434" s="32" t="str">
        <f aca="false">IF(I434=1,"ACCEPTED","OPEN")</f>
        <v>OPEN</v>
      </c>
    </row>
    <row r="435" customFormat="false" ht="15" hidden="false" customHeight="false" outlineLevel="0" collapsed="false">
      <c r="A435" s="19" t="str">
        <f aca="false">"PKT-"&amp;B435&amp;"-SAFETY"</f>
        <v>PKT-INT-RT-CHA-SAFETY</v>
      </c>
      <c r="B435" s="19" t="str">
        <f aca="false">'Object Crosswalk'!A92</f>
        <v>INT-RT-CHA</v>
      </c>
      <c r="C435" s="19" t="str">
        <f aca="false">'Object Crosswalk'!B92</f>
        <v>Station integration</v>
      </c>
      <c r="D435" s="19" t="str">
        <f aca="false">'Object Crosswalk'!D92</f>
        <v>MS-RT</v>
      </c>
      <c r="E435" s="19" t="str">
        <f aca="false">'Object Crosswalk'!E92</f>
        <v>RT-B</v>
      </c>
      <c r="F435" s="19" t="str">
        <f aca="false">'Object Crosswalk'!F92</f>
        <v>CHALLENGE</v>
      </c>
      <c r="G435" s="9" t="s">
        <v>730</v>
      </c>
      <c r="H435" s="11" t="s">
        <v>58</v>
      </c>
      <c r="I435" s="32" t="n">
        <f aca="false">0</f>
        <v>0</v>
      </c>
      <c r="J435" s="11" t="s">
        <v>576</v>
      </c>
      <c r="K435" s="32" t="str">
        <f aca="false">IF(I435=1,"ACCEPTED","OPEN")</f>
        <v>OPEN</v>
      </c>
    </row>
    <row r="436" customFormat="false" ht="15" hidden="false" customHeight="false" outlineLevel="0" collapsed="false">
      <c r="A436" s="19" t="str">
        <f aca="false">"PKT-"&amp;B436&amp;"-RECONSTRUCTION"</f>
        <v>PKT-INT-RT-CHA-RECONSTRUCTION</v>
      </c>
      <c r="B436" s="19" t="str">
        <f aca="false">'Object Crosswalk'!A92</f>
        <v>INT-RT-CHA</v>
      </c>
      <c r="C436" s="19" t="str">
        <f aca="false">'Object Crosswalk'!B92</f>
        <v>Station integration</v>
      </c>
      <c r="D436" s="19" t="str">
        <f aca="false">'Object Crosswalk'!D92</f>
        <v>MS-RT</v>
      </c>
      <c r="E436" s="19" t="str">
        <f aca="false">'Object Crosswalk'!E92</f>
        <v>RT-B</v>
      </c>
      <c r="F436" s="19" t="str">
        <f aca="false">'Object Crosswalk'!F92</f>
        <v>CHALLENGE</v>
      </c>
      <c r="G436" s="9" t="s">
        <v>341</v>
      </c>
      <c r="H436" s="11" t="s">
        <v>58</v>
      </c>
      <c r="I436" s="32" t="n">
        <f aca="false">0</f>
        <v>0</v>
      </c>
      <c r="J436" s="11" t="s">
        <v>576</v>
      </c>
      <c r="K436" s="32" t="str">
        <f aca="false">IF(I436=1,"ACCEPTED","OPEN")</f>
        <v>OPEN</v>
      </c>
    </row>
    <row r="437" customFormat="false" ht="15" hidden="false" customHeight="false" outlineLevel="0" collapsed="false">
      <c r="A437" s="19" t="str">
        <f aca="false">"PKT-"&amp;B437&amp;"-CONFIGURATION"</f>
        <v>PKT-RIG-RT-CON-CONFIGURATION</v>
      </c>
      <c r="B437" s="19" t="str">
        <f aca="false">'Object Crosswalk'!A93</f>
        <v>RIG-RT-CON</v>
      </c>
      <c r="C437" s="19" t="str">
        <f aca="false">'Object Crosswalk'!B93</f>
        <v>Root-native rig</v>
      </c>
      <c r="D437" s="19" t="str">
        <f aca="false">'Object Crosswalk'!D93</f>
        <v>MS-RT</v>
      </c>
      <c r="E437" s="19" t="str">
        <f aca="false">'Object Crosswalk'!E93</f>
        <v>RT-B</v>
      </c>
      <c r="F437" s="19" t="str">
        <f aca="false">'Object Crosswalk'!F93</f>
        <v>CONTROL</v>
      </c>
      <c r="G437" s="9" t="s">
        <v>728</v>
      </c>
      <c r="H437" s="11" t="s">
        <v>58</v>
      </c>
      <c r="I437" s="32" t="n">
        <f aca="false">0</f>
        <v>0</v>
      </c>
      <c r="J437" s="11" t="s">
        <v>576</v>
      </c>
      <c r="K437" s="32" t="str">
        <f aca="false">IF(I437=1,"ACCEPTED","OPEN")</f>
        <v>OPEN</v>
      </c>
    </row>
    <row r="438" customFormat="false" ht="15" hidden="false" customHeight="false" outlineLevel="0" collapsed="false">
      <c r="A438" s="19" t="str">
        <f aca="false">"PKT-"&amp;B438&amp;"-CONTROL"</f>
        <v>PKT-RIG-RT-CON-CONTROL</v>
      </c>
      <c r="B438" s="19" t="str">
        <f aca="false">'Object Crosswalk'!A93</f>
        <v>RIG-RT-CON</v>
      </c>
      <c r="C438" s="19" t="str">
        <f aca="false">'Object Crosswalk'!B93</f>
        <v>Root-native rig</v>
      </c>
      <c r="D438" s="19" t="str">
        <f aca="false">'Object Crosswalk'!D93</f>
        <v>MS-RT</v>
      </c>
      <c r="E438" s="19" t="str">
        <f aca="false">'Object Crosswalk'!E93</f>
        <v>RT-B</v>
      </c>
      <c r="F438" s="19" t="str">
        <f aca="false">'Object Crosswalk'!F93</f>
        <v>CONTROL</v>
      </c>
      <c r="G438" s="9" t="s">
        <v>333</v>
      </c>
      <c r="H438" s="11" t="s">
        <v>58</v>
      </c>
      <c r="I438" s="32" t="n">
        <f aca="false">0</f>
        <v>0</v>
      </c>
      <c r="J438" s="11" t="s">
        <v>576</v>
      </c>
      <c r="K438" s="32" t="str">
        <f aca="false">IF(I438=1,"ACCEPTED","OPEN")</f>
        <v>OPEN</v>
      </c>
    </row>
    <row r="439" customFormat="false" ht="15" hidden="false" customHeight="false" outlineLevel="0" collapsed="false">
      <c r="A439" s="19" t="str">
        <f aca="false">"PKT-"&amp;B439&amp;"-METROLOGY"</f>
        <v>PKT-RIG-RT-CON-METROLOGY</v>
      </c>
      <c r="B439" s="19" t="str">
        <f aca="false">'Object Crosswalk'!A93</f>
        <v>RIG-RT-CON</v>
      </c>
      <c r="C439" s="19" t="str">
        <f aca="false">'Object Crosswalk'!B93</f>
        <v>Root-native rig</v>
      </c>
      <c r="D439" s="19" t="str">
        <f aca="false">'Object Crosswalk'!D93</f>
        <v>MS-RT</v>
      </c>
      <c r="E439" s="19" t="str">
        <f aca="false">'Object Crosswalk'!E93</f>
        <v>RT-B</v>
      </c>
      <c r="F439" s="19" t="str">
        <f aca="false">'Object Crosswalk'!F93</f>
        <v>CONTROL</v>
      </c>
      <c r="G439" s="9" t="s">
        <v>729</v>
      </c>
      <c r="H439" s="11" t="s">
        <v>58</v>
      </c>
      <c r="I439" s="32" t="n">
        <f aca="false">0</f>
        <v>0</v>
      </c>
      <c r="J439" s="11" t="s">
        <v>576</v>
      </c>
      <c r="K439" s="32" t="str">
        <f aca="false">IF(I439=1,"ACCEPTED","OPEN")</f>
        <v>OPEN</v>
      </c>
    </row>
    <row r="440" customFormat="false" ht="15" hidden="false" customHeight="false" outlineLevel="0" collapsed="false">
      <c r="A440" s="19" t="str">
        <f aca="false">"PKT-"&amp;B440&amp;"-SAFETY"</f>
        <v>PKT-RIG-RT-CON-SAFETY</v>
      </c>
      <c r="B440" s="19" t="str">
        <f aca="false">'Object Crosswalk'!A93</f>
        <v>RIG-RT-CON</v>
      </c>
      <c r="C440" s="19" t="str">
        <f aca="false">'Object Crosswalk'!B93</f>
        <v>Root-native rig</v>
      </c>
      <c r="D440" s="19" t="str">
        <f aca="false">'Object Crosswalk'!D93</f>
        <v>MS-RT</v>
      </c>
      <c r="E440" s="19" t="str">
        <f aca="false">'Object Crosswalk'!E93</f>
        <v>RT-B</v>
      </c>
      <c r="F440" s="19" t="str">
        <f aca="false">'Object Crosswalk'!F93</f>
        <v>CONTROL</v>
      </c>
      <c r="G440" s="9" t="s">
        <v>730</v>
      </c>
      <c r="H440" s="11" t="s">
        <v>58</v>
      </c>
      <c r="I440" s="32" t="n">
        <f aca="false">0</f>
        <v>0</v>
      </c>
      <c r="J440" s="11" t="s">
        <v>576</v>
      </c>
      <c r="K440" s="32" t="str">
        <f aca="false">IF(I440=1,"ACCEPTED","OPEN")</f>
        <v>OPEN</v>
      </c>
    </row>
    <row r="441" customFormat="false" ht="15" hidden="false" customHeight="false" outlineLevel="0" collapsed="false">
      <c r="A441" s="19" t="str">
        <f aca="false">"PKT-"&amp;B441&amp;"-RECONSTRUCTION"</f>
        <v>PKT-RIG-RT-CON-RECONSTRUCTION</v>
      </c>
      <c r="B441" s="19" t="str">
        <f aca="false">'Object Crosswalk'!A93</f>
        <v>RIG-RT-CON</v>
      </c>
      <c r="C441" s="19" t="str">
        <f aca="false">'Object Crosswalk'!B93</f>
        <v>Root-native rig</v>
      </c>
      <c r="D441" s="19" t="str">
        <f aca="false">'Object Crosswalk'!D93</f>
        <v>MS-RT</v>
      </c>
      <c r="E441" s="19" t="str">
        <f aca="false">'Object Crosswalk'!E93</f>
        <v>RT-B</v>
      </c>
      <c r="F441" s="19" t="str">
        <f aca="false">'Object Crosswalk'!F93</f>
        <v>CONTROL</v>
      </c>
      <c r="G441" s="9" t="s">
        <v>341</v>
      </c>
      <c r="H441" s="11" t="s">
        <v>58</v>
      </c>
      <c r="I441" s="32" t="n">
        <f aca="false">0</f>
        <v>0</v>
      </c>
      <c r="J441" s="11" t="s">
        <v>576</v>
      </c>
      <c r="K441" s="32" t="str">
        <f aca="false">IF(I441=1,"ACCEPTED","OPEN")</f>
        <v>OPEN</v>
      </c>
    </row>
    <row r="442" customFormat="false" ht="15" hidden="false" customHeight="false" outlineLevel="0" collapsed="false">
      <c r="A442" s="19" t="str">
        <f aca="false">"PKT-"&amp;B442&amp;"-CONFIGURATION"</f>
        <v>PKT-MTH-RT-CON-L1-CONFIGURATION</v>
      </c>
      <c r="B442" s="19" t="str">
        <f aca="false">'Object Crosswalk'!A94</f>
        <v>MTH-RT-CON-L1</v>
      </c>
      <c r="C442" s="19" t="str">
        <f aca="false">'Object Crosswalk'!B94</f>
        <v>Method lineage</v>
      </c>
      <c r="D442" s="19" t="str">
        <f aca="false">'Object Crosswalk'!D94</f>
        <v>MS-RT</v>
      </c>
      <c r="E442" s="19" t="str">
        <f aca="false">'Object Crosswalk'!E94</f>
        <v>RT-B</v>
      </c>
      <c r="F442" s="19" t="str">
        <f aca="false">'Object Crosswalk'!F94</f>
        <v>CONTROL</v>
      </c>
      <c r="G442" s="9" t="s">
        <v>728</v>
      </c>
      <c r="H442" s="11" t="s">
        <v>58</v>
      </c>
      <c r="I442" s="32" t="n">
        <f aca="false">0</f>
        <v>0</v>
      </c>
      <c r="J442" s="11" t="s">
        <v>576</v>
      </c>
      <c r="K442" s="32" t="str">
        <f aca="false">IF(I442=1,"ACCEPTED","OPEN")</f>
        <v>OPEN</v>
      </c>
    </row>
    <row r="443" customFormat="false" ht="15" hidden="false" customHeight="false" outlineLevel="0" collapsed="false">
      <c r="A443" s="19" t="str">
        <f aca="false">"PKT-"&amp;B443&amp;"-CONTROL"</f>
        <v>PKT-MTH-RT-CON-L1-CONTROL</v>
      </c>
      <c r="B443" s="19" t="str">
        <f aca="false">'Object Crosswalk'!A94</f>
        <v>MTH-RT-CON-L1</v>
      </c>
      <c r="C443" s="19" t="str">
        <f aca="false">'Object Crosswalk'!B94</f>
        <v>Method lineage</v>
      </c>
      <c r="D443" s="19" t="str">
        <f aca="false">'Object Crosswalk'!D94</f>
        <v>MS-RT</v>
      </c>
      <c r="E443" s="19" t="str">
        <f aca="false">'Object Crosswalk'!E94</f>
        <v>RT-B</v>
      </c>
      <c r="F443" s="19" t="str">
        <f aca="false">'Object Crosswalk'!F94</f>
        <v>CONTROL</v>
      </c>
      <c r="G443" s="9" t="s">
        <v>333</v>
      </c>
      <c r="H443" s="11" t="s">
        <v>58</v>
      </c>
      <c r="I443" s="32" t="n">
        <f aca="false">0</f>
        <v>0</v>
      </c>
      <c r="J443" s="11" t="s">
        <v>576</v>
      </c>
      <c r="K443" s="32" t="str">
        <f aca="false">IF(I443=1,"ACCEPTED","OPEN")</f>
        <v>OPEN</v>
      </c>
    </row>
    <row r="444" customFormat="false" ht="15" hidden="false" customHeight="false" outlineLevel="0" collapsed="false">
      <c r="A444" s="19" t="str">
        <f aca="false">"PKT-"&amp;B444&amp;"-METROLOGY"</f>
        <v>PKT-MTH-RT-CON-L1-METROLOGY</v>
      </c>
      <c r="B444" s="19" t="str">
        <f aca="false">'Object Crosswalk'!A94</f>
        <v>MTH-RT-CON-L1</v>
      </c>
      <c r="C444" s="19" t="str">
        <f aca="false">'Object Crosswalk'!B94</f>
        <v>Method lineage</v>
      </c>
      <c r="D444" s="19" t="str">
        <f aca="false">'Object Crosswalk'!D94</f>
        <v>MS-RT</v>
      </c>
      <c r="E444" s="19" t="str">
        <f aca="false">'Object Crosswalk'!E94</f>
        <v>RT-B</v>
      </c>
      <c r="F444" s="19" t="str">
        <f aca="false">'Object Crosswalk'!F94</f>
        <v>CONTROL</v>
      </c>
      <c r="G444" s="9" t="s">
        <v>729</v>
      </c>
      <c r="H444" s="11" t="s">
        <v>58</v>
      </c>
      <c r="I444" s="32" t="n">
        <f aca="false">0</f>
        <v>0</v>
      </c>
      <c r="J444" s="11" t="s">
        <v>576</v>
      </c>
      <c r="K444" s="32" t="str">
        <f aca="false">IF(I444=1,"ACCEPTED","OPEN")</f>
        <v>OPEN</v>
      </c>
    </row>
    <row r="445" customFormat="false" ht="15" hidden="false" customHeight="false" outlineLevel="0" collapsed="false">
      <c r="A445" s="19" t="str">
        <f aca="false">"PKT-"&amp;B445&amp;"-SAFETY"</f>
        <v>PKT-MTH-RT-CON-L1-SAFETY</v>
      </c>
      <c r="B445" s="19" t="str">
        <f aca="false">'Object Crosswalk'!A94</f>
        <v>MTH-RT-CON-L1</v>
      </c>
      <c r="C445" s="19" t="str">
        <f aca="false">'Object Crosswalk'!B94</f>
        <v>Method lineage</v>
      </c>
      <c r="D445" s="19" t="str">
        <f aca="false">'Object Crosswalk'!D94</f>
        <v>MS-RT</v>
      </c>
      <c r="E445" s="19" t="str">
        <f aca="false">'Object Crosswalk'!E94</f>
        <v>RT-B</v>
      </c>
      <c r="F445" s="19" t="str">
        <f aca="false">'Object Crosswalk'!F94</f>
        <v>CONTROL</v>
      </c>
      <c r="G445" s="9" t="s">
        <v>730</v>
      </c>
      <c r="H445" s="11" t="s">
        <v>58</v>
      </c>
      <c r="I445" s="32" t="n">
        <f aca="false">0</f>
        <v>0</v>
      </c>
      <c r="J445" s="11" t="s">
        <v>576</v>
      </c>
      <c r="K445" s="32" t="str">
        <f aca="false">IF(I445=1,"ACCEPTED","OPEN")</f>
        <v>OPEN</v>
      </c>
    </row>
    <row r="446" customFormat="false" ht="15" hidden="false" customHeight="false" outlineLevel="0" collapsed="false">
      <c r="A446" s="19" t="str">
        <f aca="false">"PKT-"&amp;B446&amp;"-RECONSTRUCTION"</f>
        <v>PKT-MTH-RT-CON-L1-RECONSTRUCTION</v>
      </c>
      <c r="B446" s="19" t="str">
        <f aca="false">'Object Crosswalk'!A94</f>
        <v>MTH-RT-CON-L1</v>
      </c>
      <c r="C446" s="19" t="str">
        <f aca="false">'Object Crosswalk'!B94</f>
        <v>Method lineage</v>
      </c>
      <c r="D446" s="19" t="str">
        <f aca="false">'Object Crosswalk'!D94</f>
        <v>MS-RT</v>
      </c>
      <c r="E446" s="19" t="str">
        <f aca="false">'Object Crosswalk'!E94</f>
        <v>RT-B</v>
      </c>
      <c r="F446" s="19" t="str">
        <f aca="false">'Object Crosswalk'!F94</f>
        <v>CONTROL</v>
      </c>
      <c r="G446" s="9" t="s">
        <v>341</v>
      </c>
      <c r="H446" s="11" t="s">
        <v>58</v>
      </c>
      <c r="I446" s="32" t="n">
        <f aca="false">0</f>
        <v>0</v>
      </c>
      <c r="J446" s="11" t="s">
        <v>576</v>
      </c>
      <c r="K446" s="32" t="str">
        <f aca="false">IF(I446=1,"ACCEPTED","OPEN")</f>
        <v>OPEN</v>
      </c>
    </row>
    <row r="447" customFormat="false" ht="15" hidden="false" customHeight="false" outlineLevel="0" collapsed="false">
      <c r="A447" s="19" t="str">
        <f aca="false">"PKT-"&amp;B447&amp;"-CONFIGURATION"</f>
        <v>PKT-MTH-RT-CON-L2-CONFIGURATION</v>
      </c>
      <c r="B447" s="19" t="str">
        <f aca="false">'Object Crosswalk'!A95</f>
        <v>MTH-RT-CON-L2</v>
      </c>
      <c r="C447" s="19" t="str">
        <f aca="false">'Object Crosswalk'!B95</f>
        <v>Method lineage</v>
      </c>
      <c r="D447" s="19" t="str">
        <f aca="false">'Object Crosswalk'!D95</f>
        <v>MS-RT</v>
      </c>
      <c r="E447" s="19" t="str">
        <f aca="false">'Object Crosswalk'!E95</f>
        <v>RT-B</v>
      </c>
      <c r="F447" s="19" t="str">
        <f aca="false">'Object Crosswalk'!F95</f>
        <v>CONTROL</v>
      </c>
      <c r="G447" s="9" t="s">
        <v>728</v>
      </c>
      <c r="H447" s="11" t="s">
        <v>58</v>
      </c>
      <c r="I447" s="32" t="n">
        <f aca="false">0</f>
        <v>0</v>
      </c>
      <c r="J447" s="11" t="s">
        <v>576</v>
      </c>
      <c r="K447" s="32" t="str">
        <f aca="false">IF(I447=1,"ACCEPTED","OPEN")</f>
        <v>OPEN</v>
      </c>
    </row>
    <row r="448" customFormat="false" ht="15" hidden="false" customHeight="false" outlineLevel="0" collapsed="false">
      <c r="A448" s="19" t="str">
        <f aca="false">"PKT-"&amp;B448&amp;"-CONTROL"</f>
        <v>PKT-MTH-RT-CON-L2-CONTROL</v>
      </c>
      <c r="B448" s="19" t="str">
        <f aca="false">'Object Crosswalk'!A95</f>
        <v>MTH-RT-CON-L2</v>
      </c>
      <c r="C448" s="19" t="str">
        <f aca="false">'Object Crosswalk'!B95</f>
        <v>Method lineage</v>
      </c>
      <c r="D448" s="19" t="str">
        <f aca="false">'Object Crosswalk'!D95</f>
        <v>MS-RT</v>
      </c>
      <c r="E448" s="19" t="str">
        <f aca="false">'Object Crosswalk'!E95</f>
        <v>RT-B</v>
      </c>
      <c r="F448" s="19" t="str">
        <f aca="false">'Object Crosswalk'!F95</f>
        <v>CONTROL</v>
      </c>
      <c r="G448" s="9" t="s">
        <v>333</v>
      </c>
      <c r="H448" s="11" t="s">
        <v>58</v>
      </c>
      <c r="I448" s="32" t="n">
        <f aca="false">0</f>
        <v>0</v>
      </c>
      <c r="J448" s="11" t="s">
        <v>576</v>
      </c>
      <c r="K448" s="32" t="str">
        <f aca="false">IF(I448=1,"ACCEPTED","OPEN")</f>
        <v>OPEN</v>
      </c>
    </row>
    <row r="449" customFormat="false" ht="15" hidden="false" customHeight="false" outlineLevel="0" collapsed="false">
      <c r="A449" s="19" t="str">
        <f aca="false">"PKT-"&amp;B449&amp;"-METROLOGY"</f>
        <v>PKT-MTH-RT-CON-L2-METROLOGY</v>
      </c>
      <c r="B449" s="19" t="str">
        <f aca="false">'Object Crosswalk'!A95</f>
        <v>MTH-RT-CON-L2</v>
      </c>
      <c r="C449" s="19" t="str">
        <f aca="false">'Object Crosswalk'!B95</f>
        <v>Method lineage</v>
      </c>
      <c r="D449" s="19" t="str">
        <f aca="false">'Object Crosswalk'!D95</f>
        <v>MS-RT</v>
      </c>
      <c r="E449" s="19" t="str">
        <f aca="false">'Object Crosswalk'!E95</f>
        <v>RT-B</v>
      </c>
      <c r="F449" s="19" t="str">
        <f aca="false">'Object Crosswalk'!F95</f>
        <v>CONTROL</v>
      </c>
      <c r="G449" s="9" t="s">
        <v>729</v>
      </c>
      <c r="H449" s="11" t="s">
        <v>58</v>
      </c>
      <c r="I449" s="32" t="n">
        <f aca="false">0</f>
        <v>0</v>
      </c>
      <c r="J449" s="11" t="s">
        <v>576</v>
      </c>
      <c r="K449" s="32" t="str">
        <f aca="false">IF(I449=1,"ACCEPTED","OPEN")</f>
        <v>OPEN</v>
      </c>
    </row>
    <row r="450" customFormat="false" ht="15" hidden="false" customHeight="false" outlineLevel="0" collapsed="false">
      <c r="A450" s="19" t="str">
        <f aca="false">"PKT-"&amp;B450&amp;"-SAFETY"</f>
        <v>PKT-MTH-RT-CON-L2-SAFETY</v>
      </c>
      <c r="B450" s="19" t="str">
        <f aca="false">'Object Crosswalk'!A95</f>
        <v>MTH-RT-CON-L2</v>
      </c>
      <c r="C450" s="19" t="str">
        <f aca="false">'Object Crosswalk'!B95</f>
        <v>Method lineage</v>
      </c>
      <c r="D450" s="19" t="str">
        <f aca="false">'Object Crosswalk'!D95</f>
        <v>MS-RT</v>
      </c>
      <c r="E450" s="19" t="str">
        <f aca="false">'Object Crosswalk'!E95</f>
        <v>RT-B</v>
      </c>
      <c r="F450" s="19" t="str">
        <f aca="false">'Object Crosswalk'!F95</f>
        <v>CONTROL</v>
      </c>
      <c r="G450" s="9" t="s">
        <v>730</v>
      </c>
      <c r="H450" s="11" t="s">
        <v>58</v>
      </c>
      <c r="I450" s="32" t="n">
        <f aca="false">0</f>
        <v>0</v>
      </c>
      <c r="J450" s="11" t="s">
        <v>576</v>
      </c>
      <c r="K450" s="32" t="str">
        <f aca="false">IF(I450=1,"ACCEPTED","OPEN")</f>
        <v>OPEN</v>
      </c>
    </row>
    <row r="451" customFormat="false" ht="15" hidden="false" customHeight="false" outlineLevel="0" collapsed="false">
      <c r="A451" s="19" t="str">
        <f aca="false">"PKT-"&amp;B451&amp;"-RECONSTRUCTION"</f>
        <v>PKT-MTH-RT-CON-L2-RECONSTRUCTION</v>
      </c>
      <c r="B451" s="19" t="str">
        <f aca="false">'Object Crosswalk'!A95</f>
        <v>MTH-RT-CON-L2</v>
      </c>
      <c r="C451" s="19" t="str">
        <f aca="false">'Object Crosswalk'!B95</f>
        <v>Method lineage</v>
      </c>
      <c r="D451" s="19" t="str">
        <f aca="false">'Object Crosswalk'!D95</f>
        <v>MS-RT</v>
      </c>
      <c r="E451" s="19" t="str">
        <f aca="false">'Object Crosswalk'!E95</f>
        <v>RT-B</v>
      </c>
      <c r="F451" s="19" t="str">
        <f aca="false">'Object Crosswalk'!F95</f>
        <v>CONTROL</v>
      </c>
      <c r="G451" s="9" t="s">
        <v>341</v>
      </c>
      <c r="H451" s="11" t="s">
        <v>58</v>
      </c>
      <c r="I451" s="32" t="n">
        <f aca="false">0</f>
        <v>0</v>
      </c>
      <c r="J451" s="11" t="s">
        <v>576</v>
      </c>
      <c r="K451" s="32" t="str">
        <f aca="false">IF(I451=1,"ACCEPTED","OPEN")</f>
        <v>OPEN</v>
      </c>
    </row>
    <row r="452" customFormat="false" ht="15" hidden="false" customHeight="false" outlineLevel="0" collapsed="false">
      <c r="A452" s="19" t="str">
        <f aca="false">"PKT-"&amp;B452&amp;"-CONFIGURATION"</f>
        <v>PKT-REG-RT-CON-CONFIGURATION</v>
      </c>
      <c r="B452" s="19" t="str">
        <f aca="false">'Object Crosswalk'!A96</f>
        <v>REG-RT-CON</v>
      </c>
      <c r="C452" s="19" t="str">
        <f aca="false">'Object Crosswalk'!B96</f>
        <v>Regeneration tool</v>
      </c>
      <c r="D452" s="19" t="str">
        <f aca="false">'Object Crosswalk'!D96</f>
        <v>MS-RT</v>
      </c>
      <c r="E452" s="19" t="str">
        <f aca="false">'Object Crosswalk'!E96</f>
        <v>RT-B</v>
      </c>
      <c r="F452" s="19" t="str">
        <f aca="false">'Object Crosswalk'!F96</f>
        <v>CONTROL</v>
      </c>
      <c r="G452" s="9" t="s">
        <v>728</v>
      </c>
      <c r="H452" s="11" t="s">
        <v>58</v>
      </c>
      <c r="I452" s="32" t="n">
        <f aca="false">0</f>
        <v>0</v>
      </c>
      <c r="J452" s="11" t="s">
        <v>576</v>
      </c>
      <c r="K452" s="32" t="str">
        <f aca="false">IF(I452=1,"ACCEPTED","OPEN")</f>
        <v>OPEN</v>
      </c>
    </row>
    <row r="453" customFormat="false" ht="15" hidden="false" customHeight="false" outlineLevel="0" collapsed="false">
      <c r="A453" s="19" t="str">
        <f aca="false">"PKT-"&amp;B453&amp;"-CONTROL"</f>
        <v>PKT-REG-RT-CON-CONTROL</v>
      </c>
      <c r="B453" s="19" t="str">
        <f aca="false">'Object Crosswalk'!A96</f>
        <v>REG-RT-CON</v>
      </c>
      <c r="C453" s="19" t="str">
        <f aca="false">'Object Crosswalk'!B96</f>
        <v>Regeneration tool</v>
      </c>
      <c r="D453" s="19" t="str">
        <f aca="false">'Object Crosswalk'!D96</f>
        <v>MS-RT</v>
      </c>
      <c r="E453" s="19" t="str">
        <f aca="false">'Object Crosswalk'!E96</f>
        <v>RT-B</v>
      </c>
      <c r="F453" s="19" t="str">
        <f aca="false">'Object Crosswalk'!F96</f>
        <v>CONTROL</v>
      </c>
      <c r="G453" s="9" t="s">
        <v>333</v>
      </c>
      <c r="H453" s="11" t="s">
        <v>58</v>
      </c>
      <c r="I453" s="32" t="n">
        <f aca="false">0</f>
        <v>0</v>
      </c>
      <c r="J453" s="11" t="s">
        <v>576</v>
      </c>
      <c r="K453" s="32" t="str">
        <f aca="false">IF(I453=1,"ACCEPTED","OPEN")</f>
        <v>OPEN</v>
      </c>
    </row>
    <row r="454" customFormat="false" ht="15" hidden="false" customHeight="false" outlineLevel="0" collapsed="false">
      <c r="A454" s="19" t="str">
        <f aca="false">"PKT-"&amp;B454&amp;"-METROLOGY"</f>
        <v>PKT-REG-RT-CON-METROLOGY</v>
      </c>
      <c r="B454" s="19" t="str">
        <f aca="false">'Object Crosswalk'!A96</f>
        <v>REG-RT-CON</v>
      </c>
      <c r="C454" s="19" t="str">
        <f aca="false">'Object Crosswalk'!B96</f>
        <v>Regeneration tool</v>
      </c>
      <c r="D454" s="19" t="str">
        <f aca="false">'Object Crosswalk'!D96</f>
        <v>MS-RT</v>
      </c>
      <c r="E454" s="19" t="str">
        <f aca="false">'Object Crosswalk'!E96</f>
        <v>RT-B</v>
      </c>
      <c r="F454" s="19" t="str">
        <f aca="false">'Object Crosswalk'!F96</f>
        <v>CONTROL</v>
      </c>
      <c r="G454" s="9" t="s">
        <v>729</v>
      </c>
      <c r="H454" s="11" t="s">
        <v>58</v>
      </c>
      <c r="I454" s="32" t="n">
        <f aca="false">0</f>
        <v>0</v>
      </c>
      <c r="J454" s="11" t="s">
        <v>576</v>
      </c>
      <c r="K454" s="32" t="str">
        <f aca="false">IF(I454=1,"ACCEPTED","OPEN")</f>
        <v>OPEN</v>
      </c>
    </row>
    <row r="455" customFormat="false" ht="15" hidden="false" customHeight="false" outlineLevel="0" collapsed="false">
      <c r="A455" s="19" t="str">
        <f aca="false">"PKT-"&amp;B455&amp;"-SAFETY"</f>
        <v>PKT-REG-RT-CON-SAFETY</v>
      </c>
      <c r="B455" s="19" t="str">
        <f aca="false">'Object Crosswalk'!A96</f>
        <v>REG-RT-CON</v>
      </c>
      <c r="C455" s="19" t="str">
        <f aca="false">'Object Crosswalk'!B96</f>
        <v>Regeneration tool</v>
      </c>
      <c r="D455" s="19" t="str">
        <f aca="false">'Object Crosswalk'!D96</f>
        <v>MS-RT</v>
      </c>
      <c r="E455" s="19" t="str">
        <f aca="false">'Object Crosswalk'!E96</f>
        <v>RT-B</v>
      </c>
      <c r="F455" s="19" t="str">
        <f aca="false">'Object Crosswalk'!F96</f>
        <v>CONTROL</v>
      </c>
      <c r="G455" s="9" t="s">
        <v>730</v>
      </c>
      <c r="H455" s="11" t="s">
        <v>58</v>
      </c>
      <c r="I455" s="32" t="n">
        <f aca="false">0</f>
        <v>0</v>
      </c>
      <c r="J455" s="11" t="s">
        <v>576</v>
      </c>
      <c r="K455" s="32" t="str">
        <f aca="false">IF(I455=1,"ACCEPTED","OPEN")</f>
        <v>OPEN</v>
      </c>
    </row>
    <row r="456" customFormat="false" ht="15" hidden="false" customHeight="false" outlineLevel="0" collapsed="false">
      <c r="A456" s="19" t="str">
        <f aca="false">"PKT-"&amp;B456&amp;"-RECONSTRUCTION"</f>
        <v>PKT-REG-RT-CON-RECONSTRUCTION</v>
      </c>
      <c r="B456" s="19" t="str">
        <f aca="false">'Object Crosswalk'!A96</f>
        <v>REG-RT-CON</v>
      </c>
      <c r="C456" s="19" t="str">
        <f aca="false">'Object Crosswalk'!B96</f>
        <v>Regeneration tool</v>
      </c>
      <c r="D456" s="19" t="str">
        <f aca="false">'Object Crosswalk'!D96</f>
        <v>MS-RT</v>
      </c>
      <c r="E456" s="19" t="str">
        <f aca="false">'Object Crosswalk'!E96</f>
        <v>RT-B</v>
      </c>
      <c r="F456" s="19" t="str">
        <f aca="false">'Object Crosswalk'!F96</f>
        <v>CONTROL</v>
      </c>
      <c r="G456" s="9" t="s">
        <v>341</v>
      </c>
      <c r="H456" s="11" t="s">
        <v>58</v>
      </c>
      <c r="I456" s="32" t="n">
        <f aca="false">0</f>
        <v>0</v>
      </c>
      <c r="J456" s="11" t="s">
        <v>576</v>
      </c>
      <c r="K456" s="32" t="str">
        <f aca="false">IF(I456=1,"ACCEPTED","OPEN")</f>
        <v>OPEN</v>
      </c>
    </row>
    <row r="457" customFormat="false" ht="15" hidden="false" customHeight="false" outlineLevel="0" collapsed="false">
      <c r="A457" s="19" t="str">
        <f aca="false">"PKT-"&amp;B457&amp;"-CONFIGURATION"</f>
        <v>PKT-INT-RT-CON-CONFIGURATION</v>
      </c>
      <c r="B457" s="19" t="str">
        <f aca="false">'Object Crosswalk'!A97</f>
        <v>INT-RT-CON</v>
      </c>
      <c r="C457" s="19" t="str">
        <f aca="false">'Object Crosswalk'!B97</f>
        <v>Station integration</v>
      </c>
      <c r="D457" s="19" t="str">
        <f aca="false">'Object Crosswalk'!D97</f>
        <v>MS-RT</v>
      </c>
      <c r="E457" s="19" t="str">
        <f aca="false">'Object Crosswalk'!E97</f>
        <v>RT-B</v>
      </c>
      <c r="F457" s="19" t="str">
        <f aca="false">'Object Crosswalk'!F97</f>
        <v>CONTROL</v>
      </c>
      <c r="G457" s="9" t="s">
        <v>728</v>
      </c>
      <c r="H457" s="11" t="s">
        <v>58</v>
      </c>
      <c r="I457" s="32" t="n">
        <f aca="false">0</f>
        <v>0</v>
      </c>
      <c r="J457" s="11" t="s">
        <v>576</v>
      </c>
      <c r="K457" s="32" t="str">
        <f aca="false">IF(I457=1,"ACCEPTED","OPEN")</f>
        <v>OPEN</v>
      </c>
    </row>
    <row r="458" customFormat="false" ht="15" hidden="false" customHeight="false" outlineLevel="0" collapsed="false">
      <c r="A458" s="19" t="str">
        <f aca="false">"PKT-"&amp;B458&amp;"-CONTROL"</f>
        <v>PKT-INT-RT-CON-CONTROL</v>
      </c>
      <c r="B458" s="19" t="str">
        <f aca="false">'Object Crosswalk'!A97</f>
        <v>INT-RT-CON</v>
      </c>
      <c r="C458" s="19" t="str">
        <f aca="false">'Object Crosswalk'!B97</f>
        <v>Station integration</v>
      </c>
      <c r="D458" s="19" t="str">
        <f aca="false">'Object Crosswalk'!D97</f>
        <v>MS-RT</v>
      </c>
      <c r="E458" s="19" t="str">
        <f aca="false">'Object Crosswalk'!E97</f>
        <v>RT-B</v>
      </c>
      <c r="F458" s="19" t="str">
        <f aca="false">'Object Crosswalk'!F97</f>
        <v>CONTROL</v>
      </c>
      <c r="G458" s="9" t="s">
        <v>333</v>
      </c>
      <c r="H458" s="11" t="s">
        <v>58</v>
      </c>
      <c r="I458" s="32" t="n">
        <f aca="false">0</f>
        <v>0</v>
      </c>
      <c r="J458" s="11" t="s">
        <v>576</v>
      </c>
      <c r="K458" s="32" t="str">
        <f aca="false">IF(I458=1,"ACCEPTED","OPEN")</f>
        <v>OPEN</v>
      </c>
    </row>
    <row r="459" customFormat="false" ht="15" hidden="false" customHeight="false" outlineLevel="0" collapsed="false">
      <c r="A459" s="19" t="str">
        <f aca="false">"PKT-"&amp;B459&amp;"-METROLOGY"</f>
        <v>PKT-INT-RT-CON-METROLOGY</v>
      </c>
      <c r="B459" s="19" t="str">
        <f aca="false">'Object Crosswalk'!A97</f>
        <v>INT-RT-CON</v>
      </c>
      <c r="C459" s="19" t="str">
        <f aca="false">'Object Crosswalk'!B97</f>
        <v>Station integration</v>
      </c>
      <c r="D459" s="19" t="str">
        <f aca="false">'Object Crosswalk'!D97</f>
        <v>MS-RT</v>
      </c>
      <c r="E459" s="19" t="str">
        <f aca="false">'Object Crosswalk'!E97</f>
        <v>RT-B</v>
      </c>
      <c r="F459" s="19" t="str">
        <f aca="false">'Object Crosswalk'!F97</f>
        <v>CONTROL</v>
      </c>
      <c r="G459" s="9" t="s">
        <v>729</v>
      </c>
      <c r="H459" s="11" t="s">
        <v>58</v>
      </c>
      <c r="I459" s="32" t="n">
        <f aca="false">0</f>
        <v>0</v>
      </c>
      <c r="J459" s="11" t="s">
        <v>576</v>
      </c>
      <c r="K459" s="32" t="str">
        <f aca="false">IF(I459=1,"ACCEPTED","OPEN")</f>
        <v>OPEN</v>
      </c>
    </row>
    <row r="460" customFormat="false" ht="15" hidden="false" customHeight="false" outlineLevel="0" collapsed="false">
      <c r="A460" s="19" t="str">
        <f aca="false">"PKT-"&amp;B460&amp;"-SAFETY"</f>
        <v>PKT-INT-RT-CON-SAFETY</v>
      </c>
      <c r="B460" s="19" t="str">
        <f aca="false">'Object Crosswalk'!A97</f>
        <v>INT-RT-CON</v>
      </c>
      <c r="C460" s="19" t="str">
        <f aca="false">'Object Crosswalk'!B97</f>
        <v>Station integration</v>
      </c>
      <c r="D460" s="19" t="str">
        <f aca="false">'Object Crosswalk'!D97</f>
        <v>MS-RT</v>
      </c>
      <c r="E460" s="19" t="str">
        <f aca="false">'Object Crosswalk'!E97</f>
        <v>RT-B</v>
      </c>
      <c r="F460" s="19" t="str">
        <f aca="false">'Object Crosswalk'!F97</f>
        <v>CONTROL</v>
      </c>
      <c r="G460" s="9" t="s">
        <v>730</v>
      </c>
      <c r="H460" s="11" t="s">
        <v>58</v>
      </c>
      <c r="I460" s="32" t="n">
        <f aca="false">0</f>
        <v>0</v>
      </c>
      <c r="J460" s="11" t="s">
        <v>576</v>
      </c>
      <c r="K460" s="32" t="str">
        <f aca="false">IF(I460=1,"ACCEPTED","OPEN")</f>
        <v>OPEN</v>
      </c>
    </row>
    <row r="461" customFormat="false" ht="15" hidden="false" customHeight="false" outlineLevel="0" collapsed="false">
      <c r="A461" s="19" t="str">
        <f aca="false">"PKT-"&amp;B461&amp;"-RECONSTRUCTION"</f>
        <v>PKT-INT-RT-CON-RECONSTRUCTION</v>
      </c>
      <c r="B461" s="19" t="str">
        <f aca="false">'Object Crosswalk'!A97</f>
        <v>INT-RT-CON</v>
      </c>
      <c r="C461" s="19" t="str">
        <f aca="false">'Object Crosswalk'!B97</f>
        <v>Station integration</v>
      </c>
      <c r="D461" s="19" t="str">
        <f aca="false">'Object Crosswalk'!D97</f>
        <v>MS-RT</v>
      </c>
      <c r="E461" s="19" t="str">
        <f aca="false">'Object Crosswalk'!E97</f>
        <v>RT-B</v>
      </c>
      <c r="F461" s="19" t="str">
        <f aca="false">'Object Crosswalk'!F97</f>
        <v>CONTROL</v>
      </c>
      <c r="G461" s="9" t="s">
        <v>341</v>
      </c>
      <c r="H461" s="11" t="s">
        <v>58</v>
      </c>
      <c r="I461" s="32" t="n">
        <f aca="false">0</f>
        <v>0</v>
      </c>
      <c r="J461" s="11" t="s">
        <v>576</v>
      </c>
      <c r="K461" s="32" t="str">
        <f aca="false">IF(I461=1,"ACCEPTED","OPEN")</f>
        <v>OPEN</v>
      </c>
    </row>
    <row r="462" customFormat="false" ht="15" hidden="false" customHeight="false" outlineLevel="0" collapsed="false">
      <c r="A462" s="19" t="str">
        <f aca="false">"PKT-"&amp;B462&amp;"-CONFIGURATION"</f>
        <v>PKT-RIG-RT-REC-CONFIGURATION</v>
      </c>
      <c r="B462" s="19" t="str">
        <f aca="false">'Object Crosswalk'!A98</f>
        <v>RIG-RT-REC</v>
      </c>
      <c r="C462" s="19" t="str">
        <f aca="false">'Object Crosswalk'!B98</f>
        <v>Root-native rig</v>
      </c>
      <c r="D462" s="19" t="str">
        <f aca="false">'Object Crosswalk'!D98</f>
        <v>MS-RT</v>
      </c>
      <c r="E462" s="19" t="str">
        <f aca="false">'Object Crosswalk'!E98</f>
        <v>RT-B</v>
      </c>
      <c r="F462" s="19" t="str">
        <f aca="false">'Object Crosswalk'!F98</f>
        <v>RECONSTRUCTION</v>
      </c>
      <c r="G462" s="9" t="s">
        <v>728</v>
      </c>
      <c r="H462" s="11" t="s">
        <v>58</v>
      </c>
      <c r="I462" s="32" t="n">
        <f aca="false">0</f>
        <v>0</v>
      </c>
      <c r="J462" s="11" t="s">
        <v>576</v>
      </c>
      <c r="K462" s="32" t="str">
        <f aca="false">IF(I462=1,"ACCEPTED","OPEN")</f>
        <v>OPEN</v>
      </c>
    </row>
    <row r="463" customFormat="false" ht="15" hidden="false" customHeight="false" outlineLevel="0" collapsed="false">
      <c r="A463" s="19" t="str">
        <f aca="false">"PKT-"&amp;B463&amp;"-CONTROL"</f>
        <v>PKT-RIG-RT-REC-CONTROL</v>
      </c>
      <c r="B463" s="19" t="str">
        <f aca="false">'Object Crosswalk'!A98</f>
        <v>RIG-RT-REC</v>
      </c>
      <c r="C463" s="19" t="str">
        <f aca="false">'Object Crosswalk'!B98</f>
        <v>Root-native rig</v>
      </c>
      <c r="D463" s="19" t="str">
        <f aca="false">'Object Crosswalk'!D98</f>
        <v>MS-RT</v>
      </c>
      <c r="E463" s="19" t="str">
        <f aca="false">'Object Crosswalk'!E98</f>
        <v>RT-B</v>
      </c>
      <c r="F463" s="19" t="str">
        <f aca="false">'Object Crosswalk'!F98</f>
        <v>RECONSTRUCTION</v>
      </c>
      <c r="G463" s="9" t="s">
        <v>333</v>
      </c>
      <c r="H463" s="11" t="s">
        <v>58</v>
      </c>
      <c r="I463" s="32" t="n">
        <f aca="false">0</f>
        <v>0</v>
      </c>
      <c r="J463" s="11" t="s">
        <v>576</v>
      </c>
      <c r="K463" s="32" t="str">
        <f aca="false">IF(I463=1,"ACCEPTED","OPEN")</f>
        <v>OPEN</v>
      </c>
    </row>
    <row r="464" customFormat="false" ht="15" hidden="false" customHeight="false" outlineLevel="0" collapsed="false">
      <c r="A464" s="19" t="str">
        <f aca="false">"PKT-"&amp;B464&amp;"-METROLOGY"</f>
        <v>PKT-RIG-RT-REC-METROLOGY</v>
      </c>
      <c r="B464" s="19" t="str">
        <f aca="false">'Object Crosswalk'!A98</f>
        <v>RIG-RT-REC</v>
      </c>
      <c r="C464" s="19" t="str">
        <f aca="false">'Object Crosswalk'!B98</f>
        <v>Root-native rig</v>
      </c>
      <c r="D464" s="19" t="str">
        <f aca="false">'Object Crosswalk'!D98</f>
        <v>MS-RT</v>
      </c>
      <c r="E464" s="19" t="str">
        <f aca="false">'Object Crosswalk'!E98</f>
        <v>RT-B</v>
      </c>
      <c r="F464" s="19" t="str">
        <f aca="false">'Object Crosswalk'!F98</f>
        <v>RECONSTRUCTION</v>
      </c>
      <c r="G464" s="9" t="s">
        <v>729</v>
      </c>
      <c r="H464" s="11" t="s">
        <v>58</v>
      </c>
      <c r="I464" s="32" t="n">
        <f aca="false">0</f>
        <v>0</v>
      </c>
      <c r="J464" s="11" t="s">
        <v>576</v>
      </c>
      <c r="K464" s="32" t="str">
        <f aca="false">IF(I464=1,"ACCEPTED","OPEN")</f>
        <v>OPEN</v>
      </c>
    </row>
    <row r="465" customFormat="false" ht="15" hidden="false" customHeight="false" outlineLevel="0" collapsed="false">
      <c r="A465" s="19" t="str">
        <f aca="false">"PKT-"&amp;B465&amp;"-SAFETY"</f>
        <v>PKT-RIG-RT-REC-SAFETY</v>
      </c>
      <c r="B465" s="19" t="str">
        <f aca="false">'Object Crosswalk'!A98</f>
        <v>RIG-RT-REC</v>
      </c>
      <c r="C465" s="19" t="str">
        <f aca="false">'Object Crosswalk'!B98</f>
        <v>Root-native rig</v>
      </c>
      <c r="D465" s="19" t="str">
        <f aca="false">'Object Crosswalk'!D98</f>
        <v>MS-RT</v>
      </c>
      <c r="E465" s="19" t="str">
        <f aca="false">'Object Crosswalk'!E98</f>
        <v>RT-B</v>
      </c>
      <c r="F465" s="19" t="str">
        <f aca="false">'Object Crosswalk'!F98</f>
        <v>RECONSTRUCTION</v>
      </c>
      <c r="G465" s="9" t="s">
        <v>730</v>
      </c>
      <c r="H465" s="11" t="s">
        <v>58</v>
      </c>
      <c r="I465" s="32" t="n">
        <f aca="false">0</f>
        <v>0</v>
      </c>
      <c r="J465" s="11" t="s">
        <v>576</v>
      </c>
      <c r="K465" s="32" t="str">
        <f aca="false">IF(I465=1,"ACCEPTED","OPEN")</f>
        <v>OPEN</v>
      </c>
    </row>
    <row r="466" customFormat="false" ht="15" hidden="false" customHeight="false" outlineLevel="0" collapsed="false">
      <c r="A466" s="19" t="str">
        <f aca="false">"PKT-"&amp;B466&amp;"-RECONSTRUCTION"</f>
        <v>PKT-RIG-RT-REC-RECONSTRUCTION</v>
      </c>
      <c r="B466" s="19" t="str">
        <f aca="false">'Object Crosswalk'!A98</f>
        <v>RIG-RT-REC</v>
      </c>
      <c r="C466" s="19" t="str">
        <f aca="false">'Object Crosswalk'!B98</f>
        <v>Root-native rig</v>
      </c>
      <c r="D466" s="19" t="str">
        <f aca="false">'Object Crosswalk'!D98</f>
        <v>MS-RT</v>
      </c>
      <c r="E466" s="19" t="str">
        <f aca="false">'Object Crosswalk'!E98</f>
        <v>RT-B</v>
      </c>
      <c r="F466" s="19" t="str">
        <f aca="false">'Object Crosswalk'!F98</f>
        <v>RECONSTRUCTION</v>
      </c>
      <c r="G466" s="9" t="s">
        <v>341</v>
      </c>
      <c r="H466" s="11" t="s">
        <v>58</v>
      </c>
      <c r="I466" s="32" t="n">
        <f aca="false">0</f>
        <v>0</v>
      </c>
      <c r="J466" s="11" t="s">
        <v>576</v>
      </c>
      <c r="K466" s="32" t="str">
        <f aca="false">IF(I466=1,"ACCEPTED","OPEN")</f>
        <v>OPEN</v>
      </c>
    </row>
    <row r="467" customFormat="false" ht="15" hidden="false" customHeight="false" outlineLevel="0" collapsed="false">
      <c r="A467" s="19" t="str">
        <f aca="false">"PKT-"&amp;B467&amp;"-CONFIGURATION"</f>
        <v>PKT-MTH-RT-REC-L1-CONFIGURATION</v>
      </c>
      <c r="B467" s="19" t="str">
        <f aca="false">'Object Crosswalk'!A99</f>
        <v>MTH-RT-REC-L1</v>
      </c>
      <c r="C467" s="19" t="str">
        <f aca="false">'Object Crosswalk'!B99</f>
        <v>Method lineage</v>
      </c>
      <c r="D467" s="19" t="str">
        <f aca="false">'Object Crosswalk'!D99</f>
        <v>MS-RT</v>
      </c>
      <c r="E467" s="19" t="str">
        <f aca="false">'Object Crosswalk'!E99</f>
        <v>RT-B</v>
      </c>
      <c r="F467" s="19" t="str">
        <f aca="false">'Object Crosswalk'!F99</f>
        <v>RECONSTRUCTION</v>
      </c>
      <c r="G467" s="9" t="s">
        <v>728</v>
      </c>
      <c r="H467" s="11" t="s">
        <v>58</v>
      </c>
      <c r="I467" s="32" t="n">
        <f aca="false">0</f>
        <v>0</v>
      </c>
      <c r="J467" s="11" t="s">
        <v>576</v>
      </c>
      <c r="K467" s="32" t="str">
        <f aca="false">IF(I467=1,"ACCEPTED","OPEN")</f>
        <v>OPEN</v>
      </c>
    </row>
    <row r="468" customFormat="false" ht="15" hidden="false" customHeight="false" outlineLevel="0" collapsed="false">
      <c r="A468" s="19" t="str">
        <f aca="false">"PKT-"&amp;B468&amp;"-CONTROL"</f>
        <v>PKT-MTH-RT-REC-L1-CONTROL</v>
      </c>
      <c r="B468" s="19" t="str">
        <f aca="false">'Object Crosswalk'!A99</f>
        <v>MTH-RT-REC-L1</v>
      </c>
      <c r="C468" s="19" t="str">
        <f aca="false">'Object Crosswalk'!B99</f>
        <v>Method lineage</v>
      </c>
      <c r="D468" s="19" t="str">
        <f aca="false">'Object Crosswalk'!D99</f>
        <v>MS-RT</v>
      </c>
      <c r="E468" s="19" t="str">
        <f aca="false">'Object Crosswalk'!E99</f>
        <v>RT-B</v>
      </c>
      <c r="F468" s="19" t="str">
        <f aca="false">'Object Crosswalk'!F99</f>
        <v>RECONSTRUCTION</v>
      </c>
      <c r="G468" s="9" t="s">
        <v>333</v>
      </c>
      <c r="H468" s="11" t="s">
        <v>58</v>
      </c>
      <c r="I468" s="32" t="n">
        <f aca="false">0</f>
        <v>0</v>
      </c>
      <c r="J468" s="11" t="s">
        <v>576</v>
      </c>
      <c r="K468" s="32" t="str">
        <f aca="false">IF(I468=1,"ACCEPTED","OPEN")</f>
        <v>OPEN</v>
      </c>
    </row>
    <row r="469" customFormat="false" ht="15" hidden="false" customHeight="false" outlineLevel="0" collapsed="false">
      <c r="A469" s="19" t="str">
        <f aca="false">"PKT-"&amp;B469&amp;"-METROLOGY"</f>
        <v>PKT-MTH-RT-REC-L1-METROLOGY</v>
      </c>
      <c r="B469" s="19" t="str">
        <f aca="false">'Object Crosswalk'!A99</f>
        <v>MTH-RT-REC-L1</v>
      </c>
      <c r="C469" s="19" t="str">
        <f aca="false">'Object Crosswalk'!B99</f>
        <v>Method lineage</v>
      </c>
      <c r="D469" s="19" t="str">
        <f aca="false">'Object Crosswalk'!D99</f>
        <v>MS-RT</v>
      </c>
      <c r="E469" s="19" t="str">
        <f aca="false">'Object Crosswalk'!E99</f>
        <v>RT-B</v>
      </c>
      <c r="F469" s="19" t="str">
        <f aca="false">'Object Crosswalk'!F99</f>
        <v>RECONSTRUCTION</v>
      </c>
      <c r="G469" s="9" t="s">
        <v>729</v>
      </c>
      <c r="H469" s="11" t="s">
        <v>58</v>
      </c>
      <c r="I469" s="32" t="n">
        <f aca="false">0</f>
        <v>0</v>
      </c>
      <c r="J469" s="11" t="s">
        <v>576</v>
      </c>
      <c r="K469" s="32" t="str">
        <f aca="false">IF(I469=1,"ACCEPTED","OPEN")</f>
        <v>OPEN</v>
      </c>
    </row>
    <row r="470" customFormat="false" ht="15" hidden="false" customHeight="false" outlineLevel="0" collapsed="false">
      <c r="A470" s="19" t="str">
        <f aca="false">"PKT-"&amp;B470&amp;"-SAFETY"</f>
        <v>PKT-MTH-RT-REC-L1-SAFETY</v>
      </c>
      <c r="B470" s="19" t="str">
        <f aca="false">'Object Crosswalk'!A99</f>
        <v>MTH-RT-REC-L1</v>
      </c>
      <c r="C470" s="19" t="str">
        <f aca="false">'Object Crosswalk'!B99</f>
        <v>Method lineage</v>
      </c>
      <c r="D470" s="19" t="str">
        <f aca="false">'Object Crosswalk'!D99</f>
        <v>MS-RT</v>
      </c>
      <c r="E470" s="19" t="str">
        <f aca="false">'Object Crosswalk'!E99</f>
        <v>RT-B</v>
      </c>
      <c r="F470" s="19" t="str">
        <f aca="false">'Object Crosswalk'!F99</f>
        <v>RECONSTRUCTION</v>
      </c>
      <c r="G470" s="9" t="s">
        <v>730</v>
      </c>
      <c r="H470" s="11" t="s">
        <v>58</v>
      </c>
      <c r="I470" s="32" t="n">
        <f aca="false">0</f>
        <v>0</v>
      </c>
      <c r="J470" s="11" t="s">
        <v>576</v>
      </c>
      <c r="K470" s="32" t="str">
        <f aca="false">IF(I470=1,"ACCEPTED","OPEN")</f>
        <v>OPEN</v>
      </c>
    </row>
    <row r="471" customFormat="false" ht="15" hidden="false" customHeight="false" outlineLevel="0" collapsed="false">
      <c r="A471" s="19" t="str">
        <f aca="false">"PKT-"&amp;B471&amp;"-RECONSTRUCTION"</f>
        <v>PKT-MTH-RT-REC-L1-RECONSTRUCTION</v>
      </c>
      <c r="B471" s="19" t="str">
        <f aca="false">'Object Crosswalk'!A99</f>
        <v>MTH-RT-REC-L1</v>
      </c>
      <c r="C471" s="19" t="str">
        <f aca="false">'Object Crosswalk'!B99</f>
        <v>Method lineage</v>
      </c>
      <c r="D471" s="19" t="str">
        <f aca="false">'Object Crosswalk'!D99</f>
        <v>MS-RT</v>
      </c>
      <c r="E471" s="19" t="str">
        <f aca="false">'Object Crosswalk'!E99</f>
        <v>RT-B</v>
      </c>
      <c r="F471" s="19" t="str">
        <f aca="false">'Object Crosswalk'!F99</f>
        <v>RECONSTRUCTION</v>
      </c>
      <c r="G471" s="9" t="s">
        <v>341</v>
      </c>
      <c r="H471" s="11" t="s">
        <v>58</v>
      </c>
      <c r="I471" s="32" t="n">
        <f aca="false">0</f>
        <v>0</v>
      </c>
      <c r="J471" s="11" t="s">
        <v>576</v>
      </c>
      <c r="K471" s="32" t="str">
        <f aca="false">IF(I471=1,"ACCEPTED","OPEN")</f>
        <v>OPEN</v>
      </c>
    </row>
    <row r="472" customFormat="false" ht="15" hidden="false" customHeight="false" outlineLevel="0" collapsed="false">
      <c r="A472" s="19" t="str">
        <f aca="false">"PKT-"&amp;B472&amp;"-CONFIGURATION"</f>
        <v>PKT-MTH-RT-REC-L2-CONFIGURATION</v>
      </c>
      <c r="B472" s="19" t="str">
        <f aca="false">'Object Crosswalk'!A100</f>
        <v>MTH-RT-REC-L2</v>
      </c>
      <c r="C472" s="19" t="str">
        <f aca="false">'Object Crosswalk'!B100</f>
        <v>Method lineage</v>
      </c>
      <c r="D472" s="19" t="str">
        <f aca="false">'Object Crosswalk'!D100</f>
        <v>MS-RT</v>
      </c>
      <c r="E472" s="19" t="str">
        <f aca="false">'Object Crosswalk'!E100</f>
        <v>RT-B</v>
      </c>
      <c r="F472" s="19" t="str">
        <f aca="false">'Object Crosswalk'!F100</f>
        <v>RECONSTRUCTION</v>
      </c>
      <c r="G472" s="9" t="s">
        <v>728</v>
      </c>
      <c r="H472" s="11" t="s">
        <v>58</v>
      </c>
      <c r="I472" s="32" t="n">
        <f aca="false">0</f>
        <v>0</v>
      </c>
      <c r="J472" s="11" t="s">
        <v>576</v>
      </c>
      <c r="K472" s="32" t="str">
        <f aca="false">IF(I472=1,"ACCEPTED","OPEN")</f>
        <v>OPEN</v>
      </c>
    </row>
    <row r="473" customFormat="false" ht="15" hidden="false" customHeight="false" outlineLevel="0" collapsed="false">
      <c r="A473" s="19" t="str">
        <f aca="false">"PKT-"&amp;B473&amp;"-CONTROL"</f>
        <v>PKT-MTH-RT-REC-L2-CONTROL</v>
      </c>
      <c r="B473" s="19" t="str">
        <f aca="false">'Object Crosswalk'!A100</f>
        <v>MTH-RT-REC-L2</v>
      </c>
      <c r="C473" s="19" t="str">
        <f aca="false">'Object Crosswalk'!B100</f>
        <v>Method lineage</v>
      </c>
      <c r="D473" s="19" t="str">
        <f aca="false">'Object Crosswalk'!D100</f>
        <v>MS-RT</v>
      </c>
      <c r="E473" s="19" t="str">
        <f aca="false">'Object Crosswalk'!E100</f>
        <v>RT-B</v>
      </c>
      <c r="F473" s="19" t="str">
        <f aca="false">'Object Crosswalk'!F100</f>
        <v>RECONSTRUCTION</v>
      </c>
      <c r="G473" s="9" t="s">
        <v>333</v>
      </c>
      <c r="H473" s="11" t="s">
        <v>58</v>
      </c>
      <c r="I473" s="32" t="n">
        <f aca="false">0</f>
        <v>0</v>
      </c>
      <c r="J473" s="11" t="s">
        <v>576</v>
      </c>
      <c r="K473" s="32" t="str">
        <f aca="false">IF(I473=1,"ACCEPTED","OPEN")</f>
        <v>OPEN</v>
      </c>
    </row>
    <row r="474" customFormat="false" ht="15" hidden="false" customHeight="false" outlineLevel="0" collapsed="false">
      <c r="A474" s="19" t="str">
        <f aca="false">"PKT-"&amp;B474&amp;"-METROLOGY"</f>
        <v>PKT-MTH-RT-REC-L2-METROLOGY</v>
      </c>
      <c r="B474" s="19" t="str">
        <f aca="false">'Object Crosswalk'!A100</f>
        <v>MTH-RT-REC-L2</v>
      </c>
      <c r="C474" s="19" t="str">
        <f aca="false">'Object Crosswalk'!B100</f>
        <v>Method lineage</v>
      </c>
      <c r="D474" s="19" t="str">
        <f aca="false">'Object Crosswalk'!D100</f>
        <v>MS-RT</v>
      </c>
      <c r="E474" s="19" t="str">
        <f aca="false">'Object Crosswalk'!E100</f>
        <v>RT-B</v>
      </c>
      <c r="F474" s="19" t="str">
        <f aca="false">'Object Crosswalk'!F100</f>
        <v>RECONSTRUCTION</v>
      </c>
      <c r="G474" s="9" t="s">
        <v>729</v>
      </c>
      <c r="H474" s="11" t="s">
        <v>58</v>
      </c>
      <c r="I474" s="32" t="n">
        <f aca="false">0</f>
        <v>0</v>
      </c>
      <c r="J474" s="11" t="s">
        <v>576</v>
      </c>
      <c r="K474" s="32" t="str">
        <f aca="false">IF(I474=1,"ACCEPTED","OPEN")</f>
        <v>OPEN</v>
      </c>
    </row>
    <row r="475" customFormat="false" ht="15" hidden="false" customHeight="false" outlineLevel="0" collapsed="false">
      <c r="A475" s="19" t="str">
        <f aca="false">"PKT-"&amp;B475&amp;"-SAFETY"</f>
        <v>PKT-MTH-RT-REC-L2-SAFETY</v>
      </c>
      <c r="B475" s="19" t="str">
        <f aca="false">'Object Crosswalk'!A100</f>
        <v>MTH-RT-REC-L2</v>
      </c>
      <c r="C475" s="19" t="str">
        <f aca="false">'Object Crosswalk'!B100</f>
        <v>Method lineage</v>
      </c>
      <c r="D475" s="19" t="str">
        <f aca="false">'Object Crosswalk'!D100</f>
        <v>MS-RT</v>
      </c>
      <c r="E475" s="19" t="str">
        <f aca="false">'Object Crosswalk'!E100</f>
        <v>RT-B</v>
      </c>
      <c r="F475" s="19" t="str">
        <f aca="false">'Object Crosswalk'!F100</f>
        <v>RECONSTRUCTION</v>
      </c>
      <c r="G475" s="9" t="s">
        <v>730</v>
      </c>
      <c r="H475" s="11" t="s">
        <v>58</v>
      </c>
      <c r="I475" s="32" t="n">
        <f aca="false">0</f>
        <v>0</v>
      </c>
      <c r="J475" s="11" t="s">
        <v>576</v>
      </c>
      <c r="K475" s="32" t="str">
        <f aca="false">IF(I475=1,"ACCEPTED","OPEN")</f>
        <v>OPEN</v>
      </c>
    </row>
    <row r="476" customFormat="false" ht="15" hidden="false" customHeight="false" outlineLevel="0" collapsed="false">
      <c r="A476" s="19" t="str">
        <f aca="false">"PKT-"&amp;B476&amp;"-RECONSTRUCTION"</f>
        <v>PKT-MTH-RT-REC-L2-RECONSTRUCTION</v>
      </c>
      <c r="B476" s="19" t="str">
        <f aca="false">'Object Crosswalk'!A100</f>
        <v>MTH-RT-REC-L2</v>
      </c>
      <c r="C476" s="19" t="str">
        <f aca="false">'Object Crosswalk'!B100</f>
        <v>Method lineage</v>
      </c>
      <c r="D476" s="19" t="str">
        <f aca="false">'Object Crosswalk'!D100</f>
        <v>MS-RT</v>
      </c>
      <c r="E476" s="19" t="str">
        <f aca="false">'Object Crosswalk'!E100</f>
        <v>RT-B</v>
      </c>
      <c r="F476" s="19" t="str">
        <f aca="false">'Object Crosswalk'!F100</f>
        <v>RECONSTRUCTION</v>
      </c>
      <c r="G476" s="9" t="s">
        <v>341</v>
      </c>
      <c r="H476" s="11" t="s">
        <v>58</v>
      </c>
      <c r="I476" s="32" t="n">
        <f aca="false">0</f>
        <v>0</v>
      </c>
      <c r="J476" s="11" t="s">
        <v>576</v>
      </c>
      <c r="K476" s="32" t="str">
        <f aca="false">IF(I476=1,"ACCEPTED","OPEN")</f>
        <v>OPEN</v>
      </c>
    </row>
    <row r="477" customFormat="false" ht="15" hidden="false" customHeight="false" outlineLevel="0" collapsed="false">
      <c r="A477" s="19" t="str">
        <f aca="false">"PKT-"&amp;B477&amp;"-CONFIGURATION"</f>
        <v>PKT-REG-RT-REC-CONFIGURATION</v>
      </c>
      <c r="B477" s="19" t="str">
        <f aca="false">'Object Crosswalk'!A101</f>
        <v>REG-RT-REC</v>
      </c>
      <c r="C477" s="19" t="str">
        <f aca="false">'Object Crosswalk'!B101</f>
        <v>Regeneration tool</v>
      </c>
      <c r="D477" s="19" t="str">
        <f aca="false">'Object Crosswalk'!D101</f>
        <v>MS-RT</v>
      </c>
      <c r="E477" s="19" t="str">
        <f aca="false">'Object Crosswalk'!E101</f>
        <v>RT-B</v>
      </c>
      <c r="F477" s="19" t="str">
        <f aca="false">'Object Crosswalk'!F101</f>
        <v>RECONSTRUCTION</v>
      </c>
      <c r="G477" s="9" t="s">
        <v>728</v>
      </c>
      <c r="H477" s="11" t="s">
        <v>58</v>
      </c>
      <c r="I477" s="32" t="n">
        <f aca="false">0</f>
        <v>0</v>
      </c>
      <c r="J477" s="11" t="s">
        <v>576</v>
      </c>
      <c r="K477" s="32" t="str">
        <f aca="false">IF(I477=1,"ACCEPTED","OPEN")</f>
        <v>OPEN</v>
      </c>
    </row>
    <row r="478" customFormat="false" ht="15" hidden="false" customHeight="false" outlineLevel="0" collapsed="false">
      <c r="A478" s="19" t="str">
        <f aca="false">"PKT-"&amp;B478&amp;"-CONTROL"</f>
        <v>PKT-REG-RT-REC-CONTROL</v>
      </c>
      <c r="B478" s="19" t="str">
        <f aca="false">'Object Crosswalk'!A101</f>
        <v>REG-RT-REC</v>
      </c>
      <c r="C478" s="19" t="str">
        <f aca="false">'Object Crosswalk'!B101</f>
        <v>Regeneration tool</v>
      </c>
      <c r="D478" s="19" t="str">
        <f aca="false">'Object Crosswalk'!D101</f>
        <v>MS-RT</v>
      </c>
      <c r="E478" s="19" t="str">
        <f aca="false">'Object Crosswalk'!E101</f>
        <v>RT-B</v>
      </c>
      <c r="F478" s="19" t="str">
        <f aca="false">'Object Crosswalk'!F101</f>
        <v>RECONSTRUCTION</v>
      </c>
      <c r="G478" s="9" t="s">
        <v>333</v>
      </c>
      <c r="H478" s="11" t="s">
        <v>58</v>
      </c>
      <c r="I478" s="32" t="n">
        <f aca="false">0</f>
        <v>0</v>
      </c>
      <c r="J478" s="11" t="s">
        <v>576</v>
      </c>
      <c r="K478" s="32" t="str">
        <f aca="false">IF(I478=1,"ACCEPTED","OPEN")</f>
        <v>OPEN</v>
      </c>
    </row>
    <row r="479" customFormat="false" ht="15" hidden="false" customHeight="false" outlineLevel="0" collapsed="false">
      <c r="A479" s="19" t="str">
        <f aca="false">"PKT-"&amp;B479&amp;"-METROLOGY"</f>
        <v>PKT-REG-RT-REC-METROLOGY</v>
      </c>
      <c r="B479" s="19" t="str">
        <f aca="false">'Object Crosswalk'!A101</f>
        <v>REG-RT-REC</v>
      </c>
      <c r="C479" s="19" t="str">
        <f aca="false">'Object Crosswalk'!B101</f>
        <v>Regeneration tool</v>
      </c>
      <c r="D479" s="19" t="str">
        <f aca="false">'Object Crosswalk'!D101</f>
        <v>MS-RT</v>
      </c>
      <c r="E479" s="19" t="str">
        <f aca="false">'Object Crosswalk'!E101</f>
        <v>RT-B</v>
      </c>
      <c r="F479" s="19" t="str">
        <f aca="false">'Object Crosswalk'!F101</f>
        <v>RECONSTRUCTION</v>
      </c>
      <c r="G479" s="9" t="s">
        <v>729</v>
      </c>
      <c r="H479" s="11" t="s">
        <v>58</v>
      </c>
      <c r="I479" s="32" t="n">
        <f aca="false">0</f>
        <v>0</v>
      </c>
      <c r="J479" s="11" t="s">
        <v>576</v>
      </c>
      <c r="K479" s="32" t="str">
        <f aca="false">IF(I479=1,"ACCEPTED","OPEN")</f>
        <v>OPEN</v>
      </c>
    </row>
    <row r="480" customFormat="false" ht="15" hidden="false" customHeight="false" outlineLevel="0" collapsed="false">
      <c r="A480" s="19" t="str">
        <f aca="false">"PKT-"&amp;B480&amp;"-SAFETY"</f>
        <v>PKT-REG-RT-REC-SAFETY</v>
      </c>
      <c r="B480" s="19" t="str">
        <f aca="false">'Object Crosswalk'!A101</f>
        <v>REG-RT-REC</v>
      </c>
      <c r="C480" s="19" t="str">
        <f aca="false">'Object Crosswalk'!B101</f>
        <v>Regeneration tool</v>
      </c>
      <c r="D480" s="19" t="str">
        <f aca="false">'Object Crosswalk'!D101</f>
        <v>MS-RT</v>
      </c>
      <c r="E480" s="19" t="str">
        <f aca="false">'Object Crosswalk'!E101</f>
        <v>RT-B</v>
      </c>
      <c r="F480" s="19" t="str">
        <f aca="false">'Object Crosswalk'!F101</f>
        <v>RECONSTRUCTION</v>
      </c>
      <c r="G480" s="9" t="s">
        <v>730</v>
      </c>
      <c r="H480" s="11" t="s">
        <v>58</v>
      </c>
      <c r="I480" s="32" t="n">
        <f aca="false">0</f>
        <v>0</v>
      </c>
      <c r="J480" s="11" t="s">
        <v>576</v>
      </c>
      <c r="K480" s="32" t="str">
        <f aca="false">IF(I480=1,"ACCEPTED","OPEN")</f>
        <v>OPEN</v>
      </c>
    </row>
    <row r="481" customFormat="false" ht="15" hidden="false" customHeight="false" outlineLevel="0" collapsed="false">
      <c r="A481" s="19" t="str">
        <f aca="false">"PKT-"&amp;B481&amp;"-RECONSTRUCTION"</f>
        <v>PKT-REG-RT-REC-RECONSTRUCTION</v>
      </c>
      <c r="B481" s="19" t="str">
        <f aca="false">'Object Crosswalk'!A101</f>
        <v>REG-RT-REC</v>
      </c>
      <c r="C481" s="19" t="str">
        <f aca="false">'Object Crosswalk'!B101</f>
        <v>Regeneration tool</v>
      </c>
      <c r="D481" s="19" t="str">
        <f aca="false">'Object Crosswalk'!D101</f>
        <v>MS-RT</v>
      </c>
      <c r="E481" s="19" t="str">
        <f aca="false">'Object Crosswalk'!E101</f>
        <v>RT-B</v>
      </c>
      <c r="F481" s="19" t="str">
        <f aca="false">'Object Crosswalk'!F101</f>
        <v>RECONSTRUCTION</v>
      </c>
      <c r="G481" s="9" t="s">
        <v>341</v>
      </c>
      <c r="H481" s="11" t="s">
        <v>58</v>
      </c>
      <c r="I481" s="32" t="n">
        <f aca="false">0</f>
        <v>0</v>
      </c>
      <c r="J481" s="11" t="s">
        <v>576</v>
      </c>
      <c r="K481" s="32" t="str">
        <f aca="false">IF(I481=1,"ACCEPTED","OPEN")</f>
        <v>OPEN</v>
      </c>
    </row>
    <row r="482" customFormat="false" ht="15" hidden="false" customHeight="false" outlineLevel="0" collapsed="false">
      <c r="A482" s="19" t="str">
        <f aca="false">"PKT-"&amp;B482&amp;"-CONFIGURATION"</f>
        <v>PKT-INT-RT-REC-CONFIGURATION</v>
      </c>
      <c r="B482" s="19" t="str">
        <f aca="false">'Object Crosswalk'!A102</f>
        <v>INT-RT-REC</v>
      </c>
      <c r="C482" s="19" t="str">
        <f aca="false">'Object Crosswalk'!B102</f>
        <v>Station integration</v>
      </c>
      <c r="D482" s="19" t="str">
        <f aca="false">'Object Crosswalk'!D102</f>
        <v>MS-RT</v>
      </c>
      <c r="E482" s="19" t="str">
        <f aca="false">'Object Crosswalk'!E102</f>
        <v>RT-B</v>
      </c>
      <c r="F482" s="19" t="str">
        <f aca="false">'Object Crosswalk'!F102</f>
        <v>RECONSTRUCTION</v>
      </c>
      <c r="G482" s="9" t="s">
        <v>728</v>
      </c>
      <c r="H482" s="11" t="s">
        <v>58</v>
      </c>
      <c r="I482" s="32" t="n">
        <f aca="false">0</f>
        <v>0</v>
      </c>
      <c r="J482" s="11" t="s">
        <v>576</v>
      </c>
      <c r="K482" s="32" t="str">
        <f aca="false">IF(I482=1,"ACCEPTED","OPEN")</f>
        <v>OPEN</v>
      </c>
    </row>
    <row r="483" customFormat="false" ht="15" hidden="false" customHeight="false" outlineLevel="0" collapsed="false">
      <c r="A483" s="19" t="str">
        <f aca="false">"PKT-"&amp;B483&amp;"-CONTROL"</f>
        <v>PKT-INT-RT-REC-CONTROL</v>
      </c>
      <c r="B483" s="19" t="str">
        <f aca="false">'Object Crosswalk'!A102</f>
        <v>INT-RT-REC</v>
      </c>
      <c r="C483" s="19" t="str">
        <f aca="false">'Object Crosswalk'!B102</f>
        <v>Station integration</v>
      </c>
      <c r="D483" s="19" t="str">
        <f aca="false">'Object Crosswalk'!D102</f>
        <v>MS-RT</v>
      </c>
      <c r="E483" s="19" t="str">
        <f aca="false">'Object Crosswalk'!E102</f>
        <v>RT-B</v>
      </c>
      <c r="F483" s="19" t="str">
        <f aca="false">'Object Crosswalk'!F102</f>
        <v>RECONSTRUCTION</v>
      </c>
      <c r="G483" s="9" t="s">
        <v>333</v>
      </c>
      <c r="H483" s="11" t="s">
        <v>58</v>
      </c>
      <c r="I483" s="32" t="n">
        <f aca="false">0</f>
        <v>0</v>
      </c>
      <c r="J483" s="11" t="s">
        <v>576</v>
      </c>
      <c r="K483" s="32" t="str">
        <f aca="false">IF(I483=1,"ACCEPTED","OPEN")</f>
        <v>OPEN</v>
      </c>
    </row>
    <row r="484" customFormat="false" ht="15" hidden="false" customHeight="false" outlineLevel="0" collapsed="false">
      <c r="A484" s="19" t="str">
        <f aca="false">"PKT-"&amp;B484&amp;"-METROLOGY"</f>
        <v>PKT-INT-RT-REC-METROLOGY</v>
      </c>
      <c r="B484" s="19" t="str">
        <f aca="false">'Object Crosswalk'!A102</f>
        <v>INT-RT-REC</v>
      </c>
      <c r="C484" s="19" t="str">
        <f aca="false">'Object Crosswalk'!B102</f>
        <v>Station integration</v>
      </c>
      <c r="D484" s="19" t="str">
        <f aca="false">'Object Crosswalk'!D102</f>
        <v>MS-RT</v>
      </c>
      <c r="E484" s="19" t="str">
        <f aca="false">'Object Crosswalk'!E102</f>
        <v>RT-B</v>
      </c>
      <c r="F484" s="19" t="str">
        <f aca="false">'Object Crosswalk'!F102</f>
        <v>RECONSTRUCTION</v>
      </c>
      <c r="G484" s="9" t="s">
        <v>729</v>
      </c>
      <c r="H484" s="11" t="s">
        <v>58</v>
      </c>
      <c r="I484" s="32" t="n">
        <f aca="false">0</f>
        <v>0</v>
      </c>
      <c r="J484" s="11" t="s">
        <v>576</v>
      </c>
      <c r="K484" s="32" t="str">
        <f aca="false">IF(I484=1,"ACCEPTED","OPEN")</f>
        <v>OPEN</v>
      </c>
    </row>
    <row r="485" customFormat="false" ht="15" hidden="false" customHeight="false" outlineLevel="0" collapsed="false">
      <c r="A485" s="19" t="str">
        <f aca="false">"PKT-"&amp;B485&amp;"-SAFETY"</f>
        <v>PKT-INT-RT-REC-SAFETY</v>
      </c>
      <c r="B485" s="19" t="str">
        <f aca="false">'Object Crosswalk'!A102</f>
        <v>INT-RT-REC</v>
      </c>
      <c r="C485" s="19" t="str">
        <f aca="false">'Object Crosswalk'!B102</f>
        <v>Station integration</v>
      </c>
      <c r="D485" s="19" t="str">
        <f aca="false">'Object Crosswalk'!D102</f>
        <v>MS-RT</v>
      </c>
      <c r="E485" s="19" t="str">
        <f aca="false">'Object Crosswalk'!E102</f>
        <v>RT-B</v>
      </c>
      <c r="F485" s="19" t="str">
        <f aca="false">'Object Crosswalk'!F102</f>
        <v>RECONSTRUCTION</v>
      </c>
      <c r="G485" s="9" t="s">
        <v>730</v>
      </c>
      <c r="H485" s="11" t="s">
        <v>58</v>
      </c>
      <c r="I485" s="32" t="n">
        <f aca="false">0</f>
        <v>0</v>
      </c>
      <c r="J485" s="11" t="s">
        <v>576</v>
      </c>
      <c r="K485" s="32" t="str">
        <f aca="false">IF(I485=1,"ACCEPTED","OPEN")</f>
        <v>OPEN</v>
      </c>
    </row>
    <row r="486" customFormat="false" ht="15" hidden="false" customHeight="false" outlineLevel="0" collapsed="false">
      <c r="A486" s="19" t="str">
        <f aca="false">"PKT-"&amp;B486&amp;"-RECONSTRUCTION"</f>
        <v>PKT-INT-RT-REC-RECONSTRUCTION</v>
      </c>
      <c r="B486" s="19" t="str">
        <f aca="false">'Object Crosswalk'!A102</f>
        <v>INT-RT-REC</v>
      </c>
      <c r="C486" s="19" t="str">
        <f aca="false">'Object Crosswalk'!B102</f>
        <v>Station integration</v>
      </c>
      <c r="D486" s="19" t="str">
        <f aca="false">'Object Crosswalk'!D102</f>
        <v>MS-RT</v>
      </c>
      <c r="E486" s="19" t="str">
        <f aca="false">'Object Crosswalk'!E102</f>
        <v>RT-B</v>
      </c>
      <c r="F486" s="19" t="str">
        <f aca="false">'Object Crosswalk'!F102</f>
        <v>RECONSTRUCTION</v>
      </c>
      <c r="G486" s="9" t="s">
        <v>341</v>
      </c>
      <c r="H486" s="11" t="s">
        <v>58</v>
      </c>
      <c r="I486" s="32" t="n">
        <f aca="false">0</f>
        <v>0</v>
      </c>
      <c r="J486" s="11" t="s">
        <v>576</v>
      </c>
      <c r="K486" s="32" t="str">
        <f aca="false">IF(I486=1,"ACCEPTED","OPEN")</f>
        <v>OPEN</v>
      </c>
    </row>
    <row r="487" customFormat="false" ht="15" hidden="false" customHeight="false" outlineLevel="0" collapsed="false">
      <c r="A487" s="19" t="str">
        <f aca="false">"PKT-"&amp;B487&amp;"-CONFIGURATION"</f>
        <v>PKT-CAN-ET-A-CONFIGURATION</v>
      </c>
      <c r="B487" s="19" t="str">
        <f aca="false">'Object Crosswalk'!A103</f>
        <v>CAN-ET-A</v>
      </c>
      <c r="C487" s="19" t="str">
        <f aca="false">'Object Crosswalk'!B103</f>
        <v>Candidate mechanism</v>
      </c>
      <c r="D487" s="19" t="str">
        <f aca="false">'Object Crosswalk'!D103</f>
        <v>MS-ET</v>
      </c>
      <c r="E487" s="19" t="str">
        <f aca="false">'Object Crosswalk'!E103</f>
        <v>ET-A</v>
      </c>
      <c r="F487" s="19" t="str">
        <f aca="false">'Object Crosswalk'!F103</f>
        <v>SYSTEM</v>
      </c>
      <c r="G487" s="9" t="s">
        <v>728</v>
      </c>
      <c r="H487" s="11" t="s">
        <v>58</v>
      </c>
      <c r="I487" s="32" t="n">
        <f aca="false">0</f>
        <v>0</v>
      </c>
      <c r="J487" s="11" t="s">
        <v>576</v>
      </c>
      <c r="K487" s="32" t="str">
        <f aca="false">IF(I487=1,"ACCEPTED","OPEN")</f>
        <v>OPEN</v>
      </c>
    </row>
    <row r="488" customFormat="false" ht="15" hidden="false" customHeight="false" outlineLevel="0" collapsed="false">
      <c r="A488" s="19" t="str">
        <f aca="false">"PKT-"&amp;B488&amp;"-CONTROL"</f>
        <v>PKT-CAN-ET-A-CONTROL</v>
      </c>
      <c r="B488" s="19" t="str">
        <f aca="false">'Object Crosswalk'!A103</f>
        <v>CAN-ET-A</v>
      </c>
      <c r="C488" s="19" t="str">
        <f aca="false">'Object Crosswalk'!B103</f>
        <v>Candidate mechanism</v>
      </c>
      <c r="D488" s="19" t="str">
        <f aca="false">'Object Crosswalk'!D103</f>
        <v>MS-ET</v>
      </c>
      <c r="E488" s="19" t="str">
        <f aca="false">'Object Crosswalk'!E103</f>
        <v>ET-A</v>
      </c>
      <c r="F488" s="19" t="str">
        <f aca="false">'Object Crosswalk'!F103</f>
        <v>SYSTEM</v>
      </c>
      <c r="G488" s="9" t="s">
        <v>333</v>
      </c>
      <c r="H488" s="11" t="s">
        <v>58</v>
      </c>
      <c r="I488" s="32" t="n">
        <f aca="false">0</f>
        <v>0</v>
      </c>
      <c r="J488" s="11" t="s">
        <v>576</v>
      </c>
      <c r="K488" s="32" t="str">
        <f aca="false">IF(I488=1,"ACCEPTED","OPEN")</f>
        <v>OPEN</v>
      </c>
    </row>
    <row r="489" customFormat="false" ht="15" hidden="false" customHeight="false" outlineLevel="0" collapsed="false">
      <c r="A489" s="19" t="str">
        <f aca="false">"PKT-"&amp;B489&amp;"-METROLOGY"</f>
        <v>PKT-CAN-ET-A-METROLOGY</v>
      </c>
      <c r="B489" s="19" t="str">
        <f aca="false">'Object Crosswalk'!A103</f>
        <v>CAN-ET-A</v>
      </c>
      <c r="C489" s="19" t="str">
        <f aca="false">'Object Crosswalk'!B103</f>
        <v>Candidate mechanism</v>
      </c>
      <c r="D489" s="19" t="str">
        <f aca="false">'Object Crosswalk'!D103</f>
        <v>MS-ET</v>
      </c>
      <c r="E489" s="19" t="str">
        <f aca="false">'Object Crosswalk'!E103</f>
        <v>ET-A</v>
      </c>
      <c r="F489" s="19" t="str">
        <f aca="false">'Object Crosswalk'!F103</f>
        <v>SYSTEM</v>
      </c>
      <c r="G489" s="9" t="s">
        <v>729</v>
      </c>
      <c r="H489" s="11" t="s">
        <v>58</v>
      </c>
      <c r="I489" s="32" t="n">
        <f aca="false">0</f>
        <v>0</v>
      </c>
      <c r="J489" s="11" t="s">
        <v>576</v>
      </c>
      <c r="K489" s="32" t="str">
        <f aca="false">IF(I489=1,"ACCEPTED","OPEN")</f>
        <v>OPEN</v>
      </c>
    </row>
    <row r="490" customFormat="false" ht="15" hidden="false" customHeight="false" outlineLevel="0" collapsed="false">
      <c r="A490" s="19" t="str">
        <f aca="false">"PKT-"&amp;B490&amp;"-SAFETY"</f>
        <v>PKT-CAN-ET-A-SAFETY</v>
      </c>
      <c r="B490" s="19" t="str">
        <f aca="false">'Object Crosswalk'!A103</f>
        <v>CAN-ET-A</v>
      </c>
      <c r="C490" s="19" t="str">
        <f aca="false">'Object Crosswalk'!B103</f>
        <v>Candidate mechanism</v>
      </c>
      <c r="D490" s="19" t="str">
        <f aca="false">'Object Crosswalk'!D103</f>
        <v>MS-ET</v>
      </c>
      <c r="E490" s="19" t="str">
        <f aca="false">'Object Crosswalk'!E103</f>
        <v>ET-A</v>
      </c>
      <c r="F490" s="19" t="str">
        <f aca="false">'Object Crosswalk'!F103</f>
        <v>SYSTEM</v>
      </c>
      <c r="G490" s="9" t="s">
        <v>730</v>
      </c>
      <c r="H490" s="11" t="s">
        <v>58</v>
      </c>
      <c r="I490" s="32" t="n">
        <f aca="false">0</f>
        <v>0</v>
      </c>
      <c r="J490" s="11" t="s">
        <v>576</v>
      </c>
      <c r="K490" s="32" t="str">
        <f aca="false">IF(I490=1,"ACCEPTED","OPEN")</f>
        <v>OPEN</v>
      </c>
    </row>
    <row r="491" customFormat="false" ht="15" hidden="false" customHeight="false" outlineLevel="0" collapsed="false">
      <c r="A491" s="19" t="str">
        <f aca="false">"PKT-"&amp;B491&amp;"-RECONSTRUCTION"</f>
        <v>PKT-CAN-ET-A-RECONSTRUCTION</v>
      </c>
      <c r="B491" s="19" t="str">
        <f aca="false">'Object Crosswalk'!A103</f>
        <v>CAN-ET-A</v>
      </c>
      <c r="C491" s="19" t="str">
        <f aca="false">'Object Crosswalk'!B103</f>
        <v>Candidate mechanism</v>
      </c>
      <c r="D491" s="19" t="str">
        <f aca="false">'Object Crosswalk'!D103</f>
        <v>MS-ET</v>
      </c>
      <c r="E491" s="19" t="str">
        <f aca="false">'Object Crosswalk'!E103</f>
        <v>ET-A</v>
      </c>
      <c r="F491" s="19" t="str">
        <f aca="false">'Object Crosswalk'!F103</f>
        <v>SYSTEM</v>
      </c>
      <c r="G491" s="9" t="s">
        <v>341</v>
      </c>
      <c r="H491" s="11" t="s">
        <v>58</v>
      </c>
      <c r="I491" s="32" t="n">
        <f aca="false">0</f>
        <v>0</v>
      </c>
      <c r="J491" s="11" t="s">
        <v>576</v>
      </c>
      <c r="K491" s="32" t="str">
        <f aca="false">IF(I491=1,"ACCEPTED","OPEN")</f>
        <v>OPEN</v>
      </c>
    </row>
    <row r="492" customFormat="false" ht="15" hidden="false" customHeight="false" outlineLevel="0" collapsed="false">
      <c r="A492" s="19" t="str">
        <f aca="false">"PKT-"&amp;B492&amp;"-CONFIGURATION"</f>
        <v>PKT-CAN-CT-C-CONFIGURATION</v>
      </c>
      <c r="B492" s="19" t="str">
        <f aca="false">'Object Crosswalk'!A104</f>
        <v>CAN-CT-C</v>
      </c>
      <c r="C492" s="19" t="str">
        <f aca="false">'Object Crosswalk'!B104</f>
        <v>Candidate mechanism</v>
      </c>
      <c r="D492" s="19" t="str">
        <f aca="false">'Object Crosswalk'!D104</f>
        <v>MS-CT</v>
      </c>
      <c r="E492" s="19" t="str">
        <f aca="false">'Object Crosswalk'!E104</f>
        <v>CT-C</v>
      </c>
      <c r="F492" s="19" t="str">
        <f aca="false">'Object Crosswalk'!F104</f>
        <v>SYSTEM</v>
      </c>
      <c r="G492" s="9" t="s">
        <v>728</v>
      </c>
      <c r="H492" s="11" t="s">
        <v>58</v>
      </c>
      <c r="I492" s="32" t="n">
        <f aca="false">0</f>
        <v>0</v>
      </c>
      <c r="J492" s="11" t="s">
        <v>576</v>
      </c>
      <c r="K492" s="32" t="str">
        <f aca="false">IF(I492=1,"ACCEPTED","OPEN")</f>
        <v>OPEN</v>
      </c>
    </row>
    <row r="493" customFormat="false" ht="15" hidden="false" customHeight="false" outlineLevel="0" collapsed="false">
      <c r="A493" s="19" t="str">
        <f aca="false">"PKT-"&amp;B493&amp;"-CONTROL"</f>
        <v>PKT-CAN-CT-C-CONTROL</v>
      </c>
      <c r="B493" s="19" t="str">
        <f aca="false">'Object Crosswalk'!A104</f>
        <v>CAN-CT-C</v>
      </c>
      <c r="C493" s="19" t="str">
        <f aca="false">'Object Crosswalk'!B104</f>
        <v>Candidate mechanism</v>
      </c>
      <c r="D493" s="19" t="str">
        <f aca="false">'Object Crosswalk'!D104</f>
        <v>MS-CT</v>
      </c>
      <c r="E493" s="19" t="str">
        <f aca="false">'Object Crosswalk'!E104</f>
        <v>CT-C</v>
      </c>
      <c r="F493" s="19" t="str">
        <f aca="false">'Object Crosswalk'!F104</f>
        <v>SYSTEM</v>
      </c>
      <c r="G493" s="9" t="s">
        <v>333</v>
      </c>
      <c r="H493" s="11" t="s">
        <v>58</v>
      </c>
      <c r="I493" s="32" t="n">
        <f aca="false">0</f>
        <v>0</v>
      </c>
      <c r="J493" s="11" t="s">
        <v>576</v>
      </c>
      <c r="K493" s="32" t="str">
        <f aca="false">IF(I493=1,"ACCEPTED","OPEN")</f>
        <v>OPEN</v>
      </c>
    </row>
    <row r="494" customFormat="false" ht="15" hidden="false" customHeight="false" outlineLevel="0" collapsed="false">
      <c r="A494" s="19" t="str">
        <f aca="false">"PKT-"&amp;B494&amp;"-METROLOGY"</f>
        <v>PKT-CAN-CT-C-METROLOGY</v>
      </c>
      <c r="B494" s="19" t="str">
        <f aca="false">'Object Crosswalk'!A104</f>
        <v>CAN-CT-C</v>
      </c>
      <c r="C494" s="19" t="str">
        <f aca="false">'Object Crosswalk'!B104</f>
        <v>Candidate mechanism</v>
      </c>
      <c r="D494" s="19" t="str">
        <f aca="false">'Object Crosswalk'!D104</f>
        <v>MS-CT</v>
      </c>
      <c r="E494" s="19" t="str">
        <f aca="false">'Object Crosswalk'!E104</f>
        <v>CT-C</v>
      </c>
      <c r="F494" s="19" t="str">
        <f aca="false">'Object Crosswalk'!F104</f>
        <v>SYSTEM</v>
      </c>
      <c r="G494" s="9" t="s">
        <v>729</v>
      </c>
      <c r="H494" s="11" t="s">
        <v>58</v>
      </c>
      <c r="I494" s="32" t="n">
        <f aca="false">0</f>
        <v>0</v>
      </c>
      <c r="J494" s="11" t="s">
        <v>576</v>
      </c>
      <c r="K494" s="32" t="str">
        <f aca="false">IF(I494=1,"ACCEPTED","OPEN")</f>
        <v>OPEN</v>
      </c>
    </row>
    <row r="495" customFormat="false" ht="15" hidden="false" customHeight="false" outlineLevel="0" collapsed="false">
      <c r="A495" s="19" t="str">
        <f aca="false">"PKT-"&amp;B495&amp;"-SAFETY"</f>
        <v>PKT-CAN-CT-C-SAFETY</v>
      </c>
      <c r="B495" s="19" t="str">
        <f aca="false">'Object Crosswalk'!A104</f>
        <v>CAN-CT-C</v>
      </c>
      <c r="C495" s="19" t="str">
        <f aca="false">'Object Crosswalk'!B104</f>
        <v>Candidate mechanism</v>
      </c>
      <c r="D495" s="19" t="str">
        <f aca="false">'Object Crosswalk'!D104</f>
        <v>MS-CT</v>
      </c>
      <c r="E495" s="19" t="str">
        <f aca="false">'Object Crosswalk'!E104</f>
        <v>CT-C</v>
      </c>
      <c r="F495" s="19" t="str">
        <f aca="false">'Object Crosswalk'!F104</f>
        <v>SYSTEM</v>
      </c>
      <c r="G495" s="9" t="s">
        <v>730</v>
      </c>
      <c r="H495" s="11" t="s">
        <v>58</v>
      </c>
      <c r="I495" s="32" t="n">
        <f aca="false">0</f>
        <v>0</v>
      </c>
      <c r="J495" s="11" t="s">
        <v>576</v>
      </c>
      <c r="K495" s="32" t="str">
        <f aca="false">IF(I495=1,"ACCEPTED","OPEN")</f>
        <v>OPEN</v>
      </c>
    </row>
    <row r="496" customFormat="false" ht="15" hidden="false" customHeight="false" outlineLevel="0" collapsed="false">
      <c r="A496" s="19" t="str">
        <f aca="false">"PKT-"&amp;B496&amp;"-RECONSTRUCTION"</f>
        <v>PKT-CAN-CT-C-RECONSTRUCTION</v>
      </c>
      <c r="B496" s="19" t="str">
        <f aca="false">'Object Crosswalk'!A104</f>
        <v>CAN-CT-C</v>
      </c>
      <c r="C496" s="19" t="str">
        <f aca="false">'Object Crosswalk'!B104</f>
        <v>Candidate mechanism</v>
      </c>
      <c r="D496" s="19" t="str">
        <f aca="false">'Object Crosswalk'!D104</f>
        <v>MS-CT</v>
      </c>
      <c r="E496" s="19" t="str">
        <f aca="false">'Object Crosswalk'!E104</f>
        <v>CT-C</v>
      </c>
      <c r="F496" s="19" t="str">
        <f aca="false">'Object Crosswalk'!F104</f>
        <v>SYSTEM</v>
      </c>
      <c r="G496" s="9" t="s">
        <v>341</v>
      </c>
      <c r="H496" s="11" t="s">
        <v>58</v>
      </c>
      <c r="I496" s="32" t="n">
        <f aca="false">0</f>
        <v>0</v>
      </c>
      <c r="J496" s="11" t="s">
        <v>576</v>
      </c>
      <c r="K496" s="32" t="str">
        <f aca="false">IF(I496=1,"ACCEPTED","OPEN")</f>
        <v>OPEN</v>
      </c>
    </row>
    <row r="497" customFormat="false" ht="15" hidden="false" customHeight="false" outlineLevel="0" collapsed="false">
      <c r="A497" s="19" t="str">
        <f aca="false">"PKT-"&amp;B497&amp;"-CONFIGURATION"</f>
        <v>PKT-CAN-HC-A-CONFIGURATION</v>
      </c>
      <c r="B497" s="19" t="str">
        <f aca="false">'Object Crosswalk'!A105</f>
        <v>CAN-HC-A</v>
      </c>
      <c r="C497" s="19" t="str">
        <f aca="false">'Object Crosswalk'!B105</f>
        <v>Candidate mechanism</v>
      </c>
      <c r="D497" s="19" t="str">
        <f aca="false">'Object Crosswalk'!D105</f>
        <v>MS-HC</v>
      </c>
      <c r="E497" s="19" t="str">
        <f aca="false">'Object Crosswalk'!E105</f>
        <v>HC-A</v>
      </c>
      <c r="F497" s="19" t="str">
        <f aca="false">'Object Crosswalk'!F105</f>
        <v>SYSTEM</v>
      </c>
      <c r="G497" s="9" t="s">
        <v>728</v>
      </c>
      <c r="H497" s="11" t="s">
        <v>58</v>
      </c>
      <c r="I497" s="32" t="n">
        <f aca="false">0</f>
        <v>0</v>
      </c>
      <c r="J497" s="11" t="s">
        <v>576</v>
      </c>
      <c r="K497" s="32" t="str">
        <f aca="false">IF(I497=1,"ACCEPTED","OPEN")</f>
        <v>OPEN</v>
      </c>
    </row>
    <row r="498" customFormat="false" ht="15" hidden="false" customHeight="false" outlineLevel="0" collapsed="false">
      <c r="A498" s="19" t="str">
        <f aca="false">"PKT-"&amp;B498&amp;"-CONTROL"</f>
        <v>PKT-CAN-HC-A-CONTROL</v>
      </c>
      <c r="B498" s="19" t="str">
        <f aca="false">'Object Crosswalk'!A105</f>
        <v>CAN-HC-A</v>
      </c>
      <c r="C498" s="19" t="str">
        <f aca="false">'Object Crosswalk'!B105</f>
        <v>Candidate mechanism</v>
      </c>
      <c r="D498" s="19" t="str">
        <f aca="false">'Object Crosswalk'!D105</f>
        <v>MS-HC</v>
      </c>
      <c r="E498" s="19" t="str">
        <f aca="false">'Object Crosswalk'!E105</f>
        <v>HC-A</v>
      </c>
      <c r="F498" s="19" t="str">
        <f aca="false">'Object Crosswalk'!F105</f>
        <v>SYSTEM</v>
      </c>
      <c r="G498" s="9" t="s">
        <v>333</v>
      </c>
      <c r="H498" s="11" t="s">
        <v>58</v>
      </c>
      <c r="I498" s="32" t="n">
        <f aca="false">0</f>
        <v>0</v>
      </c>
      <c r="J498" s="11" t="s">
        <v>576</v>
      </c>
      <c r="K498" s="32" t="str">
        <f aca="false">IF(I498=1,"ACCEPTED","OPEN")</f>
        <v>OPEN</v>
      </c>
    </row>
    <row r="499" customFormat="false" ht="15" hidden="false" customHeight="false" outlineLevel="0" collapsed="false">
      <c r="A499" s="19" t="str">
        <f aca="false">"PKT-"&amp;B499&amp;"-METROLOGY"</f>
        <v>PKT-CAN-HC-A-METROLOGY</v>
      </c>
      <c r="B499" s="19" t="str">
        <f aca="false">'Object Crosswalk'!A105</f>
        <v>CAN-HC-A</v>
      </c>
      <c r="C499" s="19" t="str">
        <f aca="false">'Object Crosswalk'!B105</f>
        <v>Candidate mechanism</v>
      </c>
      <c r="D499" s="19" t="str">
        <f aca="false">'Object Crosswalk'!D105</f>
        <v>MS-HC</v>
      </c>
      <c r="E499" s="19" t="str">
        <f aca="false">'Object Crosswalk'!E105</f>
        <v>HC-A</v>
      </c>
      <c r="F499" s="19" t="str">
        <f aca="false">'Object Crosswalk'!F105</f>
        <v>SYSTEM</v>
      </c>
      <c r="G499" s="9" t="s">
        <v>729</v>
      </c>
      <c r="H499" s="11" t="s">
        <v>58</v>
      </c>
      <c r="I499" s="32" t="n">
        <f aca="false">0</f>
        <v>0</v>
      </c>
      <c r="J499" s="11" t="s">
        <v>576</v>
      </c>
      <c r="K499" s="32" t="str">
        <f aca="false">IF(I499=1,"ACCEPTED","OPEN")</f>
        <v>OPEN</v>
      </c>
    </row>
    <row r="500" customFormat="false" ht="15" hidden="false" customHeight="false" outlineLevel="0" collapsed="false">
      <c r="A500" s="19" t="str">
        <f aca="false">"PKT-"&amp;B500&amp;"-SAFETY"</f>
        <v>PKT-CAN-HC-A-SAFETY</v>
      </c>
      <c r="B500" s="19" t="str">
        <f aca="false">'Object Crosswalk'!A105</f>
        <v>CAN-HC-A</v>
      </c>
      <c r="C500" s="19" t="str">
        <f aca="false">'Object Crosswalk'!B105</f>
        <v>Candidate mechanism</v>
      </c>
      <c r="D500" s="19" t="str">
        <f aca="false">'Object Crosswalk'!D105</f>
        <v>MS-HC</v>
      </c>
      <c r="E500" s="19" t="str">
        <f aca="false">'Object Crosswalk'!E105</f>
        <v>HC-A</v>
      </c>
      <c r="F500" s="19" t="str">
        <f aca="false">'Object Crosswalk'!F105</f>
        <v>SYSTEM</v>
      </c>
      <c r="G500" s="9" t="s">
        <v>730</v>
      </c>
      <c r="H500" s="11" t="s">
        <v>58</v>
      </c>
      <c r="I500" s="32" t="n">
        <f aca="false">0</f>
        <v>0</v>
      </c>
      <c r="J500" s="11" t="s">
        <v>576</v>
      </c>
      <c r="K500" s="32" t="str">
        <f aca="false">IF(I500=1,"ACCEPTED","OPEN")</f>
        <v>OPEN</v>
      </c>
    </row>
    <row r="501" customFormat="false" ht="15" hidden="false" customHeight="false" outlineLevel="0" collapsed="false">
      <c r="A501" s="19" t="str">
        <f aca="false">"PKT-"&amp;B501&amp;"-RECONSTRUCTION"</f>
        <v>PKT-CAN-HC-A-RECONSTRUCTION</v>
      </c>
      <c r="B501" s="19" t="str">
        <f aca="false">'Object Crosswalk'!A105</f>
        <v>CAN-HC-A</v>
      </c>
      <c r="C501" s="19" t="str">
        <f aca="false">'Object Crosswalk'!B105</f>
        <v>Candidate mechanism</v>
      </c>
      <c r="D501" s="19" t="str">
        <f aca="false">'Object Crosswalk'!D105</f>
        <v>MS-HC</v>
      </c>
      <c r="E501" s="19" t="str">
        <f aca="false">'Object Crosswalk'!E105</f>
        <v>HC-A</v>
      </c>
      <c r="F501" s="19" t="str">
        <f aca="false">'Object Crosswalk'!F105</f>
        <v>SYSTEM</v>
      </c>
      <c r="G501" s="9" t="s">
        <v>341</v>
      </c>
      <c r="H501" s="11" t="s">
        <v>58</v>
      </c>
      <c r="I501" s="32" t="n">
        <f aca="false">0</f>
        <v>0</v>
      </c>
      <c r="J501" s="11" t="s">
        <v>576</v>
      </c>
      <c r="K501" s="32" t="str">
        <f aca="false">IF(I501=1,"ACCEPTED","OPEN")</f>
        <v>OPEN</v>
      </c>
    </row>
    <row r="502" customFormat="false" ht="15" hidden="false" customHeight="false" outlineLevel="0" collapsed="false">
      <c r="A502" s="19" t="str">
        <f aca="false">"PKT-"&amp;B502&amp;"-CONFIGURATION"</f>
        <v>PKT-CAN-LF-B-CONFIGURATION</v>
      </c>
      <c r="B502" s="19" t="str">
        <f aca="false">'Object Crosswalk'!A106</f>
        <v>CAN-LF-B</v>
      </c>
      <c r="C502" s="19" t="str">
        <f aca="false">'Object Crosswalk'!B106</f>
        <v>Candidate mechanism</v>
      </c>
      <c r="D502" s="19" t="str">
        <f aca="false">'Object Crosswalk'!D106</f>
        <v>MS-LF</v>
      </c>
      <c r="E502" s="19" t="str">
        <f aca="false">'Object Crosswalk'!E106</f>
        <v>LF-B</v>
      </c>
      <c r="F502" s="19" t="str">
        <f aca="false">'Object Crosswalk'!F106</f>
        <v>SYSTEM</v>
      </c>
      <c r="G502" s="9" t="s">
        <v>728</v>
      </c>
      <c r="H502" s="11" t="s">
        <v>58</v>
      </c>
      <c r="I502" s="32" t="n">
        <f aca="false">0</f>
        <v>0</v>
      </c>
      <c r="J502" s="11" t="s">
        <v>576</v>
      </c>
      <c r="K502" s="32" t="str">
        <f aca="false">IF(I502=1,"ACCEPTED","OPEN")</f>
        <v>OPEN</v>
      </c>
    </row>
    <row r="503" customFormat="false" ht="15" hidden="false" customHeight="false" outlineLevel="0" collapsed="false">
      <c r="A503" s="19" t="str">
        <f aca="false">"PKT-"&amp;B503&amp;"-CONTROL"</f>
        <v>PKT-CAN-LF-B-CONTROL</v>
      </c>
      <c r="B503" s="19" t="str">
        <f aca="false">'Object Crosswalk'!A106</f>
        <v>CAN-LF-B</v>
      </c>
      <c r="C503" s="19" t="str">
        <f aca="false">'Object Crosswalk'!B106</f>
        <v>Candidate mechanism</v>
      </c>
      <c r="D503" s="19" t="str">
        <f aca="false">'Object Crosswalk'!D106</f>
        <v>MS-LF</v>
      </c>
      <c r="E503" s="19" t="str">
        <f aca="false">'Object Crosswalk'!E106</f>
        <v>LF-B</v>
      </c>
      <c r="F503" s="19" t="str">
        <f aca="false">'Object Crosswalk'!F106</f>
        <v>SYSTEM</v>
      </c>
      <c r="G503" s="9" t="s">
        <v>333</v>
      </c>
      <c r="H503" s="11" t="s">
        <v>58</v>
      </c>
      <c r="I503" s="32" t="n">
        <f aca="false">0</f>
        <v>0</v>
      </c>
      <c r="J503" s="11" t="s">
        <v>576</v>
      </c>
      <c r="K503" s="32" t="str">
        <f aca="false">IF(I503=1,"ACCEPTED","OPEN")</f>
        <v>OPEN</v>
      </c>
    </row>
    <row r="504" customFormat="false" ht="15" hidden="false" customHeight="false" outlineLevel="0" collapsed="false">
      <c r="A504" s="19" t="str">
        <f aca="false">"PKT-"&amp;B504&amp;"-METROLOGY"</f>
        <v>PKT-CAN-LF-B-METROLOGY</v>
      </c>
      <c r="B504" s="19" t="str">
        <f aca="false">'Object Crosswalk'!A106</f>
        <v>CAN-LF-B</v>
      </c>
      <c r="C504" s="19" t="str">
        <f aca="false">'Object Crosswalk'!B106</f>
        <v>Candidate mechanism</v>
      </c>
      <c r="D504" s="19" t="str">
        <f aca="false">'Object Crosswalk'!D106</f>
        <v>MS-LF</v>
      </c>
      <c r="E504" s="19" t="str">
        <f aca="false">'Object Crosswalk'!E106</f>
        <v>LF-B</v>
      </c>
      <c r="F504" s="19" t="str">
        <f aca="false">'Object Crosswalk'!F106</f>
        <v>SYSTEM</v>
      </c>
      <c r="G504" s="9" t="s">
        <v>729</v>
      </c>
      <c r="H504" s="11" t="s">
        <v>58</v>
      </c>
      <c r="I504" s="32" t="n">
        <f aca="false">0</f>
        <v>0</v>
      </c>
      <c r="J504" s="11" t="s">
        <v>576</v>
      </c>
      <c r="K504" s="32" t="str">
        <f aca="false">IF(I504=1,"ACCEPTED","OPEN")</f>
        <v>OPEN</v>
      </c>
    </row>
    <row r="505" customFormat="false" ht="15" hidden="false" customHeight="false" outlineLevel="0" collapsed="false">
      <c r="A505" s="19" t="str">
        <f aca="false">"PKT-"&amp;B505&amp;"-SAFETY"</f>
        <v>PKT-CAN-LF-B-SAFETY</v>
      </c>
      <c r="B505" s="19" t="str">
        <f aca="false">'Object Crosswalk'!A106</f>
        <v>CAN-LF-B</v>
      </c>
      <c r="C505" s="19" t="str">
        <f aca="false">'Object Crosswalk'!B106</f>
        <v>Candidate mechanism</v>
      </c>
      <c r="D505" s="19" t="str">
        <f aca="false">'Object Crosswalk'!D106</f>
        <v>MS-LF</v>
      </c>
      <c r="E505" s="19" t="str">
        <f aca="false">'Object Crosswalk'!E106</f>
        <v>LF-B</v>
      </c>
      <c r="F505" s="19" t="str">
        <f aca="false">'Object Crosswalk'!F106</f>
        <v>SYSTEM</v>
      </c>
      <c r="G505" s="9" t="s">
        <v>730</v>
      </c>
      <c r="H505" s="11" t="s">
        <v>58</v>
      </c>
      <c r="I505" s="32" t="n">
        <f aca="false">0</f>
        <v>0</v>
      </c>
      <c r="J505" s="11" t="s">
        <v>576</v>
      </c>
      <c r="K505" s="32" t="str">
        <f aca="false">IF(I505=1,"ACCEPTED","OPEN")</f>
        <v>OPEN</v>
      </c>
    </row>
    <row r="506" customFormat="false" ht="15" hidden="false" customHeight="false" outlineLevel="0" collapsed="false">
      <c r="A506" s="19" t="str">
        <f aca="false">"PKT-"&amp;B506&amp;"-RECONSTRUCTION"</f>
        <v>PKT-CAN-LF-B-RECONSTRUCTION</v>
      </c>
      <c r="B506" s="19" t="str">
        <f aca="false">'Object Crosswalk'!A106</f>
        <v>CAN-LF-B</v>
      </c>
      <c r="C506" s="19" t="str">
        <f aca="false">'Object Crosswalk'!B106</f>
        <v>Candidate mechanism</v>
      </c>
      <c r="D506" s="19" t="str">
        <f aca="false">'Object Crosswalk'!D106</f>
        <v>MS-LF</v>
      </c>
      <c r="E506" s="19" t="str">
        <f aca="false">'Object Crosswalk'!E106</f>
        <v>LF-B</v>
      </c>
      <c r="F506" s="19" t="str">
        <f aca="false">'Object Crosswalk'!F106</f>
        <v>SYSTEM</v>
      </c>
      <c r="G506" s="9" t="s">
        <v>341</v>
      </c>
      <c r="H506" s="11" t="s">
        <v>58</v>
      </c>
      <c r="I506" s="32" t="n">
        <f aca="false">0</f>
        <v>0</v>
      </c>
      <c r="J506" s="11" t="s">
        <v>576</v>
      </c>
      <c r="K506" s="32" t="str">
        <f aca="false">IF(I506=1,"ACCEPTED","OPEN")</f>
        <v>OPEN</v>
      </c>
    </row>
    <row r="507" customFormat="false" ht="15" hidden="false" customHeight="false" outlineLevel="0" collapsed="false">
      <c r="A507" s="19" t="str">
        <f aca="false">"PKT-"&amp;B507&amp;"-CONFIGURATION"</f>
        <v>PKT-CAN-HU-A-CONFIGURATION</v>
      </c>
      <c r="B507" s="19" t="str">
        <f aca="false">'Object Crosswalk'!A107</f>
        <v>CAN-HU-A</v>
      </c>
      <c r="C507" s="19" t="str">
        <f aca="false">'Object Crosswalk'!B107</f>
        <v>Candidate mechanism</v>
      </c>
      <c r="D507" s="19" t="str">
        <f aca="false">'Object Crosswalk'!D107</f>
        <v>MS-HU</v>
      </c>
      <c r="E507" s="19" t="str">
        <f aca="false">'Object Crosswalk'!E107</f>
        <v>HU-A</v>
      </c>
      <c r="F507" s="19" t="str">
        <f aca="false">'Object Crosswalk'!F107</f>
        <v>SYSTEM</v>
      </c>
      <c r="G507" s="9" t="s">
        <v>728</v>
      </c>
      <c r="H507" s="11" t="s">
        <v>58</v>
      </c>
      <c r="I507" s="32" t="n">
        <f aca="false">0</f>
        <v>0</v>
      </c>
      <c r="J507" s="11" t="s">
        <v>576</v>
      </c>
      <c r="K507" s="32" t="str">
        <f aca="false">IF(I507=1,"ACCEPTED","OPEN")</f>
        <v>OPEN</v>
      </c>
    </row>
    <row r="508" customFormat="false" ht="15" hidden="false" customHeight="false" outlineLevel="0" collapsed="false">
      <c r="A508" s="19" t="str">
        <f aca="false">"PKT-"&amp;B508&amp;"-CONTROL"</f>
        <v>PKT-CAN-HU-A-CONTROL</v>
      </c>
      <c r="B508" s="19" t="str">
        <f aca="false">'Object Crosswalk'!A107</f>
        <v>CAN-HU-A</v>
      </c>
      <c r="C508" s="19" t="str">
        <f aca="false">'Object Crosswalk'!B107</f>
        <v>Candidate mechanism</v>
      </c>
      <c r="D508" s="19" t="str">
        <f aca="false">'Object Crosswalk'!D107</f>
        <v>MS-HU</v>
      </c>
      <c r="E508" s="19" t="str">
        <f aca="false">'Object Crosswalk'!E107</f>
        <v>HU-A</v>
      </c>
      <c r="F508" s="19" t="str">
        <f aca="false">'Object Crosswalk'!F107</f>
        <v>SYSTEM</v>
      </c>
      <c r="G508" s="9" t="s">
        <v>333</v>
      </c>
      <c r="H508" s="11" t="s">
        <v>58</v>
      </c>
      <c r="I508" s="32" t="n">
        <f aca="false">0</f>
        <v>0</v>
      </c>
      <c r="J508" s="11" t="s">
        <v>576</v>
      </c>
      <c r="K508" s="32" t="str">
        <f aca="false">IF(I508=1,"ACCEPTED","OPEN")</f>
        <v>OPEN</v>
      </c>
    </row>
    <row r="509" customFormat="false" ht="15" hidden="false" customHeight="false" outlineLevel="0" collapsed="false">
      <c r="A509" s="19" t="str">
        <f aca="false">"PKT-"&amp;B509&amp;"-METROLOGY"</f>
        <v>PKT-CAN-HU-A-METROLOGY</v>
      </c>
      <c r="B509" s="19" t="str">
        <f aca="false">'Object Crosswalk'!A107</f>
        <v>CAN-HU-A</v>
      </c>
      <c r="C509" s="19" t="str">
        <f aca="false">'Object Crosswalk'!B107</f>
        <v>Candidate mechanism</v>
      </c>
      <c r="D509" s="19" t="str">
        <f aca="false">'Object Crosswalk'!D107</f>
        <v>MS-HU</v>
      </c>
      <c r="E509" s="19" t="str">
        <f aca="false">'Object Crosswalk'!E107</f>
        <v>HU-A</v>
      </c>
      <c r="F509" s="19" t="str">
        <f aca="false">'Object Crosswalk'!F107</f>
        <v>SYSTEM</v>
      </c>
      <c r="G509" s="9" t="s">
        <v>729</v>
      </c>
      <c r="H509" s="11" t="s">
        <v>58</v>
      </c>
      <c r="I509" s="32" t="n">
        <f aca="false">0</f>
        <v>0</v>
      </c>
      <c r="J509" s="11" t="s">
        <v>576</v>
      </c>
      <c r="K509" s="32" t="str">
        <f aca="false">IF(I509=1,"ACCEPTED","OPEN")</f>
        <v>OPEN</v>
      </c>
    </row>
    <row r="510" customFormat="false" ht="15" hidden="false" customHeight="false" outlineLevel="0" collapsed="false">
      <c r="A510" s="19" t="str">
        <f aca="false">"PKT-"&amp;B510&amp;"-SAFETY"</f>
        <v>PKT-CAN-HU-A-SAFETY</v>
      </c>
      <c r="B510" s="19" t="str">
        <f aca="false">'Object Crosswalk'!A107</f>
        <v>CAN-HU-A</v>
      </c>
      <c r="C510" s="19" t="str">
        <f aca="false">'Object Crosswalk'!B107</f>
        <v>Candidate mechanism</v>
      </c>
      <c r="D510" s="19" t="str">
        <f aca="false">'Object Crosswalk'!D107</f>
        <v>MS-HU</v>
      </c>
      <c r="E510" s="19" t="str">
        <f aca="false">'Object Crosswalk'!E107</f>
        <v>HU-A</v>
      </c>
      <c r="F510" s="19" t="str">
        <f aca="false">'Object Crosswalk'!F107</f>
        <v>SYSTEM</v>
      </c>
      <c r="G510" s="9" t="s">
        <v>730</v>
      </c>
      <c r="H510" s="11" t="s">
        <v>58</v>
      </c>
      <c r="I510" s="32" t="n">
        <f aca="false">0</f>
        <v>0</v>
      </c>
      <c r="J510" s="11" t="s">
        <v>576</v>
      </c>
      <c r="K510" s="32" t="str">
        <f aca="false">IF(I510=1,"ACCEPTED","OPEN")</f>
        <v>OPEN</v>
      </c>
    </row>
    <row r="511" customFormat="false" ht="15" hidden="false" customHeight="false" outlineLevel="0" collapsed="false">
      <c r="A511" s="19" t="str">
        <f aca="false">"PKT-"&amp;B511&amp;"-RECONSTRUCTION"</f>
        <v>PKT-CAN-HU-A-RECONSTRUCTION</v>
      </c>
      <c r="B511" s="19" t="str">
        <f aca="false">'Object Crosswalk'!A107</f>
        <v>CAN-HU-A</v>
      </c>
      <c r="C511" s="19" t="str">
        <f aca="false">'Object Crosswalk'!B107</f>
        <v>Candidate mechanism</v>
      </c>
      <c r="D511" s="19" t="str">
        <f aca="false">'Object Crosswalk'!D107</f>
        <v>MS-HU</v>
      </c>
      <c r="E511" s="19" t="str">
        <f aca="false">'Object Crosswalk'!E107</f>
        <v>HU-A</v>
      </c>
      <c r="F511" s="19" t="str">
        <f aca="false">'Object Crosswalk'!F107</f>
        <v>SYSTEM</v>
      </c>
      <c r="G511" s="9" t="s">
        <v>341</v>
      </c>
      <c r="H511" s="11" t="s">
        <v>58</v>
      </c>
      <c r="I511" s="32" t="n">
        <f aca="false">0</f>
        <v>0</v>
      </c>
      <c r="J511" s="11" t="s">
        <v>576</v>
      </c>
      <c r="K511" s="32" t="str">
        <f aca="false">IF(I511=1,"ACCEPTED","OPEN")</f>
        <v>OPEN</v>
      </c>
    </row>
    <row r="512" customFormat="false" ht="15" hidden="false" customHeight="false" outlineLevel="0" collapsed="false">
      <c r="A512" s="19" t="str">
        <f aca="false">"PKT-"&amp;B512&amp;"-CONFIGURATION"</f>
        <v>PKT-CAN-RT-B-CONFIGURATION</v>
      </c>
      <c r="B512" s="19" t="str">
        <f aca="false">'Object Crosswalk'!A108</f>
        <v>CAN-RT-B</v>
      </c>
      <c r="C512" s="19" t="str">
        <f aca="false">'Object Crosswalk'!B108</f>
        <v>Candidate mechanism</v>
      </c>
      <c r="D512" s="19" t="str">
        <f aca="false">'Object Crosswalk'!D108</f>
        <v>MS-RT</v>
      </c>
      <c r="E512" s="19" t="str">
        <f aca="false">'Object Crosswalk'!E108</f>
        <v>RT-B</v>
      </c>
      <c r="F512" s="19" t="str">
        <f aca="false">'Object Crosswalk'!F108</f>
        <v>SYSTEM</v>
      </c>
      <c r="G512" s="9" t="s">
        <v>728</v>
      </c>
      <c r="H512" s="11" t="s">
        <v>58</v>
      </c>
      <c r="I512" s="32" t="n">
        <f aca="false">0</f>
        <v>0</v>
      </c>
      <c r="J512" s="11" t="s">
        <v>576</v>
      </c>
      <c r="K512" s="32" t="str">
        <f aca="false">IF(I512=1,"ACCEPTED","OPEN")</f>
        <v>OPEN</v>
      </c>
    </row>
    <row r="513" customFormat="false" ht="15" hidden="false" customHeight="false" outlineLevel="0" collapsed="false">
      <c r="A513" s="19" t="str">
        <f aca="false">"PKT-"&amp;B513&amp;"-CONTROL"</f>
        <v>PKT-CAN-RT-B-CONTROL</v>
      </c>
      <c r="B513" s="19" t="str">
        <f aca="false">'Object Crosswalk'!A108</f>
        <v>CAN-RT-B</v>
      </c>
      <c r="C513" s="19" t="str">
        <f aca="false">'Object Crosswalk'!B108</f>
        <v>Candidate mechanism</v>
      </c>
      <c r="D513" s="19" t="str">
        <f aca="false">'Object Crosswalk'!D108</f>
        <v>MS-RT</v>
      </c>
      <c r="E513" s="19" t="str">
        <f aca="false">'Object Crosswalk'!E108</f>
        <v>RT-B</v>
      </c>
      <c r="F513" s="19" t="str">
        <f aca="false">'Object Crosswalk'!F108</f>
        <v>SYSTEM</v>
      </c>
      <c r="G513" s="9" t="s">
        <v>333</v>
      </c>
      <c r="H513" s="11" t="s">
        <v>58</v>
      </c>
      <c r="I513" s="32" t="n">
        <f aca="false">0</f>
        <v>0</v>
      </c>
      <c r="J513" s="11" t="s">
        <v>576</v>
      </c>
      <c r="K513" s="32" t="str">
        <f aca="false">IF(I513=1,"ACCEPTED","OPEN")</f>
        <v>OPEN</v>
      </c>
    </row>
    <row r="514" customFormat="false" ht="15" hidden="false" customHeight="false" outlineLevel="0" collapsed="false">
      <c r="A514" s="19" t="str">
        <f aca="false">"PKT-"&amp;B514&amp;"-METROLOGY"</f>
        <v>PKT-CAN-RT-B-METROLOGY</v>
      </c>
      <c r="B514" s="19" t="str">
        <f aca="false">'Object Crosswalk'!A108</f>
        <v>CAN-RT-B</v>
      </c>
      <c r="C514" s="19" t="str">
        <f aca="false">'Object Crosswalk'!B108</f>
        <v>Candidate mechanism</v>
      </c>
      <c r="D514" s="19" t="str">
        <f aca="false">'Object Crosswalk'!D108</f>
        <v>MS-RT</v>
      </c>
      <c r="E514" s="19" t="str">
        <f aca="false">'Object Crosswalk'!E108</f>
        <v>RT-B</v>
      </c>
      <c r="F514" s="19" t="str">
        <f aca="false">'Object Crosswalk'!F108</f>
        <v>SYSTEM</v>
      </c>
      <c r="G514" s="9" t="s">
        <v>729</v>
      </c>
      <c r="H514" s="11" t="s">
        <v>58</v>
      </c>
      <c r="I514" s="32" t="n">
        <f aca="false">0</f>
        <v>0</v>
      </c>
      <c r="J514" s="11" t="s">
        <v>576</v>
      </c>
      <c r="K514" s="32" t="str">
        <f aca="false">IF(I514=1,"ACCEPTED","OPEN")</f>
        <v>OPEN</v>
      </c>
    </row>
    <row r="515" customFormat="false" ht="15" hidden="false" customHeight="false" outlineLevel="0" collapsed="false">
      <c r="A515" s="19" t="str">
        <f aca="false">"PKT-"&amp;B515&amp;"-SAFETY"</f>
        <v>PKT-CAN-RT-B-SAFETY</v>
      </c>
      <c r="B515" s="19" t="str">
        <f aca="false">'Object Crosswalk'!A108</f>
        <v>CAN-RT-B</v>
      </c>
      <c r="C515" s="19" t="str">
        <f aca="false">'Object Crosswalk'!B108</f>
        <v>Candidate mechanism</v>
      </c>
      <c r="D515" s="19" t="str">
        <f aca="false">'Object Crosswalk'!D108</f>
        <v>MS-RT</v>
      </c>
      <c r="E515" s="19" t="str">
        <f aca="false">'Object Crosswalk'!E108</f>
        <v>RT-B</v>
      </c>
      <c r="F515" s="19" t="str">
        <f aca="false">'Object Crosswalk'!F108</f>
        <v>SYSTEM</v>
      </c>
      <c r="G515" s="9" t="s">
        <v>730</v>
      </c>
      <c r="H515" s="11" t="s">
        <v>58</v>
      </c>
      <c r="I515" s="32" t="n">
        <f aca="false">0</f>
        <v>0</v>
      </c>
      <c r="J515" s="11" t="s">
        <v>576</v>
      </c>
      <c r="K515" s="32" t="str">
        <f aca="false">IF(I515=1,"ACCEPTED","OPEN")</f>
        <v>OPEN</v>
      </c>
    </row>
    <row r="516" customFormat="false" ht="15" hidden="false" customHeight="false" outlineLevel="0" collapsed="false">
      <c r="A516" s="20" t="str">
        <f aca="false">"PKT-"&amp;B516&amp;"-RECONSTRUCTION"</f>
        <v>PKT-CAN-RT-B-RECONSTRUCTION</v>
      </c>
      <c r="B516" s="20" t="str">
        <f aca="false">'Object Crosswalk'!A108</f>
        <v>CAN-RT-B</v>
      </c>
      <c r="C516" s="20" t="str">
        <f aca="false">'Object Crosswalk'!B108</f>
        <v>Candidate mechanism</v>
      </c>
      <c r="D516" s="20" t="str">
        <f aca="false">'Object Crosswalk'!D108</f>
        <v>MS-RT</v>
      </c>
      <c r="E516" s="20" t="str">
        <f aca="false">'Object Crosswalk'!E108</f>
        <v>RT-B</v>
      </c>
      <c r="F516" s="20" t="str">
        <f aca="false">'Object Crosswalk'!F108</f>
        <v>SYSTEM</v>
      </c>
      <c r="G516" s="12" t="s">
        <v>341</v>
      </c>
      <c r="H516" s="14" t="s">
        <v>58</v>
      </c>
      <c r="I516" s="35" t="n">
        <f aca="false">0</f>
        <v>0</v>
      </c>
      <c r="J516" s="14" t="s">
        <v>576</v>
      </c>
      <c r="K516" s="35" t="str">
        <f aca="false">IF(I516=1,"ACCEPTED","OPEN")</f>
        <v>OPEN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1" min="10" style="0" width="20"/>
    <col collapsed="false" customWidth="true" hidden="false" outlineLevel="0" max="12" min="12" style="0" width="15"/>
  </cols>
  <sheetData>
    <row r="2" customFormat="false" ht="24" hidden="false" customHeight="true" outlineLevel="0" collapsed="false">
      <c r="A2" s="1" t="s">
        <v>731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732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733</v>
      </c>
      <c r="B6" s="6" t="s">
        <v>734</v>
      </c>
      <c r="C6" s="6" t="s">
        <v>289</v>
      </c>
      <c r="D6" s="6" t="s">
        <v>290</v>
      </c>
      <c r="E6" s="6" t="s">
        <v>735</v>
      </c>
      <c r="F6" s="6" t="s">
        <v>291</v>
      </c>
      <c r="G6" s="6" t="s">
        <v>736</v>
      </c>
      <c r="H6" s="6" t="s">
        <v>737</v>
      </c>
      <c r="I6" s="6" t="s">
        <v>738</v>
      </c>
      <c r="J6" s="6" t="s">
        <v>739</v>
      </c>
      <c r="K6" s="6" t="s">
        <v>740</v>
      </c>
      <c r="L6" s="7" t="s">
        <v>5</v>
      </c>
    </row>
    <row r="7" customFormat="false" ht="15" hidden="false" customHeight="false" outlineLevel="0" collapsed="false">
      <c r="A7" s="8" t="s">
        <v>741</v>
      </c>
      <c r="B7" s="8" t="s">
        <v>742</v>
      </c>
      <c r="C7" s="8" t="s">
        <v>320</v>
      </c>
      <c r="D7" s="8" t="s">
        <v>321</v>
      </c>
      <c r="E7" s="8" t="s">
        <v>743</v>
      </c>
      <c r="F7" s="8" t="s">
        <v>322</v>
      </c>
      <c r="G7" s="8" t="s">
        <v>744</v>
      </c>
      <c r="H7" s="8" t="s">
        <v>745</v>
      </c>
      <c r="I7" s="28" t="s">
        <v>58</v>
      </c>
      <c r="J7" s="28" t="s">
        <v>58</v>
      </c>
      <c r="K7" s="28" t="s">
        <v>58</v>
      </c>
      <c r="L7" s="29" t="str">
        <f aca="false">IF(J7="VALID","ADJUDICATE","OPEN")</f>
        <v>OPEN</v>
      </c>
    </row>
    <row r="8" customFormat="false" ht="15" hidden="false" customHeight="false" outlineLevel="0" collapsed="false">
      <c r="A8" s="9" t="s">
        <v>746</v>
      </c>
      <c r="B8" s="9" t="s">
        <v>742</v>
      </c>
      <c r="C8" s="9" t="s">
        <v>320</v>
      </c>
      <c r="D8" s="9" t="s">
        <v>321</v>
      </c>
      <c r="E8" s="9" t="s">
        <v>743</v>
      </c>
      <c r="F8" s="9" t="s">
        <v>322</v>
      </c>
      <c r="G8" s="9" t="s">
        <v>744</v>
      </c>
      <c r="H8" s="9" t="s">
        <v>747</v>
      </c>
      <c r="I8" s="11" t="s">
        <v>58</v>
      </c>
      <c r="J8" s="11" t="s">
        <v>58</v>
      </c>
      <c r="K8" s="11" t="s">
        <v>58</v>
      </c>
      <c r="L8" s="32" t="str">
        <f aca="false">IF(J8="VALID","ADJUDICATE","OPEN")</f>
        <v>OPEN</v>
      </c>
    </row>
    <row r="9" customFormat="false" ht="15" hidden="false" customHeight="false" outlineLevel="0" collapsed="false">
      <c r="A9" s="9" t="s">
        <v>748</v>
      </c>
      <c r="B9" s="9" t="s">
        <v>742</v>
      </c>
      <c r="C9" s="9" t="s">
        <v>320</v>
      </c>
      <c r="D9" s="9" t="s">
        <v>321</v>
      </c>
      <c r="E9" s="9" t="s">
        <v>743</v>
      </c>
      <c r="F9" s="9" t="s">
        <v>322</v>
      </c>
      <c r="G9" s="9" t="s">
        <v>744</v>
      </c>
      <c r="H9" s="9" t="s">
        <v>749</v>
      </c>
      <c r="I9" s="11" t="s">
        <v>58</v>
      </c>
      <c r="J9" s="11" t="s">
        <v>58</v>
      </c>
      <c r="K9" s="11" t="s">
        <v>58</v>
      </c>
      <c r="L9" s="32" t="str">
        <f aca="false">IF(J9="VALID","ADJUDICATE","OPEN")</f>
        <v>OPEN</v>
      </c>
    </row>
    <row r="10" customFormat="false" ht="15" hidden="false" customHeight="false" outlineLevel="0" collapsed="false">
      <c r="A10" s="9" t="s">
        <v>750</v>
      </c>
      <c r="B10" s="9" t="s">
        <v>742</v>
      </c>
      <c r="C10" s="9" t="s">
        <v>320</v>
      </c>
      <c r="D10" s="9" t="s">
        <v>321</v>
      </c>
      <c r="E10" s="9" t="s">
        <v>743</v>
      </c>
      <c r="F10" s="9" t="s">
        <v>322</v>
      </c>
      <c r="G10" s="9" t="s">
        <v>744</v>
      </c>
      <c r="H10" s="9" t="s">
        <v>751</v>
      </c>
      <c r="I10" s="11" t="s">
        <v>58</v>
      </c>
      <c r="J10" s="11" t="s">
        <v>58</v>
      </c>
      <c r="K10" s="11" t="s">
        <v>58</v>
      </c>
      <c r="L10" s="32" t="str">
        <f aca="false">IF(J10="VALID","ADJUDICATE","OPEN")</f>
        <v>OPEN</v>
      </c>
    </row>
    <row r="11" customFormat="false" ht="15" hidden="false" customHeight="false" outlineLevel="0" collapsed="false">
      <c r="A11" s="9" t="s">
        <v>752</v>
      </c>
      <c r="B11" s="9" t="s">
        <v>742</v>
      </c>
      <c r="C11" s="9" t="s">
        <v>320</v>
      </c>
      <c r="D11" s="9" t="s">
        <v>321</v>
      </c>
      <c r="E11" s="9" t="s">
        <v>743</v>
      </c>
      <c r="F11" s="9" t="s">
        <v>322</v>
      </c>
      <c r="G11" s="9" t="s">
        <v>744</v>
      </c>
      <c r="H11" s="9" t="s">
        <v>753</v>
      </c>
      <c r="I11" s="11" t="s">
        <v>58</v>
      </c>
      <c r="J11" s="11" t="s">
        <v>58</v>
      </c>
      <c r="K11" s="11" t="s">
        <v>58</v>
      </c>
      <c r="L11" s="32" t="str">
        <f aca="false">IF(J11="VALID","ADJUDICATE","OPEN")</f>
        <v>OPEN</v>
      </c>
    </row>
    <row r="12" customFormat="false" ht="15" hidden="false" customHeight="false" outlineLevel="0" collapsed="false">
      <c r="A12" s="9" t="s">
        <v>754</v>
      </c>
      <c r="B12" s="9" t="s">
        <v>755</v>
      </c>
      <c r="C12" s="9" t="s">
        <v>320</v>
      </c>
      <c r="D12" s="9" t="s">
        <v>321</v>
      </c>
      <c r="E12" s="9" t="s">
        <v>743</v>
      </c>
      <c r="F12" s="9" t="s">
        <v>322</v>
      </c>
      <c r="G12" s="9" t="s">
        <v>756</v>
      </c>
      <c r="H12" s="9" t="s">
        <v>745</v>
      </c>
      <c r="I12" s="11" t="s">
        <v>58</v>
      </c>
      <c r="J12" s="11" t="s">
        <v>58</v>
      </c>
      <c r="K12" s="11" t="s">
        <v>58</v>
      </c>
      <c r="L12" s="32" t="str">
        <f aca="false">IF(J12="VALID","ADJUDICATE","OPEN")</f>
        <v>OPEN</v>
      </c>
    </row>
    <row r="13" customFormat="false" ht="15" hidden="false" customHeight="false" outlineLevel="0" collapsed="false">
      <c r="A13" s="9" t="s">
        <v>757</v>
      </c>
      <c r="B13" s="9" t="s">
        <v>755</v>
      </c>
      <c r="C13" s="9" t="s">
        <v>320</v>
      </c>
      <c r="D13" s="9" t="s">
        <v>321</v>
      </c>
      <c r="E13" s="9" t="s">
        <v>743</v>
      </c>
      <c r="F13" s="9" t="s">
        <v>322</v>
      </c>
      <c r="G13" s="9" t="s">
        <v>756</v>
      </c>
      <c r="H13" s="9" t="s">
        <v>747</v>
      </c>
      <c r="I13" s="11" t="s">
        <v>58</v>
      </c>
      <c r="J13" s="11" t="s">
        <v>58</v>
      </c>
      <c r="K13" s="11" t="s">
        <v>58</v>
      </c>
      <c r="L13" s="32" t="str">
        <f aca="false">IF(J13="VALID","ADJUDICATE","OPEN")</f>
        <v>OPEN</v>
      </c>
    </row>
    <row r="14" customFormat="false" ht="15" hidden="false" customHeight="false" outlineLevel="0" collapsed="false">
      <c r="A14" s="9" t="s">
        <v>758</v>
      </c>
      <c r="B14" s="9" t="s">
        <v>755</v>
      </c>
      <c r="C14" s="9" t="s">
        <v>320</v>
      </c>
      <c r="D14" s="9" t="s">
        <v>321</v>
      </c>
      <c r="E14" s="9" t="s">
        <v>743</v>
      </c>
      <c r="F14" s="9" t="s">
        <v>322</v>
      </c>
      <c r="G14" s="9" t="s">
        <v>756</v>
      </c>
      <c r="H14" s="9" t="s">
        <v>749</v>
      </c>
      <c r="I14" s="11" t="s">
        <v>58</v>
      </c>
      <c r="J14" s="11" t="s">
        <v>58</v>
      </c>
      <c r="K14" s="11" t="s">
        <v>58</v>
      </c>
      <c r="L14" s="32" t="str">
        <f aca="false">IF(J14="VALID","ADJUDICATE","OPEN")</f>
        <v>OPEN</v>
      </c>
    </row>
    <row r="15" customFormat="false" ht="15" hidden="false" customHeight="false" outlineLevel="0" collapsed="false">
      <c r="A15" s="9" t="s">
        <v>759</v>
      </c>
      <c r="B15" s="9" t="s">
        <v>755</v>
      </c>
      <c r="C15" s="9" t="s">
        <v>320</v>
      </c>
      <c r="D15" s="9" t="s">
        <v>321</v>
      </c>
      <c r="E15" s="9" t="s">
        <v>743</v>
      </c>
      <c r="F15" s="9" t="s">
        <v>322</v>
      </c>
      <c r="G15" s="9" t="s">
        <v>756</v>
      </c>
      <c r="H15" s="9" t="s">
        <v>751</v>
      </c>
      <c r="I15" s="11" t="s">
        <v>58</v>
      </c>
      <c r="J15" s="11" t="s">
        <v>58</v>
      </c>
      <c r="K15" s="11" t="s">
        <v>58</v>
      </c>
      <c r="L15" s="32" t="str">
        <f aca="false">IF(J15="VALID","ADJUDICATE","OPEN")</f>
        <v>OPEN</v>
      </c>
    </row>
    <row r="16" customFormat="false" ht="15" hidden="false" customHeight="false" outlineLevel="0" collapsed="false">
      <c r="A16" s="9" t="s">
        <v>760</v>
      </c>
      <c r="B16" s="9" t="s">
        <v>755</v>
      </c>
      <c r="C16" s="9" t="s">
        <v>320</v>
      </c>
      <c r="D16" s="9" t="s">
        <v>321</v>
      </c>
      <c r="E16" s="9" t="s">
        <v>743</v>
      </c>
      <c r="F16" s="9" t="s">
        <v>322</v>
      </c>
      <c r="G16" s="9" t="s">
        <v>756</v>
      </c>
      <c r="H16" s="9" t="s">
        <v>753</v>
      </c>
      <c r="I16" s="11" t="s">
        <v>58</v>
      </c>
      <c r="J16" s="11" t="s">
        <v>58</v>
      </c>
      <c r="K16" s="11" t="s">
        <v>58</v>
      </c>
      <c r="L16" s="32" t="str">
        <f aca="false">IF(J16="VALID","ADJUDICATE","OPEN")</f>
        <v>OPEN</v>
      </c>
    </row>
    <row r="17" customFormat="false" ht="15" hidden="false" customHeight="false" outlineLevel="0" collapsed="false">
      <c r="A17" s="9" t="s">
        <v>761</v>
      </c>
      <c r="B17" s="9" t="s">
        <v>762</v>
      </c>
      <c r="C17" s="9" t="s">
        <v>320</v>
      </c>
      <c r="D17" s="9" t="s">
        <v>321</v>
      </c>
      <c r="E17" s="9" t="s">
        <v>743</v>
      </c>
      <c r="F17" s="9" t="s">
        <v>333</v>
      </c>
      <c r="G17" s="9" t="s">
        <v>744</v>
      </c>
      <c r="H17" s="9" t="s">
        <v>745</v>
      </c>
      <c r="I17" s="11" t="s">
        <v>58</v>
      </c>
      <c r="J17" s="11" t="s">
        <v>58</v>
      </c>
      <c r="K17" s="11" t="s">
        <v>58</v>
      </c>
      <c r="L17" s="32" t="str">
        <f aca="false">IF(J17="VALID","ADJUDICATE","OPEN")</f>
        <v>OPEN</v>
      </c>
    </row>
    <row r="18" customFormat="false" ht="15" hidden="false" customHeight="false" outlineLevel="0" collapsed="false">
      <c r="A18" s="9" t="s">
        <v>763</v>
      </c>
      <c r="B18" s="9" t="s">
        <v>762</v>
      </c>
      <c r="C18" s="9" t="s">
        <v>320</v>
      </c>
      <c r="D18" s="9" t="s">
        <v>321</v>
      </c>
      <c r="E18" s="9" t="s">
        <v>743</v>
      </c>
      <c r="F18" s="9" t="s">
        <v>333</v>
      </c>
      <c r="G18" s="9" t="s">
        <v>744</v>
      </c>
      <c r="H18" s="9" t="s">
        <v>747</v>
      </c>
      <c r="I18" s="11" t="s">
        <v>58</v>
      </c>
      <c r="J18" s="11" t="s">
        <v>58</v>
      </c>
      <c r="K18" s="11" t="s">
        <v>58</v>
      </c>
      <c r="L18" s="32" t="str">
        <f aca="false">IF(J18="VALID","ADJUDICATE","OPEN")</f>
        <v>OPEN</v>
      </c>
    </row>
    <row r="19" customFormat="false" ht="15" hidden="false" customHeight="false" outlineLevel="0" collapsed="false">
      <c r="A19" s="9" t="s">
        <v>764</v>
      </c>
      <c r="B19" s="9" t="s">
        <v>762</v>
      </c>
      <c r="C19" s="9" t="s">
        <v>320</v>
      </c>
      <c r="D19" s="9" t="s">
        <v>321</v>
      </c>
      <c r="E19" s="9" t="s">
        <v>743</v>
      </c>
      <c r="F19" s="9" t="s">
        <v>333</v>
      </c>
      <c r="G19" s="9" t="s">
        <v>744</v>
      </c>
      <c r="H19" s="9" t="s">
        <v>749</v>
      </c>
      <c r="I19" s="11" t="s">
        <v>58</v>
      </c>
      <c r="J19" s="11" t="s">
        <v>58</v>
      </c>
      <c r="K19" s="11" t="s">
        <v>58</v>
      </c>
      <c r="L19" s="32" t="str">
        <f aca="false">IF(J19="VALID","ADJUDICATE","OPEN")</f>
        <v>OPEN</v>
      </c>
    </row>
    <row r="20" customFormat="false" ht="15" hidden="false" customHeight="false" outlineLevel="0" collapsed="false">
      <c r="A20" s="9" t="s">
        <v>765</v>
      </c>
      <c r="B20" s="9" t="s">
        <v>762</v>
      </c>
      <c r="C20" s="9" t="s">
        <v>320</v>
      </c>
      <c r="D20" s="9" t="s">
        <v>321</v>
      </c>
      <c r="E20" s="9" t="s">
        <v>743</v>
      </c>
      <c r="F20" s="9" t="s">
        <v>333</v>
      </c>
      <c r="G20" s="9" t="s">
        <v>744</v>
      </c>
      <c r="H20" s="9" t="s">
        <v>751</v>
      </c>
      <c r="I20" s="11" t="s">
        <v>58</v>
      </c>
      <c r="J20" s="11" t="s">
        <v>58</v>
      </c>
      <c r="K20" s="11" t="s">
        <v>58</v>
      </c>
      <c r="L20" s="32" t="str">
        <f aca="false">IF(J20="VALID","ADJUDICATE","OPEN")</f>
        <v>OPEN</v>
      </c>
    </row>
    <row r="21" customFormat="false" ht="15" hidden="false" customHeight="false" outlineLevel="0" collapsed="false">
      <c r="A21" s="9" t="s">
        <v>766</v>
      </c>
      <c r="B21" s="9" t="s">
        <v>762</v>
      </c>
      <c r="C21" s="9" t="s">
        <v>320</v>
      </c>
      <c r="D21" s="9" t="s">
        <v>321</v>
      </c>
      <c r="E21" s="9" t="s">
        <v>743</v>
      </c>
      <c r="F21" s="9" t="s">
        <v>333</v>
      </c>
      <c r="G21" s="9" t="s">
        <v>744</v>
      </c>
      <c r="H21" s="9" t="s">
        <v>753</v>
      </c>
      <c r="I21" s="11" t="s">
        <v>58</v>
      </c>
      <c r="J21" s="11" t="s">
        <v>58</v>
      </c>
      <c r="K21" s="11" t="s">
        <v>58</v>
      </c>
      <c r="L21" s="32" t="str">
        <f aca="false">IF(J21="VALID","ADJUDICATE","OPEN")</f>
        <v>OPEN</v>
      </c>
    </row>
    <row r="22" customFormat="false" ht="15" hidden="false" customHeight="false" outlineLevel="0" collapsed="false">
      <c r="A22" s="9" t="s">
        <v>767</v>
      </c>
      <c r="B22" s="9" t="s">
        <v>768</v>
      </c>
      <c r="C22" s="9" t="s">
        <v>320</v>
      </c>
      <c r="D22" s="9" t="s">
        <v>321</v>
      </c>
      <c r="E22" s="9" t="s">
        <v>743</v>
      </c>
      <c r="F22" s="9" t="s">
        <v>333</v>
      </c>
      <c r="G22" s="9" t="s">
        <v>756</v>
      </c>
      <c r="H22" s="9" t="s">
        <v>745</v>
      </c>
      <c r="I22" s="11" t="s">
        <v>58</v>
      </c>
      <c r="J22" s="11" t="s">
        <v>58</v>
      </c>
      <c r="K22" s="11" t="s">
        <v>58</v>
      </c>
      <c r="L22" s="32" t="str">
        <f aca="false">IF(J22="VALID","ADJUDICATE","OPEN")</f>
        <v>OPEN</v>
      </c>
    </row>
    <row r="23" customFormat="false" ht="15" hidden="false" customHeight="false" outlineLevel="0" collapsed="false">
      <c r="A23" s="9" t="s">
        <v>769</v>
      </c>
      <c r="B23" s="9" t="s">
        <v>768</v>
      </c>
      <c r="C23" s="9" t="s">
        <v>320</v>
      </c>
      <c r="D23" s="9" t="s">
        <v>321</v>
      </c>
      <c r="E23" s="9" t="s">
        <v>743</v>
      </c>
      <c r="F23" s="9" t="s">
        <v>333</v>
      </c>
      <c r="G23" s="9" t="s">
        <v>756</v>
      </c>
      <c r="H23" s="9" t="s">
        <v>747</v>
      </c>
      <c r="I23" s="11" t="s">
        <v>58</v>
      </c>
      <c r="J23" s="11" t="s">
        <v>58</v>
      </c>
      <c r="K23" s="11" t="s">
        <v>58</v>
      </c>
      <c r="L23" s="32" t="str">
        <f aca="false">IF(J23="VALID","ADJUDICATE","OPEN")</f>
        <v>OPEN</v>
      </c>
    </row>
    <row r="24" customFormat="false" ht="15" hidden="false" customHeight="false" outlineLevel="0" collapsed="false">
      <c r="A24" s="9" t="s">
        <v>770</v>
      </c>
      <c r="B24" s="9" t="s">
        <v>768</v>
      </c>
      <c r="C24" s="9" t="s">
        <v>320</v>
      </c>
      <c r="D24" s="9" t="s">
        <v>321</v>
      </c>
      <c r="E24" s="9" t="s">
        <v>743</v>
      </c>
      <c r="F24" s="9" t="s">
        <v>333</v>
      </c>
      <c r="G24" s="9" t="s">
        <v>756</v>
      </c>
      <c r="H24" s="9" t="s">
        <v>749</v>
      </c>
      <c r="I24" s="11" t="s">
        <v>58</v>
      </c>
      <c r="J24" s="11" t="s">
        <v>58</v>
      </c>
      <c r="K24" s="11" t="s">
        <v>58</v>
      </c>
      <c r="L24" s="32" t="str">
        <f aca="false">IF(J24="VALID","ADJUDICATE","OPEN")</f>
        <v>OPEN</v>
      </c>
    </row>
    <row r="25" customFormat="false" ht="15" hidden="false" customHeight="false" outlineLevel="0" collapsed="false">
      <c r="A25" s="9" t="s">
        <v>771</v>
      </c>
      <c r="B25" s="9" t="s">
        <v>768</v>
      </c>
      <c r="C25" s="9" t="s">
        <v>320</v>
      </c>
      <c r="D25" s="9" t="s">
        <v>321</v>
      </c>
      <c r="E25" s="9" t="s">
        <v>743</v>
      </c>
      <c r="F25" s="9" t="s">
        <v>333</v>
      </c>
      <c r="G25" s="9" t="s">
        <v>756</v>
      </c>
      <c r="H25" s="9" t="s">
        <v>751</v>
      </c>
      <c r="I25" s="11" t="s">
        <v>58</v>
      </c>
      <c r="J25" s="11" t="s">
        <v>58</v>
      </c>
      <c r="K25" s="11" t="s">
        <v>58</v>
      </c>
      <c r="L25" s="32" t="str">
        <f aca="false">IF(J25="VALID","ADJUDICATE","OPEN")</f>
        <v>OPEN</v>
      </c>
    </row>
    <row r="26" customFormat="false" ht="15" hidden="false" customHeight="false" outlineLevel="0" collapsed="false">
      <c r="A26" s="9" t="s">
        <v>772</v>
      </c>
      <c r="B26" s="9" t="s">
        <v>768</v>
      </c>
      <c r="C26" s="9" t="s">
        <v>320</v>
      </c>
      <c r="D26" s="9" t="s">
        <v>321</v>
      </c>
      <c r="E26" s="9" t="s">
        <v>743</v>
      </c>
      <c r="F26" s="9" t="s">
        <v>333</v>
      </c>
      <c r="G26" s="9" t="s">
        <v>756</v>
      </c>
      <c r="H26" s="9" t="s">
        <v>753</v>
      </c>
      <c r="I26" s="11" t="s">
        <v>58</v>
      </c>
      <c r="J26" s="11" t="s">
        <v>58</v>
      </c>
      <c r="K26" s="11" t="s">
        <v>58</v>
      </c>
      <c r="L26" s="32" t="str">
        <f aca="false">IF(J26="VALID","ADJUDICATE","OPEN")</f>
        <v>OPEN</v>
      </c>
    </row>
    <row r="27" customFormat="false" ht="15" hidden="false" customHeight="false" outlineLevel="0" collapsed="false">
      <c r="A27" s="9" t="s">
        <v>773</v>
      </c>
      <c r="B27" s="9" t="s">
        <v>774</v>
      </c>
      <c r="C27" s="9" t="s">
        <v>320</v>
      </c>
      <c r="D27" s="9" t="s">
        <v>321</v>
      </c>
      <c r="E27" s="9" t="s">
        <v>743</v>
      </c>
      <c r="F27" s="9" t="s">
        <v>341</v>
      </c>
      <c r="G27" s="9" t="s">
        <v>744</v>
      </c>
      <c r="H27" s="9" t="s">
        <v>745</v>
      </c>
      <c r="I27" s="11" t="s">
        <v>58</v>
      </c>
      <c r="J27" s="11" t="s">
        <v>58</v>
      </c>
      <c r="K27" s="11" t="s">
        <v>58</v>
      </c>
      <c r="L27" s="32" t="str">
        <f aca="false">IF(J27="VALID","ADJUDICATE","OPEN")</f>
        <v>OPEN</v>
      </c>
    </row>
    <row r="28" customFormat="false" ht="15" hidden="false" customHeight="false" outlineLevel="0" collapsed="false">
      <c r="A28" s="9" t="s">
        <v>775</v>
      </c>
      <c r="B28" s="9" t="s">
        <v>774</v>
      </c>
      <c r="C28" s="9" t="s">
        <v>320</v>
      </c>
      <c r="D28" s="9" t="s">
        <v>321</v>
      </c>
      <c r="E28" s="9" t="s">
        <v>743</v>
      </c>
      <c r="F28" s="9" t="s">
        <v>341</v>
      </c>
      <c r="G28" s="9" t="s">
        <v>744</v>
      </c>
      <c r="H28" s="9" t="s">
        <v>747</v>
      </c>
      <c r="I28" s="11" t="s">
        <v>58</v>
      </c>
      <c r="J28" s="11" t="s">
        <v>58</v>
      </c>
      <c r="K28" s="11" t="s">
        <v>58</v>
      </c>
      <c r="L28" s="32" t="str">
        <f aca="false">IF(J28="VALID","ADJUDICATE","OPEN")</f>
        <v>OPEN</v>
      </c>
    </row>
    <row r="29" customFormat="false" ht="15" hidden="false" customHeight="false" outlineLevel="0" collapsed="false">
      <c r="A29" s="9" t="s">
        <v>776</v>
      </c>
      <c r="B29" s="9" t="s">
        <v>774</v>
      </c>
      <c r="C29" s="9" t="s">
        <v>320</v>
      </c>
      <c r="D29" s="9" t="s">
        <v>321</v>
      </c>
      <c r="E29" s="9" t="s">
        <v>743</v>
      </c>
      <c r="F29" s="9" t="s">
        <v>341</v>
      </c>
      <c r="G29" s="9" t="s">
        <v>744</v>
      </c>
      <c r="H29" s="9" t="s">
        <v>749</v>
      </c>
      <c r="I29" s="11" t="s">
        <v>58</v>
      </c>
      <c r="J29" s="11" t="s">
        <v>58</v>
      </c>
      <c r="K29" s="11" t="s">
        <v>58</v>
      </c>
      <c r="L29" s="32" t="str">
        <f aca="false">IF(J29="VALID","ADJUDICATE","OPEN")</f>
        <v>OPEN</v>
      </c>
    </row>
    <row r="30" customFormat="false" ht="15" hidden="false" customHeight="false" outlineLevel="0" collapsed="false">
      <c r="A30" s="9" t="s">
        <v>777</v>
      </c>
      <c r="B30" s="9" t="s">
        <v>774</v>
      </c>
      <c r="C30" s="9" t="s">
        <v>320</v>
      </c>
      <c r="D30" s="9" t="s">
        <v>321</v>
      </c>
      <c r="E30" s="9" t="s">
        <v>743</v>
      </c>
      <c r="F30" s="9" t="s">
        <v>341</v>
      </c>
      <c r="G30" s="9" t="s">
        <v>744</v>
      </c>
      <c r="H30" s="9" t="s">
        <v>751</v>
      </c>
      <c r="I30" s="11" t="s">
        <v>58</v>
      </c>
      <c r="J30" s="11" t="s">
        <v>58</v>
      </c>
      <c r="K30" s="11" t="s">
        <v>58</v>
      </c>
      <c r="L30" s="32" t="str">
        <f aca="false">IF(J30="VALID","ADJUDICATE","OPEN")</f>
        <v>OPEN</v>
      </c>
    </row>
    <row r="31" customFormat="false" ht="15" hidden="false" customHeight="false" outlineLevel="0" collapsed="false">
      <c r="A31" s="9" t="s">
        <v>778</v>
      </c>
      <c r="B31" s="9" t="s">
        <v>774</v>
      </c>
      <c r="C31" s="9" t="s">
        <v>320</v>
      </c>
      <c r="D31" s="9" t="s">
        <v>321</v>
      </c>
      <c r="E31" s="9" t="s">
        <v>743</v>
      </c>
      <c r="F31" s="9" t="s">
        <v>341</v>
      </c>
      <c r="G31" s="9" t="s">
        <v>744</v>
      </c>
      <c r="H31" s="9" t="s">
        <v>753</v>
      </c>
      <c r="I31" s="11" t="s">
        <v>58</v>
      </c>
      <c r="J31" s="11" t="s">
        <v>58</v>
      </c>
      <c r="K31" s="11" t="s">
        <v>58</v>
      </c>
      <c r="L31" s="32" t="str">
        <f aca="false">IF(J31="VALID","ADJUDICATE","OPEN")</f>
        <v>OPEN</v>
      </c>
    </row>
    <row r="32" customFormat="false" ht="15" hidden="false" customHeight="false" outlineLevel="0" collapsed="false">
      <c r="A32" s="9" t="s">
        <v>779</v>
      </c>
      <c r="B32" s="9" t="s">
        <v>780</v>
      </c>
      <c r="C32" s="9" t="s">
        <v>320</v>
      </c>
      <c r="D32" s="9" t="s">
        <v>321</v>
      </c>
      <c r="E32" s="9" t="s">
        <v>743</v>
      </c>
      <c r="F32" s="9" t="s">
        <v>341</v>
      </c>
      <c r="G32" s="9" t="s">
        <v>756</v>
      </c>
      <c r="H32" s="9" t="s">
        <v>745</v>
      </c>
      <c r="I32" s="11" t="s">
        <v>58</v>
      </c>
      <c r="J32" s="11" t="s">
        <v>58</v>
      </c>
      <c r="K32" s="11" t="s">
        <v>58</v>
      </c>
      <c r="L32" s="32" t="str">
        <f aca="false">IF(J32="VALID","ADJUDICATE","OPEN")</f>
        <v>OPEN</v>
      </c>
    </row>
    <row r="33" customFormat="false" ht="15" hidden="false" customHeight="false" outlineLevel="0" collapsed="false">
      <c r="A33" s="9" t="s">
        <v>781</v>
      </c>
      <c r="B33" s="9" t="s">
        <v>780</v>
      </c>
      <c r="C33" s="9" t="s">
        <v>320</v>
      </c>
      <c r="D33" s="9" t="s">
        <v>321</v>
      </c>
      <c r="E33" s="9" t="s">
        <v>743</v>
      </c>
      <c r="F33" s="9" t="s">
        <v>341</v>
      </c>
      <c r="G33" s="9" t="s">
        <v>756</v>
      </c>
      <c r="H33" s="9" t="s">
        <v>747</v>
      </c>
      <c r="I33" s="11" t="s">
        <v>58</v>
      </c>
      <c r="J33" s="11" t="s">
        <v>58</v>
      </c>
      <c r="K33" s="11" t="s">
        <v>58</v>
      </c>
      <c r="L33" s="32" t="str">
        <f aca="false">IF(J33="VALID","ADJUDICATE","OPEN")</f>
        <v>OPEN</v>
      </c>
    </row>
    <row r="34" customFormat="false" ht="15" hidden="false" customHeight="false" outlineLevel="0" collapsed="false">
      <c r="A34" s="9" t="s">
        <v>782</v>
      </c>
      <c r="B34" s="9" t="s">
        <v>780</v>
      </c>
      <c r="C34" s="9" t="s">
        <v>320</v>
      </c>
      <c r="D34" s="9" t="s">
        <v>321</v>
      </c>
      <c r="E34" s="9" t="s">
        <v>743</v>
      </c>
      <c r="F34" s="9" t="s">
        <v>341</v>
      </c>
      <c r="G34" s="9" t="s">
        <v>756</v>
      </c>
      <c r="H34" s="9" t="s">
        <v>749</v>
      </c>
      <c r="I34" s="11" t="s">
        <v>58</v>
      </c>
      <c r="J34" s="11" t="s">
        <v>58</v>
      </c>
      <c r="K34" s="11" t="s">
        <v>58</v>
      </c>
      <c r="L34" s="32" t="str">
        <f aca="false">IF(J34="VALID","ADJUDICATE","OPEN")</f>
        <v>OPEN</v>
      </c>
    </row>
    <row r="35" customFormat="false" ht="15" hidden="false" customHeight="false" outlineLevel="0" collapsed="false">
      <c r="A35" s="9" t="s">
        <v>783</v>
      </c>
      <c r="B35" s="9" t="s">
        <v>780</v>
      </c>
      <c r="C35" s="9" t="s">
        <v>320</v>
      </c>
      <c r="D35" s="9" t="s">
        <v>321</v>
      </c>
      <c r="E35" s="9" t="s">
        <v>743</v>
      </c>
      <c r="F35" s="9" t="s">
        <v>341</v>
      </c>
      <c r="G35" s="9" t="s">
        <v>756</v>
      </c>
      <c r="H35" s="9" t="s">
        <v>751</v>
      </c>
      <c r="I35" s="11" t="s">
        <v>58</v>
      </c>
      <c r="J35" s="11" t="s">
        <v>58</v>
      </c>
      <c r="K35" s="11" t="s">
        <v>58</v>
      </c>
      <c r="L35" s="32" t="str">
        <f aca="false">IF(J35="VALID","ADJUDICATE","OPEN")</f>
        <v>OPEN</v>
      </c>
    </row>
    <row r="36" customFormat="false" ht="15" hidden="false" customHeight="false" outlineLevel="0" collapsed="false">
      <c r="A36" s="9" t="s">
        <v>784</v>
      </c>
      <c r="B36" s="9" t="s">
        <v>780</v>
      </c>
      <c r="C36" s="9" t="s">
        <v>320</v>
      </c>
      <c r="D36" s="9" t="s">
        <v>321</v>
      </c>
      <c r="E36" s="9" t="s">
        <v>743</v>
      </c>
      <c r="F36" s="9" t="s">
        <v>341</v>
      </c>
      <c r="G36" s="9" t="s">
        <v>756</v>
      </c>
      <c r="H36" s="9" t="s">
        <v>753</v>
      </c>
      <c r="I36" s="11" t="s">
        <v>58</v>
      </c>
      <c r="J36" s="11" t="s">
        <v>58</v>
      </c>
      <c r="K36" s="11" t="s">
        <v>58</v>
      </c>
      <c r="L36" s="32" t="str">
        <f aca="false">IF(J36="VALID","ADJUDICATE","OPEN")</f>
        <v>OPEN</v>
      </c>
    </row>
    <row r="37" customFormat="false" ht="15" hidden="false" customHeight="false" outlineLevel="0" collapsed="false">
      <c r="A37" s="9" t="s">
        <v>785</v>
      </c>
      <c r="B37" s="9" t="s">
        <v>786</v>
      </c>
      <c r="C37" s="9" t="s">
        <v>320</v>
      </c>
      <c r="D37" s="9" t="s">
        <v>321</v>
      </c>
      <c r="E37" s="9" t="s">
        <v>787</v>
      </c>
      <c r="F37" s="9" t="s">
        <v>322</v>
      </c>
      <c r="G37" s="9" t="s">
        <v>744</v>
      </c>
      <c r="H37" s="9" t="s">
        <v>745</v>
      </c>
      <c r="I37" s="11" t="s">
        <v>58</v>
      </c>
      <c r="J37" s="11" t="s">
        <v>58</v>
      </c>
      <c r="K37" s="11" t="s">
        <v>58</v>
      </c>
      <c r="L37" s="32" t="str">
        <f aca="false">IF(J37="VALID","ADJUDICATE","OPEN")</f>
        <v>OPEN</v>
      </c>
    </row>
    <row r="38" customFormat="false" ht="15" hidden="false" customHeight="false" outlineLevel="0" collapsed="false">
      <c r="A38" s="9" t="s">
        <v>788</v>
      </c>
      <c r="B38" s="9" t="s">
        <v>786</v>
      </c>
      <c r="C38" s="9" t="s">
        <v>320</v>
      </c>
      <c r="D38" s="9" t="s">
        <v>321</v>
      </c>
      <c r="E38" s="9" t="s">
        <v>787</v>
      </c>
      <c r="F38" s="9" t="s">
        <v>322</v>
      </c>
      <c r="G38" s="9" t="s">
        <v>744</v>
      </c>
      <c r="H38" s="9" t="s">
        <v>747</v>
      </c>
      <c r="I38" s="11" t="s">
        <v>58</v>
      </c>
      <c r="J38" s="11" t="s">
        <v>58</v>
      </c>
      <c r="K38" s="11" t="s">
        <v>58</v>
      </c>
      <c r="L38" s="32" t="str">
        <f aca="false">IF(J38="VALID","ADJUDICATE","OPEN")</f>
        <v>OPEN</v>
      </c>
    </row>
    <row r="39" customFormat="false" ht="15" hidden="false" customHeight="false" outlineLevel="0" collapsed="false">
      <c r="A39" s="9" t="s">
        <v>789</v>
      </c>
      <c r="B39" s="9" t="s">
        <v>786</v>
      </c>
      <c r="C39" s="9" t="s">
        <v>320</v>
      </c>
      <c r="D39" s="9" t="s">
        <v>321</v>
      </c>
      <c r="E39" s="9" t="s">
        <v>787</v>
      </c>
      <c r="F39" s="9" t="s">
        <v>322</v>
      </c>
      <c r="G39" s="9" t="s">
        <v>744</v>
      </c>
      <c r="H39" s="9" t="s">
        <v>749</v>
      </c>
      <c r="I39" s="11" t="s">
        <v>58</v>
      </c>
      <c r="J39" s="11" t="s">
        <v>58</v>
      </c>
      <c r="K39" s="11" t="s">
        <v>58</v>
      </c>
      <c r="L39" s="32" t="str">
        <f aca="false">IF(J39="VALID","ADJUDICATE","OPEN")</f>
        <v>OPEN</v>
      </c>
    </row>
    <row r="40" customFormat="false" ht="15" hidden="false" customHeight="false" outlineLevel="0" collapsed="false">
      <c r="A40" s="9" t="s">
        <v>790</v>
      </c>
      <c r="B40" s="9" t="s">
        <v>786</v>
      </c>
      <c r="C40" s="9" t="s">
        <v>320</v>
      </c>
      <c r="D40" s="9" t="s">
        <v>321</v>
      </c>
      <c r="E40" s="9" t="s">
        <v>787</v>
      </c>
      <c r="F40" s="9" t="s">
        <v>322</v>
      </c>
      <c r="G40" s="9" t="s">
        <v>744</v>
      </c>
      <c r="H40" s="9" t="s">
        <v>751</v>
      </c>
      <c r="I40" s="11" t="s">
        <v>58</v>
      </c>
      <c r="J40" s="11" t="s">
        <v>58</v>
      </c>
      <c r="K40" s="11" t="s">
        <v>58</v>
      </c>
      <c r="L40" s="32" t="str">
        <f aca="false">IF(J40="VALID","ADJUDICATE","OPEN")</f>
        <v>OPEN</v>
      </c>
    </row>
    <row r="41" customFormat="false" ht="15" hidden="false" customHeight="false" outlineLevel="0" collapsed="false">
      <c r="A41" s="9" t="s">
        <v>791</v>
      </c>
      <c r="B41" s="9" t="s">
        <v>786</v>
      </c>
      <c r="C41" s="9" t="s">
        <v>320</v>
      </c>
      <c r="D41" s="9" t="s">
        <v>321</v>
      </c>
      <c r="E41" s="9" t="s">
        <v>787</v>
      </c>
      <c r="F41" s="9" t="s">
        <v>322</v>
      </c>
      <c r="G41" s="9" t="s">
        <v>744</v>
      </c>
      <c r="H41" s="9" t="s">
        <v>753</v>
      </c>
      <c r="I41" s="11" t="s">
        <v>58</v>
      </c>
      <c r="J41" s="11" t="s">
        <v>58</v>
      </c>
      <c r="K41" s="11" t="s">
        <v>58</v>
      </c>
      <c r="L41" s="32" t="str">
        <f aca="false">IF(J41="VALID","ADJUDICATE","OPEN")</f>
        <v>OPEN</v>
      </c>
    </row>
    <row r="42" customFormat="false" ht="15" hidden="false" customHeight="false" outlineLevel="0" collapsed="false">
      <c r="A42" s="9" t="s">
        <v>792</v>
      </c>
      <c r="B42" s="9" t="s">
        <v>793</v>
      </c>
      <c r="C42" s="9" t="s">
        <v>320</v>
      </c>
      <c r="D42" s="9" t="s">
        <v>321</v>
      </c>
      <c r="E42" s="9" t="s">
        <v>787</v>
      </c>
      <c r="F42" s="9" t="s">
        <v>322</v>
      </c>
      <c r="G42" s="9" t="s">
        <v>756</v>
      </c>
      <c r="H42" s="9" t="s">
        <v>745</v>
      </c>
      <c r="I42" s="11" t="s">
        <v>58</v>
      </c>
      <c r="J42" s="11" t="s">
        <v>58</v>
      </c>
      <c r="K42" s="11" t="s">
        <v>58</v>
      </c>
      <c r="L42" s="32" t="str">
        <f aca="false">IF(J42="VALID","ADJUDICATE","OPEN")</f>
        <v>OPEN</v>
      </c>
    </row>
    <row r="43" customFormat="false" ht="15" hidden="false" customHeight="false" outlineLevel="0" collapsed="false">
      <c r="A43" s="9" t="s">
        <v>794</v>
      </c>
      <c r="B43" s="9" t="s">
        <v>793</v>
      </c>
      <c r="C43" s="9" t="s">
        <v>320</v>
      </c>
      <c r="D43" s="9" t="s">
        <v>321</v>
      </c>
      <c r="E43" s="9" t="s">
        <v>787</v>
      </c>
      <c r="F43" s="9" t="s">
        <v>322</v>
      </c>
      <c r="G43" s="9" t="s">
        <v>756</v>
      </c>
      <c r="H43" s="9" t="s">
        <v>747</v>
      </c>
      <c r="I43" s="11" t="s">
        <v>58</v>
      </c>
      <c r="J43" s="11" t="s">
        <v>58</v>
      </c>
      <c r="K43" s="11" t="s">
        <v>58</v>
      </c>
      <c r="L43" s="32" t="str">
        <f aca="false">IF(J43="VALID","ADJUDICATE","OPEN")</f>
        <v>OPEN</v>
      </c>
    </row>
    <row r="44" customFormat="false" ht="15" hidden="false" customHeight="false" outlineLevel="0" collapsed="false">
      <c r="A44" s="9" t="s">
        <v>795</v>
      </c>
      <c r="B44" s="9" t="s">
        <v>793</v>
      </c>
      <c r="C44" s="9" t="s">
        <v>320</v>
      </c>
      <c r="D44" s="9" t="s">
        <v>321</v>
      </c>
      <c r="E44" s="9" t="s">
        <v>787</v>
      </c>
      <c r="F44" s="9" t="s">
        <v>322</v>
      </c>
      <c r="G44" s="9" t="s">
        <v>756</v>
      </c>
      <c r="H44" s="9" t="s">
        <v>749</v>
      </c>
      <c r="I44" s="11" t="s">
        <v>58</v>
      </c>
      <c r="J44" s="11" t="s">
        <v>58</v>
      </c>
      <c r="K44" s="11" t="s">
        <v>58</v>
      </c>
      <c r="L44" s="32" t="str">
        <f aca="false">IF(J44="VALID","ADJUDICATE","OPEN")</f>
        <v>OPEN</v>
      </c>
    </row>
    <row r="45" customFormat="false" ht="15" hidden="false" customHeight="false" outlineLevel="0" collapsed="false">
      <c r="A45" s="9" t="s">
        <v>796</v>
      </c>
      <c r="B45" s="9" t="s">
        <v>793</v>
      </c>
      <c r="C45" s="9" t="s">
        <v>320</v>
      </c>
      <c r="D45" s="9" t="s">
        <v>321</v>
      </c>
      <c r="E45" s="9" t="s">
        <v>787</v>
      </c>
      <c r="F45" s="9" t="s">
        <v>322</v>
      </c>
      <c r="G45" s="9" t="s">
        <v>756</v>
      </c>
      <c r="H45" s="9" t="s">
        <v>751</v>
      </c>
      <c r="I45" s="11" t="s">
        <v>58</v>
      </c>
      <c r="J45" s="11" t="s">
        <v>58</v>
      </c>
      <c r="K45" s="11" t="s">
        <v>58</v>
      </c>
      <c r="L45" s="32" t="str">
        <f aca="false">IF(J45="VALID","ADJUDICATE","OPEN")</f>
        <v>OPEN</v>
      </c>
    </row>
    <row r="46" customFormat="false" ht="15" hidden="false" customHeight="false" outlineLevel="0" collapsed="false">
      <c r="A46" s="9" t="s">
        <v>797</v>
      </c>
      <c r="B46" s="9" t="s">
        <v>793</v>
      </c>
      <c r="C46" s="9" t="s">
        <v>320</v>
      </c>
      <c r="D46" s="9" t="s">
        <v>321</v>
      </c>
      <c r="E46" s="9" t="s">
        <v>787</v>
      </c>
      <c r="F46" s="9" t="s">
        <v>322</v>
      </c>
      <c r="G46" s="9" t="s">
        <v>756</v>
      </c>
      <c r="H46" s="9" t="s">
        <v>753</v>
      </c>
      <c r="I46" s="11" t="s">
        <v>58</v>
      </c>
      <c r="J46" s="11" t="s">
        <v>58</v>
      </c>
      <c r="K46" s="11" t="s">
        <v>58</v>
      </c>
      <c r="L46" s="32" t="str">
        <f aca="false">IF(J46="VALID","ADJUDICATE","OPEN")</f>
        <v>OPEN</v>
      </c>
    </row>
    <row r="47" customFormat="false" ht="15" hidden="false" customHeight="false" outlineLevel="0" collapsed="false">
      <c r="A47" s="9" t="s">
        <v>798</v>
      </c>
      <c r="B47" s="9" t="s">
        <v>799</v>
      </c>
      <c r="C47" s="9" t="s">
        <v>320</v>
      </c>
      <c r="D47" s="9" t="s">
        <v>321</v>
      </c>
      <c r="E47" s="9" t="s">
        <v>787</v>
      </c>
      <c r="F47" s="9" t="s">
        <v>333</v>
      </c>
      <c r="G47" s="9" t="s">
        <v>744</v>
      </c>
      <c r="H47" s="9" t="s">
        <v>745</v>
      </c>
      <c r="I47" s="11" t="s">
        <v>58</v>
      </c>
      <c r="J47" s="11" t="s">
        <v>58</v>
      </c>
      <c r="K47" s="11" t="s">
        <v>58</v>
      </c>
      <c r="L47" s="32" t="str">
        <f aca="false">IF(J47="VALID","ADJUDICATE","OPEN")</f>
        <v>OPEN</v>
      </c>
    </row>
    <row r="48" customFormat="false" ht="15" hidden="false" customHeight="false" outlineLevel="0" collapsed="false">
      <c r="A48" s="9" t="s">
        <v>800</v>
      </c>
      <c r="B48" s="9" t="s">
        <v>799</v>
      </c>
      <c r="C48" s="9" t="s">
        <v>320</v>
      </c>
      <c r="D48" s="9" t="s">
        <v>321</v>
      </c>
      <c r="E48" s="9" t="s">
        <v>787</v>
      </c>
      <c r="F48" s="9" t="s">
        <v>333</v>
      </c>
      <c r="G48" s="9" t="s">
        <v>744</v>
      </c>
      <c r="H48" s="9" t="s">
        <v>747</v>
      </c>
      <c r="I48" s="11" t="s">
        <v>58</v>
      </c>
      <c r="J48" s="11" t="s">
        <v>58</v>
      </c>
      <c r="K48" s="11" t="s">
        <v>58</v>
      </c>
      <c r="L48" s="32" t="str">
        <f aca="false">IF(J48="VALID","ADJUDICATE","OPEN")</f>
        <v>OPEN</v>
      </c>
    </row>
    <row r="49" customFormat="false" ht="15" hidden="false" customHeight="false" outlineLevel="0" collapsed="false">
      <c r="A49" s="9" t="s">
        <v>801</v>
      </c>
      <c r="B49" s="9" t="s">
        <v>799</v>
      </c>
      <c r="C49" s="9" t="s">
        <v>320</v>
      </c>
      <c r="D49" s="9" t="s">
        <v>321</v>
      </c>
      <c r="E49" s="9" t="s">
        <v>787</v>
      </c>
      <c r="F49" s="9" t="s">
        <v>333</v>
      </c>
      <c r="G49" s="9" t="s">
        <v>744</v>
      </c>
      <c r="H49" s="9" t="s">
        <v>749</v>
      </c>
      <c r="I49" s="11" t="s">
        <v>58</v>
      </c>
      <c r="J49" s="11" t="s">
        <v>58</v>
      </c>
      <c r="K49" s="11" t="s">
        <v>58</v>
      </c>
      <c r="L49" s="32" t="str">
        <f aca="false">IF(J49="VALID","ADJUDICATE","OPEN")</f>
        <v>OPEN</v>
      </c>
    </row>
    <row r="50" customFormat="false" ht="15" hidden="false" customHeight="false" outlineLevel="0" collapsed="false">
      <c r="A50" s="9" t="s">
        <v>802</v>
      </c>
      <c r="B50" s="9" t="s">
        <v>799</v>
      </c>
      <c r="C50" s="9" t="s">
        <v>320</v>
      </c>
      <c r="D50" s="9" t="s">
        <v>321</v>
      </c>
      <c r="E50" s="9" t="s">
        <v>787</v>
      </c>
      <c r="F50" s="9" t="s">
        <v>333</v>
      </c>
      <c r="G50" s="9" t="s">
        <v>744</v>
      </c>
      <c r="H50" s="9" t="s">
        <v>751</v>
      </c>
      <c r="I50" s="11" t="s">
        <v>58</v>
      </c>
      <c r="J50" s="11" t="s">
        <v>58</v>
      </c>
      <c r="K50" s="11" t="s">
        <v>58</v>
      </c>
      <c r="L50" s="32" t="str">
        <f aca="false">IF(J50="VALID","ADJUDICATE","OPEN")</f>
        <v>OPEN</v>
      </c>
    </row>
    <row r="51" customFormat="false" ht="15" hidden="false" customHeight="false" outlineLevel="0" collapsed="false">
      <c r="A51" s="9" t="s">
        <v>803</v>
      </c>
      <c r="B51" s="9" t="s">
        <v>799</v>
      </c>
      <c r="C51" s="9" t="s">
        <v>320</v>
      </c>
      <c r="D51" s="9" t="s">
        <v>321</v>
      </c>
      <c r="E51" s="9" t="s">
        <v>787</v>
      </c>
      <c r="F51" s="9" t="s">
        <v>333</v>
      </c>
      <c r="G51" s="9" t="s">
        <v>744</v>
      </c>
      <c r="H51" s="9" t="s">
        <v>753</v>
      </c>
      <c r="I51" s="11" t="s">
        <v>58</v>
      </c>
      <c r="J51" s="11" t="s">
        <v>58</v>
      </c>
      <c r="K51" s="11" t="s">
        <v>58</v>
      </c>
      <c r="L51" s="32" t="str">
        <f aca="false">IF(J51="VALID","ADJUDICATE","OPEN")</f>
        <v>OPEN</v>
      </c>
    </row>
    <row r="52" customFormat="false" ht="15" hidden="false" customHeight="false" outlineLevel="0" collapsed="false">
      <c r="A52" s="9" t="s">
        <v>804</v>
      </c>
      <c r="B52" s="9" t="s">
        <v>805</v>
      </c>
      <c r="C52" s="9" t="s">
        <v>320</v>
      </c>
      <c r="D52" s="9" t="s">
        <v>321</v>
      </c>
      <c r="E52" s="9" t="s">
        <v>787</v>
      </c>
      <c r="F52" s="9" t="s">
        <v>333</v>
      </c>
      <c r="G52" s="9" t="s">
        <v>756</v>
      </c>
      <c r="H52" s="9" t="s">
        <v>745</v>
      </c>
      <c r="I52" s="11" t="s">
        <v>58</v>
      </c>
      <c r="J52" s="11" t="s">
        <v>58</v>
      </c>
      <c r="K52" s="11" t="s">
        <v>58</v>
      </c>
      <c r="L52" s="32" t="str">
        <f aca="false">IF(J52="VALID","ADJUDICATE","OPEN")</f>
        <v>OPEN</v>
      </c>
    </row>
    <row r="53" customFormat="false" ht="15" hidden="false" customHeight="false" outlineLevel="0" collapsed="false">
      <c r="A53" s="9" t="s">
        <v>806</v>
      </c>
      <c r="B53" s="9" t="s">
        <v>805</v>
      </c>
      <c r="C53" s="9" t="s">
        <v>320</v>
      </c>
      <c r="D53" s="9" t="s">
        <v>321</v>
      </c>
      <c r="E53" s="9" t="s">
        <v>787</v>
      </c>
      <c r="F53" s="9" t="s">
        <v>333</v>
      </c>
      <c r="G53" s="9" t="s">
        <v>756</v>
      </c>
      <c r="H53" s="9" t="s">
        <v>747</v>
      </c>
      <c r="I53" s="11" t="s">
        <v>58</v>
      </c>
      <c r="J53" s="11" t="s">
        <v>58</v>
      </c>
      <c r="K53" s="11" t="s">
        <v>58</v>
      </c>
      <c r="L53" s="32" t="str">
        <f aca="false">IF(J53="VALID","ADJUDICATE","OPEN")</f>
        <v>OPEN</v>
      </c>
    </row>
    <row r="54" customFormat="false" ht="15" hidden="false" customHeight="false" outlineLevel="0" collapsed="false">
      <c r="A54" s="9" t="s">
        <v>807</v>
      </c>
      <c r="B54" s="9" t="s">
        <v>805</v>
      </c>
      <c r="C54" s="9" t="s">
        <v>320</v>
      </c>
      <c r="D54" s="9" t="s">
        <v>321</v>
      </c>
      <c r="E54" s="9" t="s">
        <v>787</v>
      </c>
      <c r="F54" s="9" t="s">
        <v>333</v>
      </c>
      <c r="G54" s="9" t="s">
        <v>756</v>
      </c>
      <c r="H54" s="9" t="s">
        <v>749</v>
      </c>
      <c r="I54" s="11" t="s">
        <v>58</v>
      </c>
      <c r="J54" s="11" t="s">
        <v>58</v>
      </c>
      <c r="K54" s="11" t="s">
        <v>58</v>
      </c>
      <c r="L54" s="32" t="str">
        <f aca="false">IF(J54="VALID","ADJUDICATE","OPEN")</f>
        <v>OPEN</v>
      </c>
    </row>
    <row r="55" customFormat="false" ht="15" hidden="false" customHeight="false" outlineLevel="0" collapsed="false">
      <c r="A55" s="9" t="s">
        <v>808</v>
      </c>
      <c r="B55" s="9" t="s">
        <v>805</v>
      </c>
      <c r="C55" s="9" t="s">
        <v>320</v>
      </c>
      <c r="D55" s="9" t="s">
        <v>321</v>
      </c>
      <c r="E55" s="9" t="s">
        <v>787</v>
      </c>
      <c r="F55" s="9" t="s">
        <v>333</v>
      </c>
      <c r="G55" s="9" t="s">
        <v>756</v>
      </c>
      <c r="H55" s="9" t="s">
        <v>751</v>
      </c>
      <c r="I55" s="11" t="s">
        <v>58</v>
      </c>
      <c r="J55" s="11" t="s">
        <v>58</v>
      </c>
      <c r="K55" s="11" t="s">
        <v>58</v>
      </c>
      <c r="L55" s="32" t="str">
        <f aca="false">IF(J55="VALID","ADJUDICATE","OPEN")</f>
        <v>OPEN</v>
      </c>
    </row>
    <row r="56" customFormat="false" ht="15" hidden="false" customHeight="false" outlineLevel="0" collapsed="false">
      <c r="A56" s="9" t="s">
        <v>809</v>
      </c>
      <c r="B56" s="9" t="s">
        <v>805</v>
      </c>
      <c r="C56" s="9" t="s">
        <v>320</v>
      </c>
      <c r="D56" s="9" t="s">
        <v>321</v>
      </c>
      <c r="E56" s="9" t="s">
        <v>787</v>
      </c>
      <c r="F56" s="9" t="s">
        <v>333</v>
      </c>
      <c r="G56" s="9" t="s">
        <v>756</v>
      </c>
      <c r="H56" s="9" t="s">
        <v>753</v>
      </c>
      <c r="I56" s="11" t="s">
        <v>58</v>
      </c>
      <c r="J56" s="11" t="s">
        <v>58</v>
      </c>
      <c r="K56" s="11" t="s">
        <v>58</v>
      </c>
      <c r="L56" s="32" t="str">
        <f aca="false">IF(J56="VALID","ADJUDICATE","OPEN")</f>
        <v>OPEN</v>
      </c>
    </row>
    <row r="57" customFormat="false" ht="15" hidden="false" customHeight="false" outlineLevel="0" collapsed="false">
      <c r="A57" s="9" t="s">
        <v>810</v>
      </c>
      <c r="B57" s="9" t="s">
        <v>811</v>
      </c>
      <c r="C57" s="9" t="s">
        <v>320</v>
      </c>
      <c r="D57" s="9" t="s">
        <v>321</v>
      </c>
      <c r="E57" s="9" t="s">
        <v>787</v>
      </c>
      <c r="F57" s="9" t="s">
        <v>341</v>
      </c>
      <c r="G57" s="9" t="s">
        <v>744</v>
      </c>
      <c r="H57" s="9" t="s">
        <v>745</v>
      </c>
      <c r="I57" s="11" t="s">
        <v>58</v>
      </c>
      <c r="J57" s="11" t="s">
        <v>58</v>
      </c>
      <c r="K57" s="11" t="s">
        <v>58</v>
      </c>
      <c r="L57" s="32" t="str">
        <f aca="false">IF(J57="VALID","ADJUDICATE","OPEN")</f>
        <v>OPEN</v>
      </c>
    </row>
    <row r="58" customFormat="false" ht="15" hidden="false" customHeight="false" outlineLevel="0" collapsed="false">
      <c r="A58" s="9" t="s">
        <v>812</v>
      </c>
      <c r="B58" s="9" t="s">
        <v>811</v>
      </c>
      <c r="C58" s="9" t="s">
        <v>320</v>
      </c>
      <c r="D58" s="9" t="s">
        <v>321</v>
      </c>
      <c r="E58" s="9" t="s">
        <v>787</v>
      </c>
      <c r="F58" s="9" t="s">
        <v>341</v>
      </c>
      <c r="G58" s="9" t="s">
        <v>744</v>
      </c>
      <c r="H58" s="9" t="s">
        <v>747</v>
      </c>
      <c r="I58" s="11" t="s">
        <v>58</v>
      </c>
      <c r="J58" s="11" t="s">
        <v>58</v>
      </c>
      <c r="K58" s="11" t="s">
        <v>58</v>
      </c>
      <c r="L58" s="32" t="str">
        <f aca="false">IF(J58="VALID","ADJUDICATE","OPEN")</f>
        <v>OPEN</v>
      </c>
    </row>
    <row r="59" customFormat="false" ht="15" hidden="false" customHeight="false" outlineLevel="0" collapsed="false">
      <c r="A59" s="9" t="s">
        <v>813</v>
      </c>
      <c r="B59" s="9" t="s">
        <v>811</v>
      </c>
      <c r="C59" s="9" t="s">
        <v>320</v>
      </c>
      <c r="D59" s="9" t="s">
        <v>321</v>
      </c>
      <c r="E59" s="9" t="s">
        <v>787</v>
      </c>
      <c r="F59" s="9" t="s">
        <v>341</v>
      </c>
      <c r="G59" s="9" t="s">
        <v>744</v>
      </c>
      <c r="H59" s="9" t="s">
        <v>749</v>
      </c>
      <c r="I59" s="11" t="s">
        <v>58</v>
      </c>
      <c r="J59" s="11" t="s">
        <v>58</v>
      </c>
      <c r="K59" s="11" t="s">
        <v>58</v>
      </c>
      <c r="L59" s="32" t="str">
        <f aca="false">IF(J59="VALID","ADJUDICATE","OPEN")</f>
        <v>OPEN</v>
      </c>
    </row>
    <row r="60" customFormat="false" ht="15" hidden="false" customHeight="false" outlineLevel="0" collapsed="false">
      <c r="A60" s="9" t="s">
        <v>814</v>
      </c>
      <c r="B60" s="9" t="s">
        <v>811</v>
      </c>
      <c r="C60" s="9" t="s">
        <v>320</v>
      </c>
      <c r="D60" s="9" t="s">
        <v>321</v>
      </c>
      <c r="E60" s="9" t="s">
        <v>787</v>
      </c>
      <c r="F60" s="9" t="s">
        <v>341</v>
      </c>
      <c r="G60" s="9" t="s">
        <v>744</v>
      </c>
      <c r="H60" s="9" t="s">
        <v>751</v>
      </c>
      <c r="I60" s="11" t="s">
        <v>58</v>
      </c>
      <c r="J60" s="11" t="s">
        <v>58</v>
      </c>
      <c r="K60" s="11" t="s">
        <v>58</v>
      </c>
      <c r="L60" s="32" t="str">
        <f aca="false">IF(J60="VALID","ADJUDICATE","OPEN")</f>
        <v>OPEN</v>
      </c>
    </row>
    <row r="61" customFormat="false" ht="15" hidden="false" customHeight="false" outlineLevel="0" collapsed="false">
      <c r="A61" s="9" t="s">
        <v>815</v>
      </c>
      <c r="B61" s="9" t="s">
        <v>811</v>
      </c>
      <c r="C61" s="9" t="s">
        <v>320</v>
      </c>
      <c r="D61" s="9" t="s">
        <v>321</v>
      </c>
      <c r="E61" s="9" t="s">
        <v>787</v>
      </c>
      <c r="F61" s="9" t="s">
        <v>341</v>
      </c>
      <c r="G61" s="9" t="s">
        <v>744</v>
      </c>
      <c r="H61" s="9" t="s">
        <v>753</v>
      </c>
      <c r="I61" s="11" t="s">
        <v>58</v>
      </c>
      <c r="J61" s="11" t="s">
        <v>58</v>
      </c>
      <c r="K61" s="11" t="s">
        <v>58</v>
      </c>
      <c r="L61" s="32" t="str">
        <f aca="false">IF(J61="VALID","ADJUDICATE","OPEN")</f>
        <v>OPEN</v>
      </c>
    </row>
    <row r="62" customFormat="false" ht="15" hidden="false" customHeight="false" outlineLevel="0" collapsed="false">
      <c r="A62" s="9" t="s">
        <v>816</v>
      </c>
      <c r="B62" s="9" t="s">
        <v>817</v>
      </c>
      <c r="C62" s="9" t="s">
        <v>320</v>
      </c>
      <c r="D62" s="9" t="s">
        <v>321</v>
      </c>
      <c r="E62" s="9" t="s">
        <v>787</v>
      </c>
      <c r="F62" s="9" t="s">
        <v>341</v>
      </c>
      <c r="G62" s="9" t="s">
        <v>756</v>
      </c>
      <c r="H62" s="9" t="s">
        <v>745</v>
      </c>
      <c r="I62" s="11" t="s">
        <v>58</v>
      </c>
      <c r="J62" s="11" t="s">
        <v>58</v>
      </c>
      <c r="K62" s="11" t="s">
        <v>58</v>
      </c>
      <c r="L62" s="32" t="str">
        <f aca="false">IF(J62="VALID","ADJUDICATE","OPEN")</f>
        <v>OPEN</v>
      </c>
    </row>
    <row r="63" customFormat="false" ht="15" hidden="false" customHeight="false" outlineLevel="0" collapsed="false">
      <c r="A63" s="9" t="s">
        <v>818</v>
      </c>
      <c r="B63" s="9" t="s">
        <v>817</v>
      </c>
      <c r="C63" s="9" t="s">
        <v>320</v>
      </c>
      <c r="D63" s="9" t="s">
        <v>321</v>
      </c>
      <c r="E63" s="9" t="s">
        <v>787</v>
      </c>
      <c r="F63" s="9" t="s">
        <v>341</v>
      </c>
      <c r="G63" s="9" t="s">
        <v>756</v>
      </c>
      <c r="H63" s="9" t="s">
        <v>747</v>
      </c>
      <c r="I63" s="11" t="s">
        <v>58</v>
      </c>
      <c r="J63" s="11" t="s">
        <v>58</v>
      </c>
      <c r="K63" s="11" t="s">
        <v>58</v>
      </c>
      <c r="L63" s="32" t="str">
        <f aca="false">IF(J63="VALID","ADJUDICATE","OPEN")</f>
        <v>OPEN</v>
      </c>
    </row>
    <row r="64" customFormat="false" ht="15" hidden="false" customHeight="false" outlineLevel="0" collapsed="false">
      <c r="A64" s="9" t="s">
        <v>819</v>
      </c>
      <c r="B64" s="9" t="s">
        <v>817</v>
      </c>
      <c r="C64" s="9" t="s">
        <v>320</v>
      </c>
      <c r="D64" s="9" t="s">
        <v>321</v>
      </c>
      <c r="E64" s="9" t="s">
        <v>787</v>
      </c>
      <c r="F64" s="9" t="s">
        <v>341</v>
      </c>
      <c r="G64" s="9" t="s">
        <v>756</v>
      </c>
      <c r="H64" s="9" t="s">
        <v>749</v>
      </c>
      <c r="I64" s="11" t="s">
        <v>58</v>
      </c>
      <c r="J64" s="11" t="s">
        <v>58</v>
      </c>
      <c r="K64" s="11" t="s">
        <v>58</v>
      </c>
      <c r="L64" s="32" t="str">
        <f aca="false">IF(J64="VALID","ADJUDICATE","OPEN")</f>
        <v>OPEN</v>
      </c>
    </row>
    <row r="65" customFormat="false" ht="15" hidden="false" customHeight="false" outlineLevel="0" collapsed="false">
      <c r="A65" s="9" t="s">
        <v>820</v>
      </c>
      <c r="B65" s="9" t="s">
        <v>817</v>
      </c>
      <c r="C65" s="9" t="s">
        <v>320</v>
      </c>
      <c r="D65" s="9" t="s">
        <v>321</v>
      </c>
      <c r="E65" s="9" t="s">
        <v>787</v>
      </c>
      <c r="F65" s="9" t="s">
        <v>341</v>
      </c>
      <c r="G65" s="9" t="s">
        <v>756</v>
      </c>
      <c r="H65" s="9" t="s">
        <v>751</v>
      </c>
      <c r="I65" s="11" t="s">
        <v>58</v>
      </c>
      <c r="J65" s="11" t="s">
        <v>58</v>
      </c>
      <c r="K65" s="11" t="s">
        <v>58</v>
      </c>
      <c r="L65" s="32" t="str">
        <f aca="false">IF(J65="VALID","ADJUDICATE","OPEN")</f>
        <v>OPEN</v>
      </c>
    </row>
    <row r="66" customFormat="false" ht="15" hidden="false" customHeight="false" outlineLevel="0" collapsed="false">
      <c r="A66" s="9" t="s">
        <v>821</v>
      </c>
      <c r="B66" s="9" t="s">
        <v>817</v>
      </c>
      <c r="C66" s="9" t="s">
        <v>320</v>
      </c>
      <c r="D66" s="9" t="s">
        <v>321</v>
      </c>
      <c r="E66" s="9" t="s">
        <v>787</v>
      </c>
      <c r="F66" s="9" t="s">
        <v>341</v>
      </c>
      <c r="G66" s="9" t="s">
        <v>756</v>
      </c>
      <c r="H66" s="9" t="s">
        <v>753</v>
      </c>
      <c r="I66" s="11" t="s">
        <v>58</v>
      </c>
      <c r="J66" s="11" t="s">
        <v>58</v>
      </c>
      <c r="K66" s="11" t="s">
        <v>58</v>
      </c>
      <c r="L66" s="32" t="str">
        <f aca="false">IF(J66="VALID","ADJUDICATE","OPEN")</f>
        <v>OPEN</v>
      </c>
    </row>
    <row r="67" customFormat="false" ht="15" hidden="false" customHeight="false" outlineLevel="0" collapsed="false">
      <c r="A67" s="9" t="s">
        <v>822</v>
      </c>
      <c r="B67" s="9" t="s">
        <v>823</v>
      </c>
      <c r="C67" s="9" t="s">
        <v>349</v>
      </c>
      <c r="D67" s="9" t="s">
        <v>350</v>
      </c>
      <c r="E67" s="9" t="s">
        <v>743</v>
      </c>
      <c r="F67" s="9" t="s">
        <v>322</v>
      </c>
      <c r="G67" s="9" t="s">
        <v>744</v>
      </c>
      <c r="H67" s="9" t="s">
        <v>745</v>
      </c>
      <c r="I67" s="11" t="s">
        <v>58</v>
      </c>
      <c r="J67" s="11" t="s">
        <v>58</v>
      </c>
      <c r="K67" s="11" t="s">
        <v>58</v>
      </c>
      <c r="L67" s="32" t="str">
        <f aca="false">IF(J67="VALID","ADJUDICATE","OPEN")</f>
        <v>OPEN</v>
      </c>
    </row>
    <row r="68" customFormat="false" ht="15" hidden="false" customHeight="false" outlineLevel="0" collapsed="false">
      <c r="A68" s="9" t="s">
        <v>824</v>
      </c>
      <c r="B68" s="9" t="s">
        <v>823</v>
      </c>
      <c r="C68" s="9" t="s">
        <v>349</v>
      </c>
      <c r="D68" s="9" t="s">
        <v>350</v>
      </c>
      <c r="E68" s="9" t="s">
        <v>743</v>
      </c>
      <c r="F68" s="9" t="s">
        <v>322</v>
      </c>
      <c r="G68" s="9" t="s">
        <v>744</v>
      </c>
      <c r="H68" s="9" t="s">
        <v>747</v>
      </c>
      <c r="I68" s="11" t="s">
        <v>58</v>
      </c>
      <c r="J68" s="11" t="s">
        <v>58</v>
      </c>
      <c r="K68" s="11" t="s">
        <v>58</v>
      </c>
      <c r="L68" s="32" t="str">
        <f aca="false">IF(J68="VALID","ADJUDICATE","OPEN")</f>
        <v>OPEN</v>
      </c>
    </row>
    <row r="69" customFormat="false" ht="15" hidden="false" customHeight="false" outlineLevel="0" collapsed="false">
      <c r="A69" s="9" t="s">
        <v>825</v>
      </c>
      <c r="B69" s="9" t="s">
        <v>823</v>
      </c>
      <c r="C69" s="9" t="s">
        <v>349</v>
      </c>
      <c r="D69" s="9" t="s">
        <v>350</v>
      </c>
      <c r="E69" s="9" t="s">
        <v>743</v>
      </c>
      <c r="F69" s="9" t="s">
        <v>322</v>
      </c>
      <c r="G69" s="9" t="s">
        <v>744</v>
      </c>
      <c r="H69" s="9" t="s">
        <v>749</v>
      </c>
      <c r="I69" s="11" t="s">
        <v>58</v>
      </c>
      <c r="J69" s="11" t="s">
        <v>58</v>
      </c>
      <c r="K69" s="11" t="s">
        <v>58</v>
      </c>
      <c r="L69" s="32" t="str">
        <f aca="false">IF(J69="VALID","ADJUDICATE","OPEN")</f>
        <v>OPEN</v>
      </c>
    </row>
    <row r="70" customFormat="false" ht="15" hidden="false" customHeight="false" outlineLevel="0" collapsed="false">
      <c r="A70" s="9" t="s">
        <v>826</v>
      </c>
      <c r="B70" s="9" t="s">
        <v>823</v>
      </c>
      <c r="C70" s="9" t="s">
        <v>349</v>
      </c>
      <c r="D70" s="9" t="s">
        <v>350</v>
      </c>
      <c r="E70" s="9" t="s">
        <v>743</v>
      </c>
      <c r="F70" s="9" t="s">
        <v>322</v>
      </c>
      <c r="G70" s="9" t="s">
        <v>744</v>
      </c>
      <c r="H70" s="9" t="s">
        <v>751</v>
      </c>
      <c r="I70" s="11" t="s">
        <v>58</v>
      </c>
      <c r="J70" s="11" t="s">
        <v>58</v>
      </c>
      <c r="K70" s="11" t="s">
        <v>58</v>
      </c>
      <c r="L70" s="32" t="str">
        <f aca="false">IF(J70="VALID","ADJUDICATE","OPEN")</f>
        <v>OPEN</v>
      </c>
    </row>
    <row r="71" customFormat="false" ht="15" hidden="false" customHeight="false" outlineLevel="0" collapsed="false">
      <c r="A71" s="9" t="s">
        <v>827</v>
      </c>
      <c r="B71" s="9" t="s">
        <v>823</v>
      </c>
      <c r="C71" s="9" t="s">
        <v>349</v>
      </c>
      <c r="D71" s="9" t="s">
        <v>350</v>
      </c>
      <c r="E71" s="9" t="s">
        <v>743</v>
      </c>
      <c r="F71" s="9" t="s">
        <v>322</v>
      </c>
      <c r="G71" s="9" t="s">
        <v>744</v>
      </c>
      <c r="H71" s="9" t="s">
        <v>753</v>
      </c>
      <c r="I71" s="11" t="s">
        <v>58</v>
      </c>
      <c r="J71" s="11" t="s">
        <v>58</v>
      </c>
      <c r="K71" s="11" t="s">
        <v>58</v>
      </c>
      <c r="L71" s="32" t="str">
        <f aca="false">IF(J71="VALID","ADJUDICATE","OPEN")</f>
        <v>OPEN</v>
      </c>
    </row>
    <row r="72" customFormat="false" ht="15" hidden="false" customHeight="false" outlineLevel="0" collapsed="false">
      <c r="A72" s="9" t="s">
        <v>828</v>
      </c>
      <c r="B72" s="9" t="s">
        <v>829</v>
      </c>
      <c r="C72" s="9" t="s">
        <v>349</v>
      </c>
      <c r="D72" s="9" t="s">
        <v>350</v>
      </c>
      <c r="E72" s="9" t="s">
        <v>743</v>
      </c>
      <c r="F72" s="9" t="s">
        <v>322</v>
      </c>
      <c r="G72" s="9" t="s">
        <v>756</v>
      </c>
      <c r="H72" s="9" t="s">
        <v>745</v>
      </c>
      <c r="I72" s="11" t="s">
        <v>58</v>
      </c>
      <c r="J72" s="11" t="s">
        <v>58</v>
      </c>
      <c r="K72" s="11" t="s">
        <v>58</v>
      </c>
      <c r="L72" s="32" t="str">
        <f aca="false">IF(J72="VALID","ADJUDICATE","OPEN")</f>
        <v>OPEN</v>
      </c>
    </row>
    <row r="73" customFormat="false" ht="15" hidden="false" customHeight="false" outlineLevel="0" collapsed="false">
      <c r="A73" s="9" t="s">
        <v>830</v>
      </c>
      <c r="B73" s="9" t="s">
        <v>829</v>
      </c>
      <c r="C73" s="9" t="s">
        <v>349</v>
      </c>
      <c r="D73" s="9" t="s">
        <v>350</v>
      </c>
      <c r="E73" s="9" t="s">
        <v>743</v>
      </c>
      <c r="F73" s="9" t="s">
        <v>322</v>
      </c>
      <c r="G73" s="9" t="s">
        <v>756</v>
      </c>
      <c r="H73" s="9" t="s">
        <v>747</v>
      </c>
      <c r="I73" s="11" t="s">
        <v>58</v>
      </c>
      <c r="J73" s="11" t="s">
        <v>58</v>
      </c>
      <c r="K73" s="11" t="s">
        <v>58</v>
      </c>
      <c r="L73" s="32" t="str">
        <f aca="false">IF(J73="VALID","ADJUDICATE","OPEN")</f>
        <v>OPEN</v>
      </c>
    </row>
    <row r="74" customFormat="false" ht="15" hidden="false" customHeight="false" outlineLevel="0" collapsed="false">
      <c r="A74" s="9" t="s">
        <v>831</v>
      </c>
      <c r="B74" s="9" t="s">
        <v>829</v>
      </c>
      <c r="C74" s="9" t="s">
        <v>349</v>
      </c>
      <c r="D74" s="9" t="s">
        <v>350</v>
      </c>
      <c r="E74" s="9" t="s">
        <v>743</v>
      </c>
      <c r="F74" s="9" t="s">
        <v>322</v>
      </c>
      <c r="G74" s="9" t="s">
        <v>756</v>
      </c>
      <c r="H74" s="9" t="s">
        <v>749</v>
      </c>
      <c r="I74" s="11" t="s">
        <v>58</v>
      </c>
      <c r="J74" s="11" t="s">
        <v>58</v>
      </c>
      <c r="K74" s="11" t="s">
        <v>58</v>
      </c>
      <c r="L74" s="32" t="str">
        <f aca="false">IF(J74="VALID","ADJUDICATE","OPEN")</f>
        <v>OPEN</v>
      </c>
    </row>
    <row r="75" customFormat="false" ht="15" hidden="false" customHeight="false" outlineLevel="0" collapsed="false">
      <c r="A75" s="9" t="s">
        <v>832</v>
      </c>
      <c r="B75" s="9" t="s">
        <v>829</v>
      </c>
      <c r="C75" s="9" t="s">
        <v>349</v>
      </c>
      <c r="D75" s="9" t="s">
        <v>350</v>
      </c>
      <c r="E75" s="9" t="s">
        <v>743</v>
      </c>
      <c r="F75" s="9" t="s">
        <v>322</v>
      </c>
      <c r="G75" s="9" t="s">
        <v>756</v>
      </c>
      <c r="H75" s="9" t="s">
        <v>751</v>
      </c>
      <c r="I75" s="11" t="s">
        <v>58</v>
      </c>
      <c r="J75" s="11" t="s">
        <v>58</v>
      </c>
      <c r="K75" s="11" t="s">
        <v>58</v>
      </c>
      <c r="L75" s="32" t="str">
        <f aca="false">IF(J75="VALID","ADJUDICATE","OPEN")</f>
        <v>OPEN</v>
      </c>
    </row>
    <row r="76" customFormat="false" ht="15" hidden="false" customHeight="false" outlineLevel="0" collapsed="false">
      <c r="A76" s="9" t="s">
        <v>833</v>
      </c>
      <c r="B76" s="9" t="s">
        <v>829</v>
      </c>
      <c r="C76" s="9" t="s">
        <v>349</v>
      </c>
      <c r="D76" s="9" t="s">
        <v>350</v>
      </c>
      <c r="E76" s="9" t="s">
        <v>743</v>
      </c>
      <c r="F76" s="9" t="s">
        <v>322</v>
      </c>
      <c r="G76" s="9" t="s">
        <v>756</v>
      </c>
      <c r="H76" s="9" t="s">
        <v>753</v>
      </c>
      <c r="I76" s="11" t="s">
        <v>58</v>
      </c>
      <c r="J76" s="11" t="s">
        <v>58</v>
      </c>
      <c r="K76" s="11" t="s">
        <v>58</v>
      </c>
      <c r="L76" s="32" t="str">
        <f aca="false">IF(J76="VALID","ADJUDICATE","OPEN")</f>
        <v>OPEN</v>
      </c>
    </row>
    <row r="77" customFormat="false" ht="15" hidden="false" customHeight="false" outlineLevel="0" collapsed="false">
      <c r="A77" s="9" t="s">
        <v>834</v>
      </c>
      <c r="B77" s="9" t="s">
        <v>835</v>
      </c>
      <c r="C77" s="9" t="s">
        <v>349</v>
      </c>
      <c r="D77" s="9" t="s">
        <v>350</v>
      </c>
      <c r="E77" s="9" t="s">
        <v>743</v>
      </c>
      <c r="F77" s="9" t="s">
        <v>333</v>
      </c>
      <c r="G77" s="9" t="s">
        <v>744</v>
      </c>
      <c r="H77" s="9" t="s">
        <v>745</v>
      </c>
      <c r="I77" s="11" t="s">
        <v>58</v>
      </c>
      <c r="J77" s="11" t="s">
        <v>58</v>
      </c>
      <c r="K77" s="11" t="s">
        <v>58</v>
      </c>
      <c r="L77" s="32" t="str">
        <f aca="false">IF(J77="VALID","ADJUDICATE","OPEN")</f>
        <v>OPEN</v>
      </c>
    </row>
    <row r="78" customFormat="false" ht="15" hidden="false" customHeight="false" outlineLevel="0" collapsed="false">
      <c r="A78" s="9" t="s">
        <v>836</v>
      </c>
      <c r="B78" s="9" t="s">
        <v>835</v>
      </c>
      <c r="C78" s="9" t="s">
        <v>349</v>
      </c>
      <c r="D78" s="9" t="s">
        <v>350</v>
      </c>
      <c r="E78" s="9" t="s">
        <v>743</v>
      </c>
      <c r="F78" s="9" t="s">
        <v>333</v>
      </c>
      <c r="G78" s="9" t="s">
        <v>744</v>
      </c>
      <c r="H78" s="9" t="s">
        <v>747</v>
      </c>
      <c r="I78" s="11" t="s">
        <v>58</v>
      </c>
      <c r="J78" s="11" t="s">
        <v>58</v>
      </c>
      <c r="K78" s="11" t="s">
        <v>58</v>
      </c>
      <c r="L78" s="32" t="str">
        <f aca="false">IF(J78="VALID","ADJUDICATE","OPEN")</f>
        <v>OPEN</v>
      </c>
    </row>
    <row r="79" customFormat="false" ht="15" hidden="false" customHeight="false" outlineLevel="0" collapsed="false">
      <c r="A79" s="9" t="s">
        <v>837</v>
      </c>
      <c r="B79" s="9" t="s">
        <v>835</v>
      </c>
      <c r="C79" s="9" t="s">
        <v>349</v>
      </c>
      <c r="D79" s="9" t="s">
        <v>350</v>
      </c>
      <c r="E79" s="9" t="s">
        <v>743</v>
      </c>
      <c r="F79" s="9" t="s">
        <v>333</v>
      </c>
      <c r="G79" s="9" t="s">
        <v>744</v>
      </c>
      <c r="H79" s="9" t="s">
        <v>749</v>
      </c>
      <c r="I79" s="11" t="s">
        <v>58</v>
      </c>
      <c r="J79" s="11" t="s">
        <v>58</v>
      </c>
      <c r="K79" s="11" t="s">
        <v>58</v>
      </c>
      <c r="L79" s="32" t="str">
        <f aca="false">IF(J79="VALID","ADJUDICATE","OPEN")</f>
        <v>OPEN</v>
      </c>
    </row>
    <row r="80" customFormat="false" ht="15" hidden="false" customHeight="false" outlineLevel="0" collapsed="false">
      <c r="A80" s="9" t="s">
        <v>838</v>
      </c>
      <c r="B80" s="9" t="s">
        <v>835</v>
      </c>
      <c r="C80" s="9" t="s">
        <v>349</v>
      </c>
      <c r="D80" s="9" t="s">
        <v>350</v>
      </c>
      <c r="E80" s="9" t="s">
        <v>743</v>
      </c>
      <c r="F80" s="9" t="s">
        <v>333</v>
      </c>
      <c r="G80" s="9" t="s">
        <v>744</v>
      </c>
      <c r="H80" s="9" t="s">
        <v>751</v>
      </c>
      <c r="I80" s="11" t="s">
        <v>58</v>
      </c>
      <c r="J80" s="11" t="s">
        <v>58</v>
      </c>
      <c r="K80" s="11" t="s">
        <v>58</v>
      </c>
      <c r="L80" s="32" t="str">
        <f aca="false">IF(J80="VALID","ADJUDICATE","OPEN")</f>
        <v>OPEN</v>
      </c>
    </row>
    <row r="81" customFormat="false" ht="15" hidden="false" customHeight="false" outlineLevel="0" collapsed="false">
      <c r="A81" s="9" t="s">
        <v>839</v>
      </c>
      <c r="B81" s="9" t="s">
        <v>835</v>
      </c>
      <c r="C81" s="9" t="s">
        <v>349</v>
      </c>
      <c r="D81" s="9" t="s">
        <v>350</v>
      </c>
      <c r="E81" s="9" t="s">
        <v>743</v>
      </c>
      <c r="F81" s="9" t="s">
        <v>333</v>
      </c>
      <c r="G81" s="9" t="s">
        <v>744</v>
      </c>
      <c r="H81" s="9" t="s">
        <v>753</v>
      </c>
      <c r="I81" s="11" t="s">
        <v>58</v>
      </c>
      <c r="J81" s="11" t="s">
        <v>58</v>
      </c>
      <c r="K81" s="11" t="s">
        <v>58</v>
      </c>
      <c r="L81" s="32" t="str">
        <f aca="false">IF(J81="VALID","ADJUDICATE","OPEN")</f>
        <v>OPEN</v>
      </c>
    </row>
    <row r="82" customFormat="false" ht="15" hidden="false" customHeight="false" outlineLevel="0" collapsed="false">
      <c r="A82" s="9" t="s">
        <v>840</v>
      </c>
      <c r="B82" s="9" t="s">
        <v>841</v>
      </c>
      <c r="C82" s="9" t="s">
        <v>349</v>
      </c>
      <c r="D82" s="9" t="s">
        <v>350</v>
      </c>
      <c r="E82" s="9" t="s">
        <v>743</v>
      </c>
      <c r="F82" s="9" t="s">
        <v>333</v>
      </c>
      <c r="G82" s="9" t="s">
        <v>756</v>
      </c>
      <c r="H82" s="9" t="s">
        <v>745</v>
      </c>
      <c r="I82" s="11" t="s">
        <v>58</v>
      </c>
      <c r="J82" s="11" t="s">
        <v>58</v>
      </c>
      <c r="K82" s="11" t="s">
        <v>58</v>
      </c>
      <c r="L82" s="32" t="str">
        <f aca="false">IF(J82="VALID","ADJUDICATE","OPEN")</f>
        <v>OPEN</v>
      </c>
    </row>
    <row r="83" customFormat="false" ht="15" hidden="false" customHeight="false" outlineLevel="0" collapsed="false">
      <c r="A83" s="9" t="s">
        <v>842</v>
      </c>
      <c r="B83" s="9" t="s">
        <v>841</v>
      </c>
      <c r="C83" s="9" t="s">
        <v>349</v>
      </c>
      <c r="D83" s="9" t="s">
        <v>350</v>
      </c>
      <c r="E83" s="9" t="s">
        <v>743</v>
      </c>
      <c r="F83" s="9" t="s">
        <v>333</v>
      </c>
      <c r="G83" s="9" t="s">
        <v>756</v>
      </c>
      <c r="H83" s="9" t="s">
        <v>747</v>
      </c>
      <c r="I83" s="11" t="s">
        <v>58</v>
      </c>
      <c r="J83" s="11" t="s">
        <v>58</v>
      </c>
      <c r="K83" s="11" t="s">
        <v>58</v>
      </c>
      <c r="L83" s="32" t="str">
        <f aca="false">IF(J83="VALID","ADJUDICATE","OPEN")</f>
        <v>OPEN</v>
      </c>
    </row>
    <row r="84" customFormat="false" ht="15" hidden="false" customHeight="false" outlineLevel="0" collapsed="false">
      <c r="A84" s="9" t="s">
        <v>843</v>
      </c>
      <c r="B84" s="9" t="s">
        <v>841</v>
      </c>
      <c r="C84" s="9" t="s">
        <v>349</v>
      </c>
      <c r="D84" s="9" t="s">
        <v>350</v>
      </c>
      <c r="E84" s="9" t="s">
        <v>743</v>
      </c>
      <c r="F84" s="9" t="s">
        <v>333</v>
      </c>
      <c r="G84" s="9" t="s">
        <v>756</v>
      </c>
      <c r="H84" s="9" t="s">
        <v>749</v>
      </c>
      <c r="I84" s="11" t="s">
        <v>58</v>
      </c>
      <c r="J84" s="11" t="s">
        <v>58</v>
      </c>
      <c r="K84" s="11" t="s">
        <v>58</v>
      </c>
      <c r="L84" s="32" t="str">
        <f aca="false">IF(J84="VALID","ADJUDICATE","OPEN")</f>
        <v>OPEN</v>
      </c>
    </row>
    <row r="85" customFormat="false" ht="15" hidden="false" customHeight="false" outlineLevel="0" collapsed="false">
      <c r="A85" s="9" t="s">
        <v>844</v>
      </c>
      <c r="B85" s="9" t="s">
        <v>841</v>
      </c>
      <c r="C85" s="9" t="s">
        <v>349</v>
      </c>
      <c r="D85" s="9" t="s">
        <v>350</v>
      </c>
      <c r="E85" s="9" t="s">
        <v>743</v>
      </c>
      <c r="F85" s="9" t="s">
        <v>333</v>
      </c>
      <c r="G85" s="9" t="s">
        <v>756</v>
      </c>
      <c r="H85" s="9" t="s">
        <v>751</v>
      </c>
      <c r="I85" s="11" t="s">
        <v>58</v>
      </c>
      <c r="J85" s="11" t="s">
        <v>58</v>
      </c>
      <c r="K85" s="11" t="s">
        <v>58</v>
      </c>
      <c r="L85" s="32" t="str">
        <f aca="false">IF(J85="VALID","ADJUDICATE","OPEN")</f>
        <v>OPEN</v>
      </c>
    </row>
    <row r="86" customFormat="false" ht="15" hidden="false" customHeight="false" outlineLevel="0" collapsed="false">
      <c r="A86" s="9" t="s">
        <v>845</v>
      </c>
      <c r="B86" s="9" t="s">
        <v>841</v>
      </c>
      <c r="C86" s="9" t="s">
        <v>349</v>
      </c>
      <c r="D86" s="9" t="s">
        <v>350</v>
      </c>
      <c r="E86" s="9" t="s">
        <v>743</v>
      </c>
      <c r="F86" s="9" t="s">
        <v>333</v>
      </c>
      <c r="G86" s="9" t="s">
        <v>756</v>
      </c>
      <c r="H86" s="9" t="s">
        <v>753</v>
      </c>
      <c r="I86" s="11" t="s">
        <v>58</v>
      </c>
      <c r="J86" s="11" t="s">
        <v>58</v>
      </c>
      <c r="K86" s="11" t="s">
        <v>58</v>
      </c>
      <c r="L86" s="32" t="str">
        <f aca="false">IF(J86="VALID","ADJUDICATE","OPEN")</f>
        <v>OPEN</v>
      </c>
    </row>
    <row r="87" customFormat="false" ht="15" hidden="false" customHeight="false" outlineLevel="0" collapsed="false">
      <c r="A87" s="9" t="s">
        <v>846</v>
      </c>
      <c r="B87" s="9" t="s">
        <v>847</v>
      </c>
      <c r="C87" s="9" t="s">
        <v>349</v>
      </c>
      <c r="D87" s="9" t="s">
        <v>350</v>
      </c>
      <c r="E87" s="9" t="s">
        <v>743</v>
      </c>
      <c r="F87" s="9" t="s">
        <v>341</v>
      </c>
      <c r="G87" s="9" t="s">
        <v>744</v>
      </c>
      <c r="H87" s="9" t="s">
        <v>745</v>
      </c>
      <c r="I87" s="11" t="s">
        <v>58</v>
      </c>
      <c r="J87" s="11" t="s">
        <v>58</v>
      </c>
      <c r="K87" s="11" t="s">
        <v>58</v>
      </c>
      <c r="L87" s="32" t="str">
        <f aca="false">IF(J87="VALID","ADJUDICATE","OPEN")</f>
        <v>OPEN</v>
      </c>
    </row>
    <row r="88" customFormat="false" ht="15" hidden="false" customHeight="false" outlineLevel="0" collapsed="false">
      <c r="A88" s="9" t="s">
        <v>848</v>
      </c>
      <c r="B88" s="9" t="s">
        <v>847</v>
      </c>
      <c r="C88" s="9" t="s">
        <v>349</v>
      </c>
      <c r="D88" s="9" t="s">
        <v>350</v>
      </c>
      <c r="E88" s="9" t="s">
        <v>743</v>
      </c>
      <c r="F88" s="9" t="s">
        <v>341</v>
      </c>
      <c r="G88" s="9" t="s">
        <v>744</v>
      </c>
      <c r="H88" s="9" t="s">
        <v>747</v>
      </c>
      <c r="I88" s="11" t="s">
        <v>58</v>
      </c>
      <c r="J88" s="11" t="s">
        <v>58</v>
      </c>
      <c r="K88" s="11" t="s">
        <v>58</v>
      </c>
      <c r="L88" s="32" t="str">
        <f aca="false">IF(J88="VALID","ADJUDICATE","OPEN")</f>
        <v>OPEN</v>
      </c>
    </row>
    <row r="89" customFormat="false" ht="15" hidden="false" customHeight="false" outlineLevel="0" collapsed="false">
      <c r="A89" s="9" t="s">
        <v>849</v>
      </c>
      <c r="B89" s="9" t="s">
        <v>847</v>
      </c>
      <c r="C89" s="9" t="s">
        <v>349</v>
      </c>
      <c r="D89" s="9" t="s">
        <v>350</v>
      </c>
      <c r="E89" s="9" t="s">
        <v>743</v>
      </c>
      <c r="F89" s="9" t="s">
        <v>341</v>
      </c>
      <c r="G89" s="9" t="s">
        <v>744</v>
      </c>
      <c r="H89" s="9" t="s">
        <v>749</v>
      </c>
      <c r="I89" s="11" t="s">
        <v>58</v>
      </c>
      <c r="J89" s="11" t="s">
        <v>58</v>
      </c>
      <c r="K89" s="11" t="s">
        <v>58</v>
      </c>
      <c r="L89" s="32" t="str">
        <f aca="false">IF(J89="VALID","ADJUDICATE","OPEN")</f>
        <v>OPEN</v>
      </c>
    </row>
    <row r="90" customFormat="false" ht="15" hidden="false" customHeight="false" outlineLevel="0" collapsed="false">
      <c r="A90" s="9" t="s">
        <v>850</v>
      </c>
      <c r="B90" s="9" t="s">
        <v>847</v>
      </c>
      <c r="C90" s="9" t="s">
        <v>349</v>
      </c>
      <c r="D90" s="9" t="s">
        <v>350</v>
      </c>
      <c r="E90" s="9" t="s">
        <v>743</v>
      </c>
      <c r="F90" s="9" t="s">
        <v>341</v>
      </c>
      <c r="G90" s="9" t="s">
        <v>744</v>
      </c>
      <c r="H90" s="9" t="s">
        <v>751</v>
      </c>
      <c r="I90" s="11" t="s">
        <v>58</v>
      </c>
      <c r="J90" s="11" t="s">
        <v>58</v>
      </c>
      <c r="K90" s="11" t="s">
        <v>58</v>
      </c>
      <c r="L90" s="32" t="str">
        <f aca="false">IF(J90="VALID","ADJUDICATE","OPEN")</f>
        <v>OPEN</v>
      </c>
    </row>
    <row r="91" customFormat="false" ht="15" hidden="false" customHeight="false" outlineLevel="0" collapsed="false">
      <c r="A91" s="9" t="s">
        <v>851</v>
      </c>
      <c r="B91" s="9" t="s">
        <v>847</v>
      </c>
      <c r="C91" s="9" t="s">
        <v>349</v>
      </c>
      <c r="D91" s="9" t="s">
        <v>350</v>
      </c>
      <c r="E91" s="9" t="s">
        <v>743</v>
      </c>
      <c r="F91" s="9" t="s">
        <v>341</v>
      </c>
      <c r="G91" s="9" t="s">
        <v>744</v>
      </c>
      <c r="H91" s="9" t="s">
        <v>753</v>
      </c>
      <c r="I91" s="11" t="s">
        <v>58</v>
      </c>
      <c r="J91" s="11" t="s">
        <v>58</v>
      </c>
      <c r="K91" s="11" t="s">
        <v>58</v>
      </c>
      <c r="L91" s="32" t="str">
        <f aca="false">IF(J91="VALID","ADJUDICATE","OPEN")</f>
        <v>OPEN</v>
      </c>
    </row>
    <row r="92" customFormat="false" ht="15" hidden="false" customHeight="false" outlineLevel="0" collapsed="false">
      <c r="A92" s="9" t="s">
        <v>852</v>
      </c>
      <c r="B92" s="9" t="s">
        <v>853</v>
      </c>
      <c r="C92" s="9" t="s">
        <v>349</v>
      </c>
      <c r="D92" s="9" t="s">
        <v>350</v>
      </c>
      <c r="E92" s="9" t="s">
        <v>743</v>
      </c>
      <c r="F92" s="9" t="s">
        <v>341</v>
      </c>
      <c r="G92" s="9" t="s">
        <v>756</v>
      </c>
      <c r="H92" s="9" t="s">
        <v>745</v>
      </c>
      <c r="I92" s="11" t="s">
        <v>58</v>
      </c>
      <c r="J92" s="11" t="s">
        <v>58</v>
      </c>
      <c r="K92" s="11" t="s">
        <v>58</v>
      </c>
      <c r="L92" s="32" t="str">
        <f aca="false">IF(J92="VALID","ADJUDICATE","OPEN")</f>
        <v>OPEN</v>
      </c>
    </row>
    <row r="93" customFormat="false" ht="15" hidden="false" customHeight="false" outlineLevel="0" collapsed="false">
      <c r="A93" s="9" t="s">
        <v>854</v>
      </c>
      <c r="B93" s="9" t="s">
        <v>853</v>
      </c>
      <c r="C93" s="9" t="s">
        <v>349</v>
      </c>
      <c r="D93" s="9" t="s">
        <v>350</v>
      </c>
      <c r="E93" s="9" t="s">
        <v>743</v>
      </c>
      <c r="F93" s="9" t="s">
        <v>341</v>
      </c>
      <c r="G93" s="9" t="s">
        <v>756</v>
      </c>
      <c r="H93" s="9" t="s">
        <v>747</v>
      </c>
      <c r="I93" s="11" t="s">
        <v>58</v>
      </c>
      <c r="J93" s="11" t="s">
        <v>58</v>
      </c>
      <c r="K93" s="11" t="s">
        <v>58</v>
      </c>
      <c r="L93" s="32" t="str">
        <f aca="false">IF(J93="VALID","ADJUDICATE","OPEN")</f>
        <v>OPEN</v>
      </c>
    </row>
    <row r="94" customFormat="false" ht="15" hidden="false" customHeight="false" outlineLevel="0" collapsed="false">
      <c r="A94" s="9" t="s">
        <v>855</v>
      </c>
      <c r="B94" s="9" t="s">
        <v>853</v>
      </c>
      <c r="C94" s="9" t="s">
        <v>349</v>
      </c>
      <c r="D94" s="9" t="s">
        <v>350</v>
      </c>
      <c r="E94" s="9" t="s">
        <v>743</v>
      </c>
      <c r="F94" s="9" t="s">
        <v>341</v>
      </c>
      <c r="G94" s="9" t="s">
        <v>756</v>
      </c>
      <c r="H94" s="9" t="s">
        <v>749</v>
      </c>
      <c r="I94" s="11" t="s">
        <v>58</v>
      </c>
      <c r="J94" s="11" t="s">
        <v>58</v>
      </c>
      <c r="K94" s="11" t="s">
        <v>58</v>
      </c>
      <c r="L94" s="32" t="str">
        <f aca="false">IF(J94="VALID","ADJUDICATE","OPEN")</f>
        <v>OPEN</v>
      </c>
    </row>
    <row r="95" customFormat="false" ht="15" hidden="false" customHeight="false" outlineLevel="0" collapsed="false">
      <c r="A95" s="9" t="s">
        <v>856</v>
      </c>
      <c r="B95" s="9" t="s">
        <v>853</v>
      </c>
      <c r="C95" s="9" t="s">
        <v>349</v>
      </c>
      <c r="D95" s="9" t="s">
        <v>350</v>
      </c>
      <c r="E95" s="9" t="s">
        <v>743</v>
      </c>
      <c r="F95" s="9" t="s">
        <v>341</v>
      </c>
      <c r="G95" s="9" t="s">
        <v>756</v>
      </c>
      <c r="H95" s="9" t="s">
        <v>751</v>
      </c>
      <c r="I95" s="11" t="s">
        <v>58</v>
      </c>
      <c r="J95" s="11" t="s">
        <v>58</v>
      </c>
      <c r="K95" s="11" t="s">
        <v>58</v>
      </c>
      <c r="L95" s="32" t="str">
        <f aca="false">IF(J95="VALID","ADJUDICATE","OPEN")</f>
        <v>OPEN</v>
      </c>
    </row>
    <row r="96" customFormat="false" ht="15" hidden="false" customHeight="false" outlineLevel="0" collapsed="false">
      <c r="A96" s="9" t="s">
        <v>857</v>
      </c>
      <c r="B96" s="9" t="s">
        <v>853</v>
      </c>
      <c r="C96" s="9" t="s">
        <v>349</v>
      </c>
      <c r="D96" s="9" t="s">
        <v>350</v>
      </c>
      <c r="E96" s="9" t="s">
        <v>743</v>
      </c>
      <c r="F96" s="9" t="s">
        <v>341</v>
      </c>
      <c r="G96" s="9" t="s">
        <v>756</v>
      </c>
      <c r="H96" s="9" t="s">
        <v>753</v>
      </c>
      <c r="I96" s="11" t="s">
        <v>58</v>
      </c>
      <c r="J96" s="11" t="s">
        <v>58</v>
      </c>
      <c r="K96" s="11" t="s">
        <v>58</v>
      </c>
      <c r="L96" s="32" t="str">
        <f aca="false">IF(J96="VALID","ADJUDICATE","OPEN")</f>
        <v>OPEN</v>
      </c>
    </row>
    <row r="97" customFormat="false" ht="15" hidden="false" customHeight="false" outlineLevel="0" collapsed="false">
      <c r="A97" s="9" t="s">
        <v>858</v>
      </c>
      <c r="B97" s="9" t="s">
        <v>859</v>
      </c>
      <c r="C97" s="9" t="s">
        <v>349</v>
      </c>
      <c r="D97" s="9" t="s">
        <v>350</v>
      </c>
      <c r="E97" s="9" t="s">
        <v>787</v>
      </c>
      <c r="F97" s="9" t="s">
        <v>322</v>
      </c>
      <c r="G97" s="9" t="s">
        <v>744</v>
      </c>
      <c r="H97" s="9" t="s">
        <v>745</v>
      </c>
      <c r="I97" s="11" t="s">
        <v>58</v>
      </c>
      <c r="J97" s="11" t="s">
        <v>58</v>
      </c>
      <c r="K97" s="11" t="s">
        <v>58</v>
      </c>
      <c r="L97" s="32" t="str">
        <f aca="false">IF(J97="VALID","ADJUDICATE","OPEN")</f>
        <v>OPEN</v>
      </c>
    </row>
    <row r="98" customFormat="false" ht="15" hidden="false" customHeight="false" outlineLevel="0" collapsed="false">
      <c r="A98" s="9" t="s">
        <v>860</v>
      </c>
      <c r="B98" s="9" t="s">
        <v>859</v>
      </c>
      <c r="C98" s="9" t="s">
        <v>349</v>
      </c>
      <c r="D98" s="9" t="s">
        <v>350</v>
      </c>
      <c r="E98" s="9" t="s">
        <v>787</v>
      </c>
      <c r="F98" s="9" t="s">
        <v>322</v>
      </c>
      <c r="G98" s="9" t="s">
        <v>744</v>
      </c>
      <c r="H98" s="9" t="s">
        <v>747</v>
      </c>
      <c r="I98" s="11" t="s">
        <v>58</v>
      </c>
      <c r="J98" s="11" t="s">
        <v>58</v>
      </c>
      <c r="K98" s="11" t="s">
        <v>58</v>
      </c>
      <c r="L98" s="32" t="str">
        <f aca="false">IF(J98="VALID","ADJUDICATE","OPEN")</f>
        <v>OPEN</v>
      </c>
    </row>
    <row r="99" customFormat="false" ht="15" hidden="false" customHeight="false" outlineLevel="0" collapsed="false">
      <c r="A99" s="9" t="s">
        <v>861</v>
      </c>
      <c r="B99" s="9" t="s">
        <v>859</v>
      </c>
      <c r="C99" s="9" t="s">
        <v>349</v>
      </c>
      <c r="D99" s="9" t="s">
        <v>350</v>
      </c>
      <c r="E99" s="9" t="s">
        <v>787</v>
      </c>
      <c r="F99" s="9" t="s">
        <v>322</v>
      </c>
      <c r="G99" s="9" t="s">
        <v>744</v>
      </c>
      <c r="H99" s="9" t="s">
        <v>749</v>
      </c>
      <c r="I99" s="11" t="s">
        <v>58</v>
      </c>
      <c r="J99" s="11" t="s">
        <v>58</v>
      </c>
      <c r="K99" s="11" t="s">
        <v>58</v>
      </c>
      <c r="L99" s="32" t="str">
        <f aca="false">IF(J99="VALID","ADJUDICATE","OPEN")</f>
        <v>OPEN</v>
      </c>
    </row>
    <row r="100" customFormat="false" ht="15" hidden="false" customHeight="false" outlineLevel="0" collapsed="false">
      <c r="A100" s="9" t="s">
        <v>862</v>
      </c>
      <c r="B100" s="9" t="s">
        <v>859</v>
      </c>
      <c r="C100" s="9" t="s">
        <v>349</v>
      </c>
      <c r="D100" s="9" t="s">
        <v>350</v>
      </c>
      <c r="E100" s="9" t="s">
        <v>787</v>
      </c>
      <c r="F100" s="9" t="s">
        <v>322</v>
      </c>
      <c r="G100" s="9" t="s">
        <v>744</v>
      </c>
      <c r="H100" s="9" t="s">
        <v>751</v>
      </c>
      <c r="I100" s="11" t="s">
        <v>58</v>
      </c>
      <c r="J100" s="11" t="s">
        <v>58</v>
      </c>
      <c r="K100" s="11" t="s">
        <v>58</v>
      </c>
      <c r="L100" s="32" t="str">
        <f aca="false">IF(J100="VALID","ADJUDICATE","OPEN")</f>
        <v>OPEN</v>
      </c>
    </row>
    <row r="101" customFormat="false" ht="15" hidden="false" customHeight="false" outlineLevel="0" collapsed="false">
      <c r="A101" s="9" t="s">
        <v>863</v>
      </c>
      <c r="B101" s="9" t="s">
        <v>859</v>
      </c>
      <c r="C101" s="9" t="s">
        <v>349</v>
      </c>
      <c r="D101" s="9" t="s">
        <v>350</v>
      </c>
      <c r="E101" s="9" t="s">
        <v>787</v>
      </c>
      <c r="F101" s="9" t="s">
        <v>322</v>
      </c>
      <c r="G101" s="9" t="s">
        <v>744</v>
      </c>
      <c r="H101" s="9" t="s">
        <v>753</v>
      </c>
      <c r="I101" s="11" t="s">
        <v>58</v>
      </c>
      <c r="J101" s="11" t="s">
        <v>58</v>
      </c>
      <c r="K101" s="11" t="s">
        <v>58</v>
      </c>
      <c r="L101" s="32" t="str">
        <f aca="false">IF(J101="VALID","ADJUDICATE","OPEN")</f>
        <v>OPEN</v>
      </c>
    </row>
    <row r="102" customFormat="false" ht="15" hidden="false" customHeight="false" outlineLevel="0" collapsed="false">
      <c r="A102" s="9" t="s">
        <v>864</v>
      </c>
      <c r="B102" s="9" t="s">
        <v>865</v>
      </c>
      <c r="C102" s="9" t="s">
        <v>349</v>
      </c>
      <c r="D102" s="9" t="s">
        <v>350</v>
      </c>
      <c r="E102" s="9" t="s">
        <v>787</v>
      </c>
      <c r="F102" s="9" t="s">
        <v>322</v>
      </c>
      <c r="G102" s="9" t="s">
        <v>756</v>
      </c>
      <c r="H102" s="9" t="s">
        <v>745</v>
      </c>
      <c r="I102" s="11" t="s">
        <v>58</v>
      </c>
      <c r="J102" s="11" t="s">
        <v>58</v>
      </c>
      <c r="K102" s="11" t="s">
        <v>58</v>
      </c>
      <c r="L102" s="32" t="str">
        <f aca="false">IF(J102="VALID","ADJUDICATE","OPEN")</f>
        <v>OPEN</v>
      </c>
    </row>
    <row r="103" customFormat="false" ht="15" hidden="false" customHeight="false" outlineLevel="0" collapsed="false">
      <c r="A103" s="9" t="s">
        <v>866</v>
      </c>
      <c r="B103" s="9" t="s">
        <v>865</v>
      </c>
      <c r="C103" s="9" t="s">
        <v>349</v>
      </c>
      <c r="D103" s="9" t="s">
        <v>350</v>
      </c>
      <c r="E103" s="9" t="s">
        <v>787</v>
      </c>
      <c r="F103" s="9" t="s">
        <v>322</v>
      </c>
      <c r="G103" s="9" t="s">
        <v>756</v>
      </c>
      <c r="H103" s="9" t="s">
        <v>747</v>
      </c>
      <c r="I103" s="11" t="s">
        <v>58</v>
      </c>
      <c r="J103" s="11" t="s">
        <v>58</v>
      </c>
      <c r="K103" s="11" t="s">
        <v>58</v>
      </c>
      <c r="L103" s="32" t="str">
        <f aca="false">IF(J103="VALID","ADJUDICATE","OPEN")</f>
        <v>OPEN</v>
      </c>
    </row>
    <row r="104" customFormat="false" ht="15" hidden="false" customHeight="false" outlineLevel="0" collapsed="false">
      <c r="A104" s="9" t="s">
        <v>867</v>
      </c>
      <c r="B104" s="9" t="s">
        <v>865</v>
      </c>
      <c r="C104" s="9" t="s">
        <v>349</v>
      </c>
      <c r="D104" s="9" t="s">
        <v>350</v>
      </c>
      <c r="E104" s="9" t="s">
        <v>787</v>
      </c>
      <c r="F104" s="9" t="s">
        <v>322</v>
      </c>
      <c r="G104" s="9" t="s">
        <v>756</v>
      </c>
      <c r="H104" s="9" t="s">
        <v>749</v>
      </c>
      <c r="I104" s="11" t="s">
        <v>58</v>
      </c>
      <c r="J104" s="11" t="s">
        <v>58</v>
      </c>
      <c r="K104" s="11" t="s">
        <v>58</v>
      </c>
      <c r="L104" s="32" t="str">
        <f aca="false">IF(J104="VALID","ADJUDICATE","OPEN")</f>
        <v>OPEN</v>
      </c>
    </row>
    <row r="105" customFormat="false" ht="15" hidden="false" customHeight="false" outlineLevel="0" collapsed="false">
      <c r="A105" s="9" t="s">
        <v>868</v>
      </c>
      <c r="B105" s="9" t="s">
        <v>865</v>
      </c>
      <c r="C105" s="9" t="s">
        <v>349</v>
      </c>
      <c r="D105" s="9" t="s">
        <v>350</v>
      </c>
      <c r="E105" s="9" t="s">
        <v>787</v>
      </c>
      <c r="F105" s="9" t="s">
        <v>322</v>
      </c>
      <c r="G105" s="9" t="s">
        <v>756</v>
      </c>
      <c r="H105" s="9" t="s">
        <v>751</v>
      </c>
      <c r="I105" s="11" t="s">
        <v>58</v>
      </c>
      <c r="J105" s="11" t="s">
        <v>58</v>
      </c>
      <c r="K105" s="11" t="s">
        <v>58</v>
      </c>
      <c r="L105" s="32" t="str">
        <f aca="false">IF(J105="VALID","ADJUDICATE","OPEN")</f>
        <v>OPEN</v>
      </c>
    </row>
    <row r="106" customFormat="false" ht="15" hidden="false" customHeight="false" outlineLevel="0" collapsed="false">
      <c r="A106" s="9" t="s">
        <v>869</v>
      </c>
      <c r="B106" s="9" t="s">
        <v>865</v>
      </c>
      <c r="C106" s="9" t="s">
        <v>349</v>
      </c>
      <c r="D106" s="9" t="s">
        <v>350</v>
      </c>
      <c r="E106" s="9" t="s">
        <v>787</v>
      </c>
      <c r="F106" s="9" t="s">
        <v>322</v>
      </c>
      <c r="G106" s="9" t="s">
        <v>756</v>
      </c>
      <c r="H106" s="9" t="s">
        <v>753</v>
      </c>
      <c r="I106" s="11" t="s">
        <v>58</v>
      </c>
      <c r="J106" s="11" t="s">
        <v>58</v>
      </c>
      <c r="K106" s="11" t="s">
        <v>58</v>
      </c>
      <c r="L106" s="32" t="str">
        <f aca="false">IF(J106="VALID","ADJUDICATE","OPEN")</f>
        <v>OPEN</v>
      </c>
    </row>
    <row r="107" customFormat="false" ht="15" hidden="false" customHeight="false" outlineLevel="0" collapsed="false">
      <c r="A107" s="9" t="s">
        <v>870</v>
      </c>
      <c r="B107" s="9" t="s">
        <v>871</v>
      </c>
      <c r="C107" s="9" t="s">
        <v>349</v>
      </c>
      <c r="D107" s="9" t="s">
        <v>350</v>
      </c>
      <c r="E107" s="9" t="s">
        <v>787</v>
      </c>
      <c r="F107" s="9" t="s">
        <v>333</v>
      </c>
      <c r="G107" s="9" t="s">
        <v>744</v>
      </c>
      <c r="H107" s="9" t="s">
        <v>745</v>
      </c>
      <c r="I107" s="11" t="s">
        <v>58</v>
      </c>
      <c r="J107" s="11" t="s">
        <v>58</v>
      </c>
      <c r="K107" s="11" t="s">
        <v>58</v>
      </c>
      <c r="L107" s="32" t="str">
        <f aca="false">IF(J107="VALID","ADJUDICATE","OPEN")</f>
        <v>OPEN</v>
      </c>
    </row>
    <row r="108" customFormat="false" ht="15" hidden="false" customHeight="false" outlineLevel="0" collapsed="false">
      <c r="A108" s="9" t="s">
        <v>872</v>
      </c>
      <c r="B108" s="9" t="s">
        <v>871</v>
      </c>
      <c r="C108" s="9" t="s">
        <v>349</v>
      </c>
      <c r="D108" s="9" t="s">
        <v>350</v>
      </c>
      <c r="E108" s="9" t="s">
        <v>787</v>
      </c>
      <c r="F108" s="9" t="s">
        <v>333</v>
      </c>
      <c r="G108" s="9" t="s">
        <v>744</v>
      </c>
      <c r="H108" s="9" t="s">
        <v>747</v>
      </c>
      <c r="I108" s="11" t="s">
        <v>58</v>
      </c>
      <c r="J108" s="11" t="s">
        <v>58</v>
      </c>
      <c r="K108" s="11" t="s">
        <v>58</v>
      </c>
      <c r="L108" s="32" t="str">
        <f aca="false">IF(J108="VALID","ADJUDICATE","OPEN")</f>
        <v>OPEN</v>
      </c>
    </row>
    <row r="109" customFormat="false" ht="15" hidden="false" customHeight="false" outlineLevel="0" collapsed="false">
      <c r="A109" s="9" t="s">
        <v>873</v>
      </c>
      <c r="B109" s="9" t="s">
        <v>871</v>
      </c>
      <c r="C109" s="9" t="s">
        <v>349</v>
      </c>
      <c r="D109" s="9" t="s">
        <v>350</v>
      </c>
      <c r="E109" s="9" t="s">
        <v>787</v>
      </c>
      <c r="F109" s="9" t="s">
        <v>333</v>
      </c>
      <c r="G109" s="9" t="s">
        <v>744</v>
      </c>
      <c r="H109" s="9" t="s">
        <v>749</v>
      </c>
      <c r="I109" s="11" t="s">
        <v>58</v>
      </c>
      <c r="J109" s="11" t="s">
        <v>58</v>
      </c>
      <c r="K109" s="11" t="s">
        <v>58</v>
      </c>
      <c r="L109" s="32" t="str">
        <f aca="false">IF(J109="VALID","ADJUDICATE","OPEN")</f>
        <v>OPEN</v>
      </c>
    </row>
    <row r="110" customFormat="false" ht="15" hidden="false" customHeight="false" outlineLevel="0" collapsed="false">
      <c r="A110" s="9" t="s">
        <v>874</v>
      </c>
      <c r="B110" s="9" t="s">
        <v>871</v>
      </c>
      <c r="C110" s="9" t="s">
        <v>349</v>
      </c>
      <c r="D110" s="9" t="s">
        <v>350</v>
      </c>
      <c r="E110" s="9" t="s">
        <v>787</v>
      </c>
      <c r="F110" s="9" t="s">
        <v>333</v>
      </c>
      <c r="G110" s="9" t="s">
        <v>744</v>
      </c>
      <c r="H110" s="9" t="s">
        <v>751</v>
      </c>
      <c r="I110" s="11" t="s">
        <v>58</v>
      </c>
      <c r="J110" s="11" t="s">
        <v>58</v>
      </c>
      <c r="K110" s="11" t="s">
        <v>58</v>
      </c>
      <c r="L110" s="32" t="str">
        <f aca="false">IF(J110="VALID","ADJUDICATE","OPEN")</f>
        <v>OPEN</v>
      </c>
    </row>
    <row r="111" customFormat="false" ht="15" hidden="false" customHeight="false" outlineLevel="0" collapsed="false">
      <c r="A111" s="9" t="s">
        <v>875</v>
      </c>
      <c r="B111" s="9" t="s">
        <v>871</v>
      </c>
      <c r="C111" s="9" t="s">
        <v>349</v>
      </c>
      <c r="D111" s="9" t="s">
        <v>350</v>
      </c>
      <c r="E111" s="9" t="s">
        <v>787</v>
      </c>
      <c r="F111" s="9" t="s">
        <v>333</v>
      </c>
      <c r="G111" s="9" t="s">
        <v>744</v>
      </c>
      <c r="H111" s="9" t="s">
        <v>753</v>
      </c>
      <c r="I111" s="11" t="s">
        <v>58</v>
      </c>
      <c r="J111" s="11" t="s">
        <v>58</v>
      </c>
      <c r="K111" s="11" t="s">
        <v>58</v>
      </c>
      <c r="L111" s="32" t="str">
        <f aca="false">IF(J111="VALID","ADJUDICATE","OPEN")</f>
        <v>OPEN</v>
      </c>
    </row>
    <row r="112" customFormat="false" ht="15" hidden="false" customHeight="false" outlineLevel="0" collapsed="false">
      <c r="A112" s="9" t="s">
        <v>876</v>
      </c>
      <c r="B112" s="9" t="s">
        <v>877</v>
      </c>
      <c r="C112" s="9" t="s">
        <v>349</v>
      </c>
      <c r="D112" s="9" t="s">
        <v>350</v>
      </c>
      <c r="E112" s="9" t="s">
        <v>787</v>
      </c>
      <c r="F112" s="9" t="s">
        <v>333</v>
      </c>
      <c r="G112" s="9" t="s">
        <v>756</v>
      </c>
      <c r="H112" s="9" t="s">
        <v>745</v>
      </c>
      <c r="I112" s="11" t="s">
        <v>58</v>
      </c>
      <c r="J112" s="11" t="s">
        <v>58</v>
      </c>
      <c r="K112" s="11" t="s">
        <v>58</v>
      </c>
      <c r="L112" s="32" t="str">
        <f aca="false">IF(J112="VALID","ADJUDICATE","OPEN")</f>
        <v>OPEN</v>
      </c>
    </row>
    <row r="113" customFormat="false" ht="15" hidden="false" customHeight="false" outlineLevel="0" collapsed="false">
      <c r="A113" s="9" t="s">
        <v>878</v>
      </c>
      <c r="B113" s="9" t="s">
        <v>877</v>
      </c>
      <c r="C113" s="9" t="s">
        <v>349</v>
      </c>
      <c r="D113" s="9" t="s">
        <v>350</v>
      </c>
      <c r="E113" s="9" t="s">
        <v>787</v>
      </c>
      <c r="F113" s="9" t="s">
        <v>333</v>
      </c>
      <c r="G113" s="9" t="s">
        <v>756</v>
      </c>
      <c r="H113" s="9" t="s">
        <v>747</v>
      </c>
      <c r="I113" s="11" t="s">
        <v>58</v>
      </c>
      <c r="J113" s="11" t="s">
        <v>58</v>
      </c>
      <c r="K113" s="11" t="s">
        <v>58</v>
      </c>
      <c r="L113" s="32" t="str">
        <f aca="false">IF(J113="VALID","ADJUDICATE","OPEN")</f>
        <v>OPEN</v>
      </c>
    </row>
    <row r="114" customFormat="false" ht="15" hidden="false" customHeight="false" outlineLevel="0" collapsed="false">
      <c r="A114" s="9" t="s">
        <v>879</v>
      </c>
      <c r="B114" s="9" t="s">
        <v>877</v>
      </c>
      <c r="C114" s="9" t="s">
        <v>349</v>
      </c>
      <c r="D114" s="9" t="s">
        <v>350</v>
      </c>
      <c r="E114" s="9" t="s">
        <v>787</v>
      </c>
      <c r="F114" s="9" t="s">
        <v>333</v>
      </c>
      <c r="G114" s="9" t="s">
        <v>756</v>
      </c>
      <c r="H114" s="9" t="s">
        <v>749</v>
      </c>
      <c r="I114" s="11" t="s">
        <v>58</v>
      </c>
      <c r="J114" s="11" t="s">
        <v>58</v>
      </c>
      <c r="K114" s="11" t="s">
        <v>58</v>
      </c>
      <c r="L114" s="32" t="str">
        <f aca="false">IF(J114="VALID","ADJUDICATE","OPEN")</f>
        <v>OPEN</v>
      </c>
    </row>
    <row r="115" customFormat="false" ht="15" hidden="false" customHeight="false" outlineLevel="0" collapsed="false">
      <c r="A115" s="9" t="s">
        <v>880</v>
      </c>
      <c r="B115" s="9" t="s">
        <v>877</v>
      </c>
      <c r="C115" s="9" t="s">
        <v>349</v>
      </c>
      <c r="D115" s="9" t="s">
        <v>350</v>
      </c>
      <c r="E115" s="9" t="s">
        <v>787</v>
      </c>
      <c r="F115" s="9" t="s">
        <v>333</v>
      </c>
      <c r="G115" s="9" t="s">
        <v>756</v>
      </c>
      <c r="H115" s="9" t="s">
        <v>751</v>
      </c>
      <c r="I115" s="11" t="s">
        <v>58</v>
      </c>
      <c r="J115" s="11" t="s">
        <v>58</v>
      </c>
      <c r="K115" s="11" t="s">
        <v>58</v>
      </c>
      <c r="L115" s="32" t="str">
        <f aca="false">IF(J115="VALID","ADJUDICATE","OPEN")</f>
        <v>OPEN</v>
      </c>
    </row>
    <row r="116" customFormat="false" ht="15" hidden="false" customHeight="false" outlineLevel="0" collapsed="false">
      <c r="A116" s="9" t="s">
        <v>881</v>
      </c>
      <c r="B116" s="9" t="s">
        <v>877</v>
      </c>
      <c r="C116" s="9" t="s">
        <v>349</v>
      </c>
      <c r="D116" s="9" t="s">
        <v>350</v>
      </c>
      <c r="E116" s="9" t="s">
        <v>787</v>
      </c>
      <c r="F116" s="9" t="s">
        <v>333</v>
      </c>
      <c r="G116" s="9" t="s">
        <v>756</v>
      </c>
      <c r="H116" s="9" t="s">
        <v>753</v>
      </c>
      <c r="I116" s="11" t="s">
        <v>58</v>
      </c>
      <c r="J116" s="11" t="s">
        <v>58</v>
      </c>
      <c r="K116" s="11" t="s">
        <v>58</v>
      </c>
      <c r="L116" s="32" t="str">
        <f aca="false">IF(J116="VALID","ADJUDICATE","OPEN")</f>
        <v>OPEN</v>
      </c>
    </row>
    <row r="117" customFormat="false" ht="15" hidden="false" customHeight="false" outlineLevel="0" collapsed="false">
      <c r="A117" s="9" t="s">
        <v>882</v>
      </c>
      <c r="B117" s="9" t="s">
        <v>883</v>
      </c>
      <c r="C117" s="9" t="s">
        <v>349</v>
      </c>
      <c r="D117" s="9" t="s">
        <v>350</v>
      </c>
      <c r="E117" s="9" t="s">
        <v>787</v>
      </c>
      <c r="F117" s="9" t="s">
        <v>341</v>
      </c>
      <c r="G117" s="9" t="s">
        <v>744</v>
      </c>
      <c r="H117" s="9" t="s">
        <v>745</v>
      </c>
      <c r="I117" s="11" t="s">
        <v>58</v>
      </c>
      <c r="J117" s="11" t="s">
        <v>58</v>
      </c>
      <c r="K117" s="11" t="s">
        <v>58</v>
      </c>
      <c r="L117" s="32" t="str">
        <f aca="false">IF(J117="VALID","ADJUDICATE","OPEN")</f>
        <v>OPEN</v>
      </c>
    </row>
    <row r="118" customFormat="false" ht="15" hidden="false" customHeight="false" outlineLevel="0" collapsed="false">
      <c r="A118" s="9" t="s">
        <v>884</v>
      </c>
      <c r="B118" s="9" t="s">
        <v>883</v>
      </c>
      <c r="C118" s="9" t="s">
        <v>349</v>
      </c>
      <c r="D118" s="9" t="s">
        <v>350</v>
      </c>
      <c r="E118" s="9" t="s">
        <v>787</v>
      </c>
      <c r="F118" s="9" t="s">
        <v>341</v>
      </c>
      <c r="G118" s="9" t="s">
        <v>744</v>
      </c>
      <c r="H118" s="9" t="s">
        <v>747</v>
      </c>
      <c r="I118" s="11" t="s">
        <v>58</v>
      </c>
      <c r="J118" s="11" t="s">
        <v>58</v>
      </c>
      <c r="K118" s="11" t="s">
        <v>58</v>
      </c>
      <c r="L118" s="32" t="str">
        <f aca="false">IF(J118="VALID","ADJUDICATE","OPEN")</f>
        <v>OPEN</v>
      </c>
    </row>
    <row r="119" customFormat="false" ht="15" hidden="false" customHeight="false" outlineLevel="0" collapsed="false">
      <c r="A119" s="9" t="s">
        <v>885</v>
      </c>
      <c r="B119" s="9" t="s">
        <v>883</v>
      </c>
      <c r="C119" s="9" t="s">
        <v>349</v>
      </c>
      <c r="D119" s="9" t="s">
        <v>350</v>
      </c>
      <c r="E119" s="9" t="s">
        <v>787</v>
      </c>
      <c r="F119" s="9" t="s">
        <v>341</v>
      </c>
      <c r="G119" s="9" t="s">
        <v>744</v>
      </c>
      <c r="H119" s="9" t="s">
        <v>749</v>
      </c>
      <c r="I119" s="11" t="s">
        <v>58</v>
      </c>
      <c r="J119" s="11" t="s">
        <v>58</v>
      </c>
      <c r="K119" s="11" t="s">
        <v>58</v>
      </c>
      <c r="L119" s="32" t="str">
        <f aca="false">IF(J119="VALID","ADJUDICATE","OPEN")</f>
        <v>OPEN</v>
      </c>
    </row>
    <row r="120" customFormat="false" ht="15" hidden="false" customHeight="false" outlineLevel="0" collapsed="false">
      <c r="A120" s="9" t="s">
        <v>886</v>
      </c>
      <c r="B120" s="9" t="s">
        <v>883</v>
      </c>
      <c r="C120" s="9" t="s">
        <v>349</v>
      </c>
      <c r="D120" s="9" t="s">
        <v>350</v>
      </c>
      <c r="E120" s="9" t="s">
        <v>787</v>
      </c>
      <c r="F120" s="9" t="s">
        <v>341</v>
      </c>
      <c r="G120" s="9" t="s">
        <v>744</v>
      </c>
      <c r="H120" s="9" t="s">
        <v>751</v>
      </c>
      <c r="I120" s="11" t="s">
        <v>58</v>
      </c>
      <c r="J120" s="11" t="s">
        <v>58</v>
      </c>
      <c r="K120" s="11" t="s">
        <v>58</v>
      </c>
      <c r="L120" s="32" t="str">
        <f aca="false">IF(J120="VALID","ADJUDICATE","OPEN")</f>
        <v>OPEN</v>
      </c>
    </row>
    <row r="121" customFormat="false" ht="15" hidden="false" customHeight="false" outlineLevel="0" collapsed="false">
      <c r="A121" s="9" t="s">
        <v>887</v>
      </c>
      <c r="B121" s="9" t="s">
        <v>883</v>
      </c>
      <c r="C121" s="9" t="s">
        <v>349</v>
      </c>
      <c r="D121" s="9" t="s">
        <v>350</v>
      </c>
      <c r="E121" s="9" t="s">
        <v>787</v>
      </c>
      <c r="F121" s="9" t="s">
        <v>341</v>
      </c>
      <c r="G121" s="9" t="s">
        <v>744</v>
      </c>
      <c r="H121" s="9" t="s">
        <v>753</v>
      </c>
      <c r="I121" s="11" t="s">
        <v>58</v>
      </c>
      <c r="J121" s="11" t="s">
        <v>58</v>
      </c>
      <c r="K121" s="11" t="s">
        <v>58</v>
      </c>
      <c r="L121" s="32" t="str">
        <f aca="false">IF(J121="VALID","ADJUDICATE","OPEN")</f>
        <v>OPEN</v>
      </c>
    </row>
    <row r="122" customFormat="false" ht="15" hidden="false" customHeight="false" outlineLevel="0" collapsed="false">
      <c r="A122" s="9" t="s">
        <v>888</v>
      </c>
      <c r="B122" s="9" t="s">
        <v>889</v>
      </c>
      <c r="C122" s="9" t="s">
        <v>349</v>
      </c>
      <c r="D122" s="9" t="s">
        <v>350</v>
      </c>
      <c r="E122" s="9" t="s">
        <v>787</v>
      </c>
      <c r="F122" s="9" t="s">
        <v>341</v>
      </c>
      <c r="G122" s="9" t="s">
        <v>756</v>
      </c>
      <c r="H122" s="9" t="s">
        <v>745</v>
      </c>
      <c r="I122" s="11" t="s">
        <v>58</v>
      </c>
      <c r="J122" s="11" t="s">
        <v>58</v>
      </c>
      <c r="K122" s="11" t="s">
        <v>58</v>
      </c>
      <c r="L122" s="32" t="str">
        <f aca="false">IF(J122="VALID","ADJUDICATE","OPEN")</f>
        <v>OPEN</v>
      </c>
    </row>
    <row r="123" customFormat="false" ht="15" hidden="false" customHeight="false" outlineLevel="0" collapsed="false">
      <c r="A123" s="9" t="s">
        <v>890</v>
      </c>
      <c r="B123" s="9" t="s">
        <v>889</v>
      </c>
      <c r="C123" s="9" t="s">
        <v>349</v>
      </c>
      <c r="D123" s="9" t="s">
        <v>350</v>
      </c>
      <c r="E123" s="9" t="s">
        <v>787</v>
      </c>
      <c r="F123" s="9" t="s">
        <v>341</v>
      </c>
      <c r="G123" s="9" t="s">
        <v>756</v>
      </c>
      <c r="H123" s="9" t="s">
        <v>747</v>
      </c>
      <c r="I123" s="11" t="s">
        <v>58</v>
      </c>
      <c r="J123" s="11" t="s">
        <v>58</v>
      </c>
      <c r="K123" s="11" t="s">
        <v>58</v>
      </c>
      <c r="L123" s="32" t="str">
        <f aca="false">IF(J123="VALID","ADJUDICATE","OPEN")</f>
        <v>OPEN</v>
      </c>
    </row>
    <row r="124" customFormat="false" ht="15" hidden="false" customHeight="false" outlineLevel="0" collapsed="false">
      <c r="A124" s="9" t="s">
        <v>891</v>
      </c>
      <c r="B124" s="9" t="s">
        <v>889</v>
      </c>
      <c r="C124" s="9" t="s">
        <v>349</v>
      </c>
      <c r="D124" s="9" t="s">
        <v>350</v>
      </c>
      <c r="E124" s="9" t="s">
        <v>787</v>
      </c>
      <c r="F124" s="9" t="s">
        <v>341</v>
      </c>
      <c r="G124" s="9" t="s">
        <v>756</v>
      </c>
      <c r="H124" s="9" t="s">
        <v>749</v>
      </c>
      <c r="I124" s="11" t="s">
        <v>58</v>
      </c>
      <c r="J124" s="11" t="s">
        <v>58</v>
      </c>
      <c r="K124" s="11" t="s">
        <v>58</v>
      </c>
      <c r="L124" s="32" t="str">
        <f aca="false">IF(J124="VALID","ADJUDICATE","OPEN")</f>
        <v>OPEN</v>
      </c>
    </row>
    <row r="125" customFormat="false" ht="15" hidden="false" customHeight="false" outlineLevel="0" collapsed="false">
      <c r="A125" s="9" t="s">
        <v>892</v>
      </c>
      <c r="B125" s="9" t="s">
        <v>889</v>
      </c>
      <c r="C125" s="9" t="s">
        <v>349</v>
      </c>
      <c r="D125" s="9" t="s">
        <v>350</v>
      </c>
      <c r="E125" s="9" t="s">
        <v>787</v>
      </c>
      <c r="F125" s="9" t="s">
        <v>341</v>
      </c>
      <c r="G125" s="9" t="s">
        <v>756</v>
      </c>
      <c r="H125" s="9" t="s">
        <v>751</v>
      </c>
      <c r="I125" s="11" t="s">
        <v>58</v>
      </c>
      <c r="J125" s="11" t="s">
        <v>58</v>
      </c>
      <c r="K125" s="11" t="s">
        <v>58</v>
      </c>
      <c r="L125" s="32" t="str">
        <f aca="false">IF(J125="VALID","ADJUDICATE","OPEN")</f>
        <v>OPEN</v>
      </c>
    </row>
    <row r="126" customFormat="false" ht="15" hidden="false" customHeight="false" outlineLevel="0" collapsed="false">
      <c r="A126" s="9" t="s">
        <v>893</v>
      </c>
      <c r="B126" s="9" t="s">
        <v>889</v>
      </c>
      <c r="C126" s="9" t="s">
        <v>349</v>
      </c>
      <c r="D126" s="9" t="s">
        <v>350</v>
      </c>
      <c r="E126" s="9" t="s">
        <v>787</v>
      </c>
      <c r="F126" s="9" t="s">
        <v>341</v>
      </c>
      <c r="G126" s="9" t="s">
        <v>756</v>
      </c>
      <c r="H126" s="9" t="s">
        <v>753</v>
      </c>
      <c r="I126" s="11" t="s">
        <v>58</v>
      </c>
      <c r="J126" s="11" t="s">
        <v>58</v>
      </c>
      <c r="K126" s="11" t="s">
        <v>58</v>
      </c>
      <c r="L126" s="32" t="str">
        <f aca="false">IF(J126="VALID","ADJUDICATE","OPEN")</f>
        <v>OPEN</v>
      </c>
    </row>
    <row r="127" customFormat="false" ht="15" hidden="false" customHeight="false" outlineLevel="0" collapsed="false">
      <c r="A127" s="9" t="s">
        <v>894</v>
      </c>
      <c r="B127" s="9" t="s">
        <v>895</v>
      </c>
      <c r="C127" s="9" t="s">
        <v>372</v>
      </c>
      <c r="D127" s="9" t="s">
        <v>373</v>
      </c>
      <c r="E127" s="9" t="s">
        <v>743</v>
      </c>
      <c r="F127" s="9" t="s">
        <v>322</v>
      </c>
      <c r="G127" s="9" t="s">
        <v>744</v>
      </c>
      <c r="H127" s="9" t="s">
        <v>745</v>
      </c>
      <c r="I127" s="11" t="s">
        <v>58</v>
      </c>
      <c r="J127" s="11" t="s">
        <v>58</v>
      </c>
      <c r="K127" s="11" t="s">
        <v>58</v>
      </c>
      <c r="L127" s="32" t="str">
        <f aca="false">IF(J127="VALID","ADJUDICATE","OPEN")</f>
        <v>OPEN</v>
      </c>
    </row>
    <row r="128" customFormat="false" ht="15" hidden="false" customHeight="false" outlineLevel="0" collapsed="false">
      <c r="A128" s="9" t="s">
        <v>896</v>
      </c>
      <c r="B128" s="9" t="s">
        <v>895</v>
      </c>
      <c r="C128" s="9" t="s">
        <v>372</v>
      </c>
      <c r="D128" s="9" t="s">
        <v>373</v>
      </c>
      <c r="E128" s="9" t="s">
        <v>743</v>
      </c>
      <c r="F128" s="9" t="s">
        <v>322</v>
      </c>
      <c r="G128" s="9" t="s">
        <v>744</v>
      </c>
      <c r="H128" s="9" t="s">
        <v>747</v>
      </c>
      <c r="I128" s="11" t="s">
        <v>58</v>
      </c>
      <c r="J128" s="11" t="s">
        <v>58</v>
      </c>
      <c r="K128" s="11" t="s">
        <v>58</v>
      </c>
      <c r="L128" s="32" t="str">
        <f aca="false">IF(J128="VALID","ADJUDICATE","OPEN")</f>
        <v>OPEN</v>
      </c>
    </row>
    <row r="129" customFormat="false" ht="15" hidden="false" customHeight="false" outlineLevel="0" collapsed="false">
      <c r="A129" s="9" t="s">
        <v>897</v>
      </c>
      <c r="B129" s="9" t="s">
        <v>895</v>
      </c>
      <c r="C129" s="9" t="s">
        <v>372</v>
      </c>
      <c r="D129" s="9" t="s">
        <v>373</v>
      </c>
      <c r="E129" s="9" t="s">
        <v>743</v>
      </c>
      <c r="F129" s="9" t="s">
        <v>322</v>
      </c>
      <c r="G129" s="9" t="s">
        <v>744</v>
      </c>
      <c r="H129" s="9" t="s">
        <v>749</v>
      </c>
      <c r="I129" s="11" t="s">
        <v>58</v>
      </c>
      <c r="J129" s="11" t="s">
        <v>58</v>
      </c>
      <c r="K129" s="11" t="s">
        <v>58</v>
      </c>
      <c r="L129" s="32" t="str">
        <f aca="false">IF(J129="VALID","ADJUDICATE","OPEN")</f>
        <v>OPEN</v>
      </c>
    </row>
    <row r="130" customFormat="false" ht="15" hidden="false" customHeight="false" outlineLevel="0" collapsed="false">
      <c r="A130" s="9" t="s">
        <v>898</v>
      </c>
      <c r="B130" s="9" t="s">
        <v>895</v>
      </c>
      <c r="C130" s="9" t="s">
        <v>372</v>
      </c>
      <c r="D130" s="9" t="s">
        <v>373</v>
      </c>
      <c r="E130" s="9" t="s">
        <v>743</v>
      </c>
      <c r="F130" s="9" t="s">
        <v>322</v>
      </c>
      <c r="G130" s="9" t="s">
        <v>744</v>
      </c>
      <c r="H130" s="9" t="s">
        <v>751</v>
      </c>
      <c r="I130" s="11" t="s">
        <v>58</v>
      </c>
      <c r="J130" s="11" t="s">
        <v>58</v>
      </c>
      <c r="K130" s="11" t="s">
        <v>58</v>
      </c>
      <c r="L130" s="32" t="str">
        <f aca="false">IF(J130="VALID","ADJUDICATE","OPEN")</f>
        <v>OPEN</v>
      </c>
    </row>
    <row r="131" customFormat="false" ht="15" hidden="false" customHeight="false" outlineLevel="0" collapsed="false">
      <c r="A131" s="9" t="s">
        <v>899</v>
      </c>
      <c r="B131" s="9" t="s">
        <v>895</v>
      </c>
      <c r="C131" s="9" t="s">
        <v>372</v>
      </c>
      <c r="D131" s="9" t="s">
        <v>373</v>
      </c>
      <c r="E131" s="9" t="s">
        <v>743</v>
      </c>
      <c r="F131" s="9" t="s">
        <v>322</v>
      </c>
      <c r="G131" s="9" t="s">
        <v>744</v>
      </c>
      <c r="H131" s="9" t="s">
        <v>753</v>
      </c>
      <c r="I131" s="11" t="s">
        <v>58</v>
      </c>
      <c r="J131" s="11" t="s">
        <v>58</v>
      </c>
      <c r="K131" s="11" t="s">
        <v>58</v>
      </c>
      <c r="L131" s="32" t="str">
        <f aca="false">IF(J131="VALID","ADJUDICATE","OPEN")</f>
        <v>OPEN</v>
      </c>
    </row>
    <row r="132" customFormat="false" ht="15" hidden="false" customHeight="false" outlineLevel="0" collapsed="false">
      <c r="A132" s="9" t="s">
        <v>900</v>
      </c>
      <c r="B132" s="9" t="s">
        <v>901</v>
      </c>
      <c r="C132" s="9" t="s">
        <v>372</v>
      </c>
      <c r="D132" s="9" t="s">
        <v>373</v>
      </c>
      <c r="E132" s="9" t="s">
        <v>743</v>
      </c>
      <c r="F132" s="9" t="s">
        <v>322</v>
      </c>
      <c r="G132" s="9" t="s">
        <v>756</v>
      </c>
      <c r="H132" s="9" t="s">
        <v>745</v>
      </c>
      <c r="I132" s="11" t="s">
        <v>58</v>
      </c>
      <c r="J132" s="11" t="s">
        <v>58</v>
      </c>
      <c r="K132" s="11" t="s">
        <v>58</v>
      </c>
      <c r="L132" s="32" t="str">
        <f aca="false">IF(J132="VALID","ADJUDICATE","OPEN")</f>
        <v>OPEN</v>
      </c>
    </row>
    <row r="133" customFormat="false" ht="15" hidden="false" customHeight="false" outlineLevel="0" collapsed="false">
      <c r="A133" s="9" t="s">
        <v>902</v>
      </c>
      <c r="B133" s="9" t="s">
        <v>901</v>
      </c>
      <c r="C133" s="9" t="s">
        <v>372</v>
      </c>
      <c r="D133" s="9" t="s">
        <v>373</v>
      </c>
      <c r="E133" s="9" t="s">
        <v>743</v>
      </c>
      <c r="F133" s="9" t="s">
        <v>322</v>
      </c>
      <c r="G133" s="9" t="s">
        <v>756</v>
      </c>
      <c r="H133" s="9" t="s">
        <v>747</v>
      </c>
      <c r="I133" s="11" t="s">
        <v>58</v>
      </c>
      <c r="J133" s="11" t="s">
        <v>58</v>
      </c>
      <c r="K133" s="11" t="s">
        <v>58</v>
      </c>
      <c r="L133" s="32" t="str">
        <f aca="false">IF(J133="VALID","ADJUDICATE","OPEN")</f>
        <v>OPEN</v>
      </c>
    </row>
    <row r="134" customFormat="false" ht="15" hidden="false" customHeight="false" outlineLevel="0" collapsed="false">
      <c r="A134" s="9" t="s">
        <v>903</v>
      </c>
      <c r="B134" s="9" t="s">
        <v>901</v>
      </c>
      <c r="C134" s="9" t="s">
        <v>372</v>
      </c>
      <c r="D134" s="9" t="s">
        <v>373</v>
      </c>
      <c r="E134" s="9" t="s">
        <v>743</v>
      </c>
      <c r="F134" s="9" t="s">
        <v>322</v>
      </c>
      <c r="G134" s="9" t="s">
        <v>756</v>
      </c>
      <c r="H134" s="9" t="s">
        <v>749</v>
      </c>
      <c r="I134" s="11" t="s">
        <v>58</v>
      </c>
      <c r="J134" s="11" t="s">
        <v>58</v>
      </c>
      <c r="K134" s="11" t="s">
        <v>58</v>
      </c>
      <c r="L134" s="32" t="str">
        <f aca="false">IF(J134="VALID","ADJUDICATE","OPEN")</f>
        <v>OPEN</v>
      </c>
    </row>
    <row r="135" customFormat="false" ht="15" hidden="false" customHeight="false" outlineLevel="0" collapsed="false">
      <c r="A135" s="9" t="s">
        <v>904</v>
      </c>
      <c r="B135" s="9" t="s">
        <v>901</v>
      </c>
      <c r="C135" s="9" t="s">
        <v>372</v>
      </c>
      <c r="D135" s="9" t="s">
        <v>373</v>
      </c>
      <c r="E135" s="9" t="s">
        <v>743</v>
      </c>
      <c r="F135" s="9" t="s">
        <v>322</v>
      </c>
      <c r="G135" s="9" t="s">
        <v>756</v>
      </c>
      <c r="H135" s="9" t="s">
        <v>751</v>
      </c>
      <c r="I135" s="11" t="s">
        <v>58</v>
      </c>
      <c r="J135" s="11" t="s">
        <v>58</v>
      </c>
      <c r="K135" s="11" t="s">
        <v>58</v>
      </c>
      <c r="L135" s="32" t="str">
        <f aca="false">IF(J135="VALID","ADJUDICATE","OPEN")</f>
        <v>OPEN</v>
      </c>
    </row>
    <row r="136" customFormat="false" ht="15" hidden="false" customHeight="false" outlineLevel="0" collapsed="false">
      <c r="A136" s="9" t="s">
        <v>905</v>
      </c>
      <c r="B136" s="9" t="s">
        <v>901</v>
      </c>
      <c r="C136" s="9" t="s">
        <v>372</v>
      </c>
      <c r="D136" s="9" t="s">
        <v>373</v>
      </c>
      <c r="E136" s="9" t="s">
        <v>743</v>
      </c>
      <c r="F136" s="9" t="s">
        <v>322</v>
      </c>
      <c r="G136" s="9" t="s">
        <v>756</v>
      </c>
      <c r="H136" s="9" t="s">
        <v>753</v>
      </c>
      <c r="I136" s="11" t="s">
        <v>58</v>
      </c>
      <c r="J136" s="11" t="s">
        <v>58</v>
      </c>
      <c r="K136" s="11" t="s">
        <v>58</v>
      </c>
      <c r="L136" s="32" t="str">
        <f aca="false">IF(J136="VALID","ADJUDICATE","OPEN")</f>
        <v>OPEN</v>
      </c>
    </row>
    <row r="137" customFormat="false" ht="15" hidden="false" customHeight="false" outlineLevel="0" collapsed="false">
      <c r="A137" s="9" t="s">
        <v>906</v>
      </c>
      <c r="B137" s="9" t="s">
        <v>907</v>
      </c>
      <c r="C137" s="9" t="s">
        <v>372</v>
      </c>
      <c r="D137" s="9" t="s">
        <v>373</v>
      </c>
      <c r="E137" s="9" t="s">
        <v>743</v>
      </c>
      <c r="F137" s="9" t="s">
        <v>333</v>
      </c>
      <c r="G137" s="9" t="s">
        <v>744</v>
      </c>
      <c r="H137" s="9" t="s">
        <v>745</v>
      </c>
      <c r="I137" s="11" t="s">
        <v>58</v>
      </c>
      <c r="J137" s="11" t="s">
        <v>58</v>
      </c>
      <c r="K137" s="11" t="s">
        <v>58</v>
      </c>
      <c r="L137" s="32" t="str">
        <f aca="false">IF(J137="VALID","ADJUDICATE","OPEN")</f>
        <v>OPEN</v>
      </c>
    </row>
    <row r="138" customFormat="false" ht="15" hidden="false" customHeight="false" outlineLevel="0" collapsed="false">
      <c r="A138" s="9" t="s">
        <v>908</v>
      </c>
      <c r="B138" s="9" t="s">
        <v>907</v>
      </c>
      <c r="C138" s="9" t="s">
        <v>372</v>
      </c>
      <c r="D138" s="9" t="s">
        <v>373</v>
      </c>
      <c r="E138" s="9" t="s">
        <v>743</v>
      </c>
      <c r="F138" s="9" t="s">
        <v>333</v>
      </c>
      <c r="G138" s="9" t="s">
        <v>744</v>
      </c>
      <c r="H138" s="9" t="s">
        <v>747</v>
      </c>
      <c r="I138" s="11" t="s">
        <v>58</v>
      </c>
      <c r="J138" s="11" t="s">
        <v>58</v>
      </c>
      <c r="K138" s="11" t="s">
        <v>58</v>
      </c>
      <c r="L138" s="32" t="str">
        <f aca="false">IF(J138="VALID","ADJUDICATE","OPEN")</f>
        <v>OPEN</v>
      </c>
    </row>
    <row r="139" customFormat="false" ht="15" hidden="false" customHeight="false" outlineLevel="0" collapsed="false">
      <c r="A139" s="9" t="s">
        <v>909</v>
      </c>
      <c r="B139" s="9" t="s">
        <v>907</v>
      </c>
      <c r="C139" s="9" t="s">
        <v>372</v>
      </c>
      <c r="D139" s="9" t="s">
        <v>373</v>
      </c>
      <c r="E139" s="9" t="s">
        <v>743</v>
      </c>
      <c r="F139" s="9" t="s">
        <v>333</v>
      </c>
      <c r="G139" s="9" t="s">
        <v>744</v>
      </c>
      <c r="H139" s="9" t="s">
        <v>749</v>
      </c>
      <c r="I139" s="11" t="s">
        <v>58</v>
      </c>
      <c r="J139" s="11" t="s">
        <v>58</v>
      </c>
      <c r="K139" s="11" t="s">
        <v>58</v>
      </c>
      <c r="L139" s="32" t="str">
        <f aca="false">IF(J139="VALID","ADJUDICATE","OPEN")</f>
        <v>OPEN</v>
      </c>
    </row>
    <row r="140" customFormat="false" ht="15" hidden="false" customHeight="false" outlineLevel="0" collapsed="false">
      <c r="A140" s="9" t="s">
        <v>910</v>
      </c>
      <c r="B140" s="9" t="s">
        <v>907</v>
      </c>
      <c r="C140" s="9" t="s">
        <v>372</v>
      </c>
      <c r="D140" s="9" t="s">
        <v>373</v>
      </c>
      <c r="E140" s="9" t="s">
        <v>743</v>
      </c>
      <c r="F140" s="9" t="s">
        <v>333</v>
      </c>
      <c r="G140" s="9" t="s">
        <v>744</v>
      </c>
      <c r="H140" s="9" t="s">
        <v>751</v>
      </c>
      <c r="I140" s="11" t="s">
        <v>58</v>
      </c>
      <c r="J140" s="11" t="s">
        <v>58</v>
      </c>
      <c r="K140" s="11" t="s">
        <v>58</v>
      </c>
      <c r="L140" s="32" t="str">
        <f aca="false">IF(J140="VALID","ADJUDICATE","OPEN")</f>
        <v>OPEN</v>
      </c>
    </row>
    <row r="141" customFormat="false" ht="15" hidden="false" customHeight="false" outlineLevel="0" collapsed="false">
      <c r="A141" s="9" t="s">
        <v>911</v>
      </c>
      <c r="B141" s="9" t="s">
        <v>907</v>
      </c>
      <c r="C141" s="9" t="s">
        <v>372</v>
      </c>
      <c r="D141" s="9" t="s">
        <v>373</v>
      </c>
      <c r="E141" s="9" t="s">
        <v>743</v>
      </c>
      <c r="F141" s="9" t="s">
        <v>333</v>
      </c>
      <c r="G141" s="9" t="s">
        <v>744</v>
      </c>
      <c r="H141" s="9" t="s">
        <v>753</v>
      </c>
      <c r="I141" s="11" t="s">
        <v>58</v>
      </c>
      <c r="J141" s="11" t="s">
        <v>58</v>
      </c>
      <c r="K141" s="11" t="s">
        <v>58</v>
      </c>
      <c r="L141" s="32" t="str">
        <f aca="false">IF(J141="VALID","ADJUDICATE","OPEN")</f>
        <v>OPEN</v>
      </c>
    </row>
    <row r="142" customFormat="false" ht="15" hidden="false" customHeight="false" outlineLevel="0" collapsed="false">
      <c r="A142" s="9" t="s">
        <v>912</v>
      </c>
      <c r="B142" s="9" t="s">
        <v>913</v>
      </c>
      <c r="C142" s="9" t="s">
        <v>372</v>
      </c>
      <c r="D142" s="9" t="s">
        <v>373</v>
      </c>
      <c r="E142" s="9" t="s">
        <v>743</v>
      </c>
      <c r="F142" s="9" t="s">
        <v>333</v>
      </c>
      <c r="G142" s="9" t="s">
        <v>756</v>
      </c>
      <c r="H142" s="9" t="s">
        <v>745</v>
      </c>
      <c r="I142" s="11" t="s">
        <v>58</v>
      </c>
      <c r="J142" s="11" t="s">
        <v>58</v>
      </c>
      <c r="K142" s="11" t="s">
        <v>58</v>
      </c>
      <c r="L142" s="32" t="str">
        <f aca="false">IF(J142="VALID","ADJUDICATE","OPEN")</f>
        <v>OPEN</v>
      </c>
    </row>
    <row r="143" customFormat="false" ht="15" hidden="false" customHeight="false" outlineLevel="0" collapsed="false">
      <c r="A143" s="9" t="s">
        <v>914</v>
      </c>
      <c r="B143" s="9" t="s">
        <v>913</v>
      </c>
      <c r="C143" s="9" t="s">
        <v>372</v>
      </c>
      <c r="D143" s="9" t="s">
        <v>373</v>
      </c>
      <c r="E143" s="9" t="s">
        <v>743</v>
      </c>
      <c r="F143" s="9" t="s">
        <v>333</v>
      </c>
      <c r="G143" s="9" t="s">
        <v>756</v>
      </c>
      <c r="H143" s="9" t="s">
        <v>747</v>
      </c>
      <c r="I143" s="11" t="s">
        <v>58</v>
      </c>
      <c r="J143" s="11" t="s">
        <v>58</v>
      </c>
      <c r="K143" s="11" t="s">
        <v>58</v>
      </c>
      <c r="L143" s="32" t="str">
        <f aca="false">IF(J143="VALID","ADJUDICATE","OPEN")</f>
        <v>OPEN</v>
      </c>
    </row>
    <row r="144" customFormat="false" ht="15" hidden="false" customHeight="false" outlineLevel="0" collapsed="false">
      <c r="A144" s="9" t="s">
        <v>915</v>
      </c>
      <c r="B144" s="9" t="s">
        <v>913</v>
      </c>
      <c r="C144" s="9" t="s">
        <v>372</v>
      </c>
      <c r="D144" s="9" t="s">
        <v>373</v>
      </c>
      <c r="E144" s="9" t="s">
        <v>743</v>
      </c>
      <c r="F144" s="9" t="s">
        <v>333</v>
      </c>
      <c r="G144" s="9" t="s">
        <v>756</v>
      </c>
      <c r="H144" s="9" t="s">
        <v>749</v>
      </c>
      <c r="I144" s="11" t="s">
        <v>58</v>
      </c>
      <c r="J144" s="11" t="s">
        <v>58</v>
      </c>
      <c r="K144" s="11" t="s">
        <v>58</v>
      </c>
      <c r="L144" s="32" t="str">
        <f aca="false">IF(J144="VALID","ADJUDICATE","OPEN")</f>
        <v>OPEN</v>
      </c>
    </row>
    <row r="145" customFormat="false" ht="15" hidden="false" customHeight="false" outlineLevel="0" collapsed="false">
      <c r="A145" s="9" t="s">
        <v>916</v>
      </c>
      <c r="B145" s="9" t="s">
        <v>913</v>
      </c>
      <c r="C145" s="9" t="s">
        <v>372</v>
      </c>
      <c r="D145" s="9" t="s">
        <v>373</v>
      </c>
      <c r="E145" s="9" t="s">
        <v>743</v>
      </c>
      <c r="F145" s="9" t="s">
        <v>333</v>
      </c>
      <c r="G145" s="9" t="s">
        <v>756</v>
      </c>
      <c r="H145" s="9" t="s">
        <v>751</v>
      </c>
      <c r="I145" s="11" t="s">
        <v>58</v>
      </c>
      <c r="J145" s="11" t="s">
        <v>58</v>
      </c>
      <c r="K145" s="11" t="s">
        <v>58</v>
      </c>
      <c r="L145" s="32" t="str">
        <f aca="false">IF(J145="VALID","ADJUDICATE","OPEN")</f>
        <v>OPEN</v>
      </c>
    </row>
    <row r="146" customFormat="false" ht="15" hidden="false" customHeight="false" outlineLevel="0" collapsed="false">
      <c r="A146" s="9" t="s">
        <v>917</v>
      </c>
      <c r="B146" s="9" t="s">
        <v>913</v>
      </c>
      <c r="C146" s="9" t="s">
        <v>372</v>
      </c>
      <c r="D146" s="9" t="s">
        <v>373</v>
      </c>
      <c r="E146" s="9" t="s">
        <v>743</v>
      </c>
      <c r="F146" s="9" t="s">
        <v>333</v>
      </c>
      <c r="G146" s="9" t="s">
        <v>756</v>
      </c>
      <c r="H146" s="9" t="s">
        <v>753</v>
      </c>
      <c r="I146" s="11" t="s">
        <v>58</v>
      </c>
      <c r="J146" s="11" t="s">
        <v>58</v>
      </c>
      <c r="K146" s="11" t="s">
        <v>58</v>
      </c>
      <c r="L146" s="32" t="str">
        <f aca="false">IF(J146="VALID","ADJUDICATE","OPEN")</f>
        <v>OPEN</v>
      </c>
    </row>
    <row r="147" customFormat="false" ht="15" hidden="false" customHeight="false" outlineLevel="0" collapsed="false">
      <c r="A147" s="9" t="s">
        <v>918</v>
      </c>
      <c r="B147" s="9" t="s">
        <v>919</v>
      </c>
      <c r="C147" s="9" t="s">
        <v>372</v>
      </c>
      <c r="D147" s="9" t="s">
        <v>373</v>
      </c>
      <c r="E147" s="9" t="s">
        <v>743</v>
      </c>
      <c r="F147" s="9" t="s">
        <v>341</v>
      </c>
      <c r="G147" s="9" t="s">
        <v>744</v>
      </c>
      <c r="H147" s="9" t="s">
        <v>745</v>
      </c>
      <c r="I147" s="11" t="s">
        <v>58</v>
      </c>
      <c r="J147" s="11" t="s">
        <v>58</v>
      </c>
      <c r="K147" s="11" t="s">
        <v>58</v>
      </c>
      <c r="L147" s="32" t="str">
        <f aca="false">IF(J147="VALID","ADJUDICATE","OPEN")</f>
        <v>OPEN</v>
      </c>
    </row>
    <row r="148" customFormat="false" ht="15" hidden="false" customHeight="false" outlineLevel="0" collapsed="false">
      <c r="A148" s="9" t="s">
        <v>920</v>
      </c>
      <c r="B148" s="9" t="s">
        <v>919</v>
      </c>
      <c r="C148" s="9" t="s">
        <v>372</v>
      </c>
      <c r="D148" s="9" t="s">
        <v>373</v>
      </c>
      <c r="E148" s="9" t="s">
        <v>743</v>
      </c>
      <c r="F148" s="9" t="s">
        <v>341</v>
      </c>
      <c r="G148" s="9" t="s">
        <v>744</v>
      </c>
      <c r="H148" s="9" t="s">
        <v>747</v>
      </c>
      <c r="I148" s="11" t="s">
        <v>58</v>
      </c>
      <c r="J148" s="11" t="s">
        <v>58</v>
      </c>
      <c r="K148" s="11" t="s">
        <v>58</v>
      </c>
      <c r="L148" s="32" t="str">
        <f aca="false">IF(J148="VALID","ADJUDICATE","OPEN")</f>
        <v>OPEN</v>
      </c>
    </row>
    <row r="149" customFormat="false" ht="15" hidden="false" customHeight="false" outlineLevel="0" collapsed="false">
      <c r="A149" s="9" t="s">
        <v>921</v>
      </c>
      <c r="B149" s="9" t="s">
        <v>919</v>
      </c>
      <c r="C149" s="9" t="s">
        <v>372</v>
      </c>
      <c r="D149" s="9" t="s">
        <v>373</v>
      </c>
      <c r="E149" s="9" t="s">
        <v>743</v>
      </c>
      <c r="F149" s="9" t="s">
        <v>341</v>
      </c>
      <c r="G149" s="9" t="s">
        <v>744</v>
      </c>
      <c r="H149" s="9" t="s">
        <v>749</v>
      </c>
      <c r="I149" s="11" t="s">
        <v>58</v>
      </c>
      <c r="J149" s="11" t="s">
        <v>58</v>
      </c>
      <c r="K149" s="11" t="s">
        <v>58</v>
      </c>
      <c r="L149" s="32" t="str">
        <f aca="false">IF(J149="VALID","ADJUDICATE","OPEN")</f>
        <v>OPEN</v>
      </c>
    </row>
    <row r="150" customFormat="false" ht="15" hidden="false" customHeight="false" outlineLevel="0" collapsed="false">
      <c r="A150" s="9" t="s">
        <v>922</v>
      </c>
      <c r="B150" s="9" t="s">
        <v>919</v>
      </c>
      <c r="C150" s="9" t="s">
        <v>372</v>
      </c>
      <c r="D150" s="9" t="s">
        <v>373</v>
      </c>
      <c r="E150" s="9" t="s">
        <v>743</v>
      </c>
      <c r="F150" s="9" t="s">
        <v>341</v>
      </c>
      <c r="G150" s="9" t="s">
        <v>744</v>
      </c>
      <c r="H150" s="9" t="s">
        <v>751</v>
      </c>
      <c r="I150" s="11" t="s">
        <v>58</v>
      </c>
      <c r="J150" s="11" t="s">
        <v>58</v>
      </c>
      <c r="K150" s="11" t="s">
        <v>58</v>
      </c>
      <c r="L150" s="32" t="str">
        <f aca="false">IF(J150="VALID","ADJUDICATE","OPEN")</f>
        <v>OPEN</v>
      </c>
    </row>
    <row r="151" customFormat="false" ht="15" hidden="false" customHeight="false" outlineLevel="0" collapsed="false">
      <c r="A151" s="9" t="s">
        <v>923</v>
      </c>
      <c r="B151" s="9" t="s">
        <v>919</v>
      </c>
      <c r="C151" s="9" t="s">
        <v>372</v>
      </c>
      <c r="D151" s="9" t="s">
        <v>373</v>
      </c>
      <c r="E151" s="9" t="s">
        <v>743</v>
      </c>
      <c r="F151" s="9" t="s">
        <v>341</v>
      </c>
      <c r="G151" s="9" t="s">
        <v>744</v>
      </c>
      <c r="H151" s="9" t="s">
        <v>753</v>
      </c>
      <c r="I151" s="11" t="s">
        <v>58</v>
      </c>
      <c r="J151" s="11" t="s">
        <v>58</v>
      </c>
      <c r="K151" s="11" t="s">
        <v>58</v>
      </c>
      <c r="L151" s="32" t="str">
        <f aca="false">IF(J151="VALID","ADJUDICATE","OPEN")</f>
        <v>OPEN</v>
      </c>
    </row>
    <row r="152" customFormat="false" ht="15" hidden="false" customHeight="false" outlineLevel="0" collapsed="false">
      <c r="A152" s="9" t="s">
        <v>924</v>
      </c>
      <c r="B152" s="9" t="s">
        <v>925</v>
      </c>
      <c r="C152" s="9" t="s">
        <v>372</v>
      </c>
      <c r="D152" s="9" t="s">
        <v>373</v>
      </c>
      <c r="E152" s="9" t="s">
        <v>743</v>
      </c>
      <c r="F152" s="9" t="s">
        <v>341</v>
      </c>
      <c r="G152" s="9" t="s">
        <v>756</v>
      </c>
      <c r="H152" s="9" t="s">
        <v>745</v>
      </c>
      <c r="I152" s="11" t="s">
        <v>58</v>
      </c>
      <c r="J152" s="11" t="s">
        <v>58</v>
      </c>
      <c r="K152" s="11" t="s">
        <v>58</v>
      </c>
      <c r="L152" s="32" t="str">
        <f aca="false">IF(J152="VALID","ADJUDICATE","OPEN")</f>
        <v>OPEN</v>
      </c>
    </row>
    <row r="153" customFormat="false" ht="15" hidden="false" customHeight="false" outlineLevel="0" collapsed="false">
      <c r="A153" s="9" t="s">
        <v>926</v>
      </c>
      <c r="B153" s="9" t="s">
        <v>925</v>
      </c>
      <c r="C153" s="9" t="s">
        <v>372</v>
      </c>
      <c r="D153" s="9" t="s">
        <v>373</v>
      </c>
      <c r="E153" s="9" t="s">
        <v>743</v>
      </c>
      <c r="F153" s="9" t="s">
        <v>341</v>
      </c>
      <c r="G153" s="9" t="s">
        <v>756</v>
      </c>
      <c r="H153" s="9" t="s">
        <v>747</v>
      </c>
      <c r="I153" s="11" t="s">
        <v>58</v>
      </c>
      <c r="J153" s="11" t="s">
        <v>58</v>
      </c>
      <c r="K153" s="11" t="s">
        <v>58</v>
      </c>
      <c r="L153" s="32" t="str">
        <f aca="false">IF(J153="VALID","ADJUDICATE","OPEN")</f>
        <v>OPEN</v>
      </c>
    </row>
    <row r="154" customFormat="false" ht="15" hidden="false" customHeight="false" outlineLevel="0" collapsed="false">
      <c r="A154" s="9" t="s">
        <v>927</v>
      </c>
      <c r="B154" s="9" t="s">
        <v>925</v>
      </c>
      <c r="C154" s="9" t="s">
        <v>372</v>
      </c>
      <c r="D154" s="9" t="s">
        <v>373</v>
      </c>
      <c r="E154" s="9" t="s">
        <v>743</v>
      </c>
      <c r="F154" s="9" t="s">
        <v>341</v>
      </c>
      <c r="G154" s="9" t="s">
        <v>756</v>
      </c>
      <c r="H154" s="9" t="s">
        <v>749</v>
      </c>
      <c r="I154" s="11" t="s">
        <v>58</v>
      </c>
      <c r="J154" s="11" t="s">
        <v>58</v>
      </c>
      <c r="K154" s="11" t="s">
        <v>58</v>
      </c>
      <c r="L154" s="32" t="str">
        <f aca="false">IF(J154="VALID","ADJUDICATE","OPEN")</f>
        <v>OPEN</v>
      </c>
    </row>
    <row r="155" customFormat="false" ht="15" hidden="false" customHeight="false" outlineLevel="0" collapsed="false">
      <c r="A155" s="9" t="s">
        <v>928</v>
      </c>
      <c r="B155" s="9" t="s">
        <v>925</v>
      </c>
      <c r="C155" s="9" t="s">
        <v>372</v>
      </c>
      <c r="D155" s="9" t="s">
        <v>373</v>
      </c>
      <c r="E155" s="9" t="s">
        <v>743</v>
      </c>
      <c r="F155" s="9" t="s">
        <v>341</v>
      </c>
      <c r="G155" s="9" t="s">
        <v>756</v>
      </c>
      <c r="H155" s="9" t="s">
        <v>751</v>
      </c>
      <c r="I155" s="11" t="s">
        <v>58</v>
      </c>
      <c r="J155" s="11" t="s">
        <v>58</v>
      </c>
      <c r="K155" s="11" t="s">
        <v>58</v>
      </c>
      <c r="L155" s="32" t="str">
        <f aca="false">IF(J155="VALID","ADJUDICATE","OPEN")</f>
        <v>OPEN</v>
      </c>
    </row>
    <row r="156" customFormat="false" ht="15" hidden="false" customHeight="false" outlineLevel="0" collapsed="false">
      <c r="A156" s="9" t="s">
        <v>929</v>
      </c>
      <c r="B156" s="9" t="s">
        <v>925</v>
      </c>
      <c r="C156" s="9" t="s">
        <v>372</v>
      </c>
      <c r="D156" s="9" t="s">
        <v>373</v>
      </c>
      <c r="E156" s="9" t="s">
        <v>743</v>
      </c>
      <c r="F156" s="9" t="s">
        <v>341</v>
      </c>
      <c r="G156" s="9" t="s">
        <v>756</v>
      </c>
      <c r="H156" s="9" t="s">
        <v>753</v>
      </c>
      <c r="I156" s="11" t="s">
        <v>58</v>
      </c>
      <c r="J156" s="11" t="s">
        <v>58</v>
      </c>
      <c r="K156" s="11" t="s">
        <v>58</v>
      </c>
      <c r="L156" s="32" t="str">
        <f aca="false">IF(J156="VALID","ADJUDICATE","OPEN")</f>
        <v>OPEN</v>
      </c>
    </row>
    <row r="157" customFormat="false" ht="15" hidden="false" customHeight="false" outlineLevel="0" collapsed="false">
      <c r="A157" s="9" t="s">
        <v>930</v>
      </c>
      <c r="B157" s="9" t="s">
        <v>931</v>
      </c>
      <c r="C157" s="9" t="s">
        <v>372</v>
      </c>
      <c r="D157" s="9" t="s">
        <v>373</v>
      </c>
      <c r="E157" s="9" t="s">
        <v>787</v>
      </c>
      <c r="F157" s="9" t="s">
        <v>322</v>
      </c>
      <c r="G157" s="9" t="s">
        <v>744</v>
      </c>
      <c r="H157" s="9" t="s">
        <v>745</v>
      </c>
      <c r="I157" s="11" t="s">
        <v>58</v>
      </c>
      <c r="J157" s="11" t="s">
        <v>58</v>
      </c>
      <c r="K157" s="11" t="s">
        <v>58</v>
      </c>
      <c r="L157" s="32" t="str">
        <f aca="false">IF(J157="VALID","ADJUDICATE","OPEN")</f>
        <v>OPEN</v>
      </c>
    </row>
    <row r="158" customFormat="false" ht="15" hidden="false" customHeight="false" outlineLevel="0" collapsed="false">
      <c r="A158" s="9" t="s">
        <v>932</v>
      </c>
      <c r="B158" s="9" t="s">
        <v>931</v>
      </c>
      <c r="C158" s="9" t="s">
        <v>372</v>
      </c>
      <c r="D158" s="9" t="s">
        <v>373</v>
      </c>
      <c r="E158" s="9" t="s">
        <v>787</v>
      </c>
      <c r="F158" s="9" t="s">
        <v>322</v>
      </c>
      <c r="G158" s="9" t="s">
        <v>744</v>
      </c>
      <c r="H158" s="9" t="s">
        <v>747</v>
      </c>
      <c r="I158" s="11" t="s">
        <v>58</v>
      </c>
      <c r="J158" s="11" t="s">
        <v>58</v>
      </c>
      <c r="K158" s="11" t="s">
        <v>58</v>
      </c>
      <c r="L158" s="32" t="str">
        <f aca="false">IF(J158="VALID","ADJUDICATE","OPEN")</f>
        <v>OPEN</v>
      </c>
    </row>
    <row r="159" customFormat="false" ht="15" hidden="false" customHeight="false" outlineLevel="0" collapsed="false">
      <c r="A159" s="9" t="s">
        <v>933</v>
      </c>
      <c r="B159" s="9" t="s">
        <v>931</v>
      </c>
      <c r="C159" s="9" t="s">
        <v>372</v>
      </c>
      <c r="D159" s="9" t="s">
        <v>373</v>
      </c>
      <c r="E159" s="9" t="s">
        <v>787</v>
      </c>
      <c r="F159" s="9" t="s">
        <v>322</v>
      </c>
      <c r="G159" s="9" t="s">
        <v>744</v>
      </c>
      <c r="H159" s="9" t="s">
        <v>749</v>
      </c>
      <c r="I159" s="11" t="s">
        <v>58</v>
      </c>
      <c r="J159" s="11" t="s">
        <v>58</v>
      </c>
      <c r="K159" s="11" t="s">
        <v>58</v>
      </c>
      <c r="L159" s="32" t="str">
        <f aca="false">IF(J159="VALID","ADJUDICATE","OPEN")</f>
        <v>OPEN</v>
      </c>
    </row>
    <row r="160" customFormat="false" ht="15" hidden="false" customHeight="false" outlineLevel="0" collapsed="false">
      <c r="A160" s="9" t="s">
        <v>934</v>
      </c>
      <c r="B160" s="9" t="s">
        <v>931</v>
      </c>
      <c r="C160" s="9" t="s">
        <v>372</v>
      </c>
      <c r="D160" s="9" t="s">
        <v>373</v>
      </c>
      <c r="E160" s="9" t="s">
        <v>787</v>
      </c>
      <c r="F160" s="9" t="s">
        <v>322</v>
      </c>
      <c r="G160" s="9" t="s">
        <v>744</v>
      </c>
      <c r="H160" s="9" t="s">
        <v>751</v>
      </c>
      <c r="I160" s="11" t="s">
        <v>58</v>
      </c>
      <c r="J160" s="11" t="s">
        <v>58</v>
      </c>
      <c r="K160" s="11" t="s">
        <v>58</v>
      </c>
      <c r="L160" s="32" t="str">
        <f aca="false">IF(J160="VALID","ADJUDICATE","OPEN")</f>
        <v>OPEN</v>
      </c>
    </row>
    <row r="161" customFormat="false" ht="15" hidden="false" customHeight="false" outlineLevel="0" collapsed="false">
      <c r="A161" s="9" t="s">
        <v>935</v>
      </c>
      <c r="B161" s="9" t="s">
        <v>931</v>
      </c>
      <c r="C161" s="9" t="s">
        <v>372</v>
      </c>
      <c r="D161" s="9" t="s">
        <v>373</v>
      </c>
      <c r="E161" s="9" t="s">
        <v>787</v>
      </c>
      <c r="F161" s="9" t="s">
        <v>322</v>
      </c>
      <c r="G161" s="9" t="s">
        <v>744</v>
      </c>
      <c r="H161" s="9" t="s">
        <v>753</v>
      </c>
      <c r="I161" s="11" t="s">
        <v>58</v>
      </c>
      <c r="J161" s="11" t="s">
        <v>58</v>
      </c>
      <c r="K161" s="11" t="s">
        <v>58</v>
      </c>
      <c r="L161" s="32" t="str">
        <f aca="false">IF(J161="VALID","ADJUDICATE","OPEN")</f>
        <v>OPEN</v>
      </c>
    </row>
    <row r="162" customFormat="false" ht="15" hidden="false" customHeight="false" outlineLevel="0" collapsed="false">
      <c r="A162" s="9" t="s">
        <v>936</v>
      </c>
      <c r="B162" s="9" t="s">
        <v>937</v>
      </c>
      <c r="C162" s="9" t="s">
        <v>372</v>
      </c>
      <c r="D162" s="9" t="s">
        <v>373</v>
      </c>
      <c r="E162" s="9" t="s">
        <v>787</v>
      </c>
      <c r="F162" s="9" t="s">
        <v>322</v>
      </c>
      <c r="G162" s="9" t="s">
        <v>756</v>
      </c>
      <c r="H162" s="9" t="s">
        <v>745</v>
      </c>
      <c r="I162" s="11" t="s">
        <v>58</v>
      </c>
      <c r="J162" s="11" t="s">
        <v>58</v>
      </c>
      <c r="K162" s="11" t="s">
        <v>58</v>
      </c>
      <c r="L162" s="32" t="str">
        <f aca="false">IF(J162="VALID","ADJUDICATE","OPEN")</f>
        <v>OPEN</v>
      </c>
    </row>
    <row r="163" customFormat="false" ht="15" hidden="false" customHeight="false" outlineLevel="0" collapsed="false">
      <c r="A163" s="9" t="s">
        <v>938</v>
      </c>
      <c r="B163" s="9" t="s">
        <v>937</v>
      </c>
      <c r="C163" s="9" t="s">
        <v>372</v>
      </c>
      <c r="D163" s="9" t="s">
        <v>373</v>
      </c>
      <c r="E163" s="9" t="s">
        <v>787</v>
      </c>
      <c r="F163" s="9" t="s">
        <v>322</v>
      </c>
      <c r="G163" s="9" t="s">
        <v>756</v>
      </c>
      <c r="H163" s="9" t="s">
        <v>747</v>
      </c>
      <c r="I163" s="11" t="s">
        <v>58</v>
      </c>
      <c r="J163" s="11" t="s">
        <v>58</v>
      </c>
      <c r="K163" s="11" t="s">
        <v>58</v>
      </c>
      <c r="L163" s="32" t="str">
        <f aca="false">IF(J163="VALID","ADJUDICATE","OPEN")</f>
        <v>OPEN</v>
      </c>
    </row>
    <row r="164" customFormat="false" ht="15" hidden="false" customHeight="false" outlineLevel="0" collapsed="false">
      <c r="A164" s="9" t="s">
        <v>939</v>
      </c>
      <c r="B164" s="9" t="s">
        <v>937</v>
      </c>
      <c r="C164" s="9" t="s">
        <v>372</v>
      </c>
      <c r="D164" s="9" t="s">
        <v>373</v>
      </c>
      <c r="E164" s="9" t="s">
        <v>787</v>
      </c>
      <c r="F164" s="9" t="s">
        <v>322</v>
      </c>
      <c r="G164" s="9" t="s">
        <v>756</v>
      </c>
      <c r="H164" s="9" t="s">
        <v>749</v>
      </c>
      <c r="I164" s="11" t="s">
        <v>58</v>
      </c>
      <c r="J164" s="11" t="s">
        <v>58</v>
      </c>
      <c r="K164" s="11" t="s">
        <v>58</v>
      </c>
      <c r="L164" s="32" t="str">
        <f aca="false">IF(J164="VALID","ADJUDICATE","OPEN")</f>
        <v>OPEN</v>
      </c>
    </row>
    <row r="165" customFormat="false" ht="15" hidden="false" customHeight="false" outlineLevel="0" collapsed="false">
      <c r="A165" s="9" t="s">
        <v>940</v>
      </c>
      <c r="B165" s="9" t="s">
        <v>937</v>
      </c>
      <c r="C165" s="9" t="s">
        <v>372</v>
      </c>
      <c r="D165" s="9" t="s">
        <v>373</v>
      </c>
      <c r="E165" s="9" t="s">
        <v>787</v>
      </c>
      <c r="F165" s="9" t="s">
        <v>322</v>
      </c>
      <c r="G165" s="9" t="s">
        <v>756</v>
      </c>
      <c r="H165" s="9" t="s">
        <v>751</v>
      </c>
      <c r="I165" s="11" t="s">
        <v>58</v>
      </c>
      <c r="J165" s="11" t="s">
        <v>58</v>
      </c>
      <c r="K165" s="11" t="s">
        <v>58</v>
      </c>
      <c r="L165" s="32" t="str">
        <f aca="false">IF(J165="VALID","ADJUDICATE","OPEN")</f>
        <v>OPEN</v>
      </c>
    </row>
    <row r="166" customFormat="false" ht="15" hidden="false" customHeight="false" outlineLevel="0" collapsed="false">
      <c r="A166" s="9" t="s">
        <v>941</v>
      </c>
      <c r="B166" s="9" t="s">
        <v>937</v>
      </c>
      <c r="C166" s="9" t="s">
        <v>372</v>
      </c>
      <c r="D166" s="9" t="s">
        <v>373</v>
      </c>
      <c r="E166" s="9" t="s">
        <v>787</v>
      </c>
      <c r="F166" s="9" t="s">
        <v>322</v>
      </c>
      <c r="G166" s="9" t="s">
        <v>756</v>
      </c>
      <c r="H166" s="9" t="s">
        <v>753</v>
      </c>
      <c r="I166" s="11" t="s">
        <v>58</v>
      </c>
      <c r="J166" s="11" t="s">
        <v>58</v>
      </c>
      <c r="K166" s="11" t="s">
        <v>58</v>
      </c>
      <c r="L166" s="32" t="str">
        <f aca="false">IF(J166="VALID","ADJUDICATE","OPEN")</f>
        <v>OPEN</v>
      </c>
    </row>
    <row r="167" customFormat="false" ht="15" hidden="false" customHeight="false" outlineLevel="0" collapsed="false">
      <c r="A167" s="9" t="s">
        <v>942</v>
      </c>
      <c r="B167" s="9" t="s">
        <v>943</v>
      </c>
      <c r="C167" s="9" t="s">
        <v>372</v>
      </c>
      <c r="D167" s="9" t="s">
        <v>373</v>
      </c>
      <c r="E167" s="9" t="s">
        <v>787</v>
      </c>
      <c r="F167" s="9" t="s">
        <v>333</v>
      </c>
      <c r="G167" s="9" t="s">
        <v>744</v>
      </c>
      <c r="H167" s="9" t="s">
        <v>745</v>
      </c>
      <c r="I167" s="11" t="s">
        <v>58</v>
      </c>
      <c r="J167" s="11" t="s">
        <v>58</v>
      </c>
      <c r="K167" s="11" t="s">
        <v>58</v>
      </c>
      <c r="L167" s="32" t="str">
        <f aca="false">IF(J167="VALID","ADJUDICATE","OPEN")</f>
        <v>OPEN</v>
      </c>
    </row>
    <row r="168" customFormat="false" ht="15" hidden="false" customHeight="false" outlineLevel="0" collapsed="false">
      <c r="A168" s="9" t="s">
        <v>944</v>
      </c>
      <c r="B168" s="9" t="s">
        <v>943</v>
      </c>
      <c r="C168" s="9" t="s">
        <v>372</v>
      </c>
      <c r="D168" s="9" t="s">
        <v>373</v>
      </c>
      <c r="E168" s="9" t="s">
        <v>787</v>
      </c>
      <c r="F168" s="9" t="s">
        <v>333</v>
      </c>
      <c r="G168" s="9" t="s">
        <v>744</v>
      </c>
      <c r="H168" s="9" t="s">
        <v>747</v>
      </c>
      <c r="I168" s="11" t="s">
        <v>58</v>
      </c>
      <c r="J168" s="11" t="s">
        <v>58</v>
      </c>
      <c r="K168" s="11" t="s">
        <v>58</v>
      </c>
      <c r="L168" s="32" t="str">
        <f aca="false">IF(J168="VALID","ADJUDICATE","OPEN")</f>
        <v>OPEN</v>
      </c>
    </row>
    <row r="169" customFormat="false" ht="15" hidden="false" customHeight="false" outlineLevel="0" collapsed="false">
      <c r="A169" s="9" t="s">
        <v>945</v>
      </c>
      <c r="B169" s="9" t="s">
        <v>943</v>
      </c>
      <c r="C169" s="9" t="s">
        <v>372</v>
      </c>
      <c r="D169" s="9" t="s">
        <v>373</v>
      </c>
      <c r="E169" s="9" t="s">
        <v>787</v>
      </c>
      <c r="F169" s="9" t="s">
        <v>333</v>
      </c>
      <c r="G169" s="9" t="s">
        <v>744</v>
      </c>
      <c r="H169" s="9" t="s">
        <v>749</v>
      </c>
      <c r="I169" s="11" t="s">
        <v>58</v>
      </c>
      <c r="J169" s="11" t="s">
        <v>58</v>
      </c>
      <c r="K169" s="11" t="s">
        <v>58</v>
      </c>
      <c r="L169" s="32" t="str">
        <f aca="false">IF(J169="VALID","ADJUDICATE","OPEN")</f>
        <v>OPEN</v>
      </c>
    </row>
    <row r="170" customFormat="false" ht="15" hidden="false" customHeight="false" outlineLevel="0" collapsed="false">
      <c r="A170" s="9" t="s">
        <v>946</v>
      </c>
      <c r="B170" s="9" t="s">
        <v>943</v>
      </c>
      <c r="C170" s="9" t="s">
        <v>372</v>
      </c>
      <c r="D170" s="9" t="s">
        <v>373</v>
      </c>
      <c r="E170" s="9" t="s">
        <v>787</v>
      </c>
      <c r="F170" s="9" t="s">
        <v>333</v>
      </c>
      <c r="G170" s="9" t="s">
        <v>744</v>
      </c>
      <c r="H170" s="9" t="s">
        <v>751</v>
      </c>
      <c r="I170" s="11" t="s">
        <v>58</v>
      </c>
      <c r="J170" s="11" t="s">
        <v>58</v>
      </c>
      <c r="K170" s="11" t="s">
        <v>58</v>
      </c>
      <c r="L170" s="32" t="str">
        <f aca="false">IF(J170="VALID","ADJUDICATE","OPEN")</f>
        <v>OPEN</v>
      </c>
    </row>
    <row r="171" customFormat="false" ht="15" hidden="false" customHeight="false" outlineLevel="0" collapsed="false">
      <c r="A171" s="9" t="s">
        <v>947</v>
      </c>
      <c r="B171" s="9" t="s">
        <v>943</v>
      </c>
      <c r="C171" s="9" t="s">
        <v>372</v>
      </c>
      <c r="D171" s="9" t="s">
        <v>373</v>
      </c>
      <c r="E171" s="9" t="s">
        <v>787</v>
      </c>
      <c r="F171" s="9" t="s">
        <v>333</v>
      </c>
      <c r="G171" s="9" t="s">
        <v>744</v>
      </c>
      <c r="H171" s="9" t="s">
        <v>753</v>
      </c>
      <c r="I171" s="11" t="s">
        <v>58</v>
      </c>
      <c r="J171" s="11" t="s">
        <v>58</v>
      </c>
      <c r="K171" s="11" t="s">
        <v>58</v>
      </c>
      <c r="L171" s="32" t="str">
        <f aca="false">IF(J171="VALID","ADJUDICATE","OPEN")</f>
        <v>OPEN</v>
      </c>
    </row>
    <row r="172" customFormat="false" ht="15" hidden="false" customHeight="false" outlineLevel="0" collapsed="false">
      <c r="A172" s="9" t="s">
        <v>948</v>
      </c>
      <c r="B172" s="9" t="s">
        <v>949</v>
      </c>
      <c r="C172" s="9" t="s">
        <v>372</v>
      </c>
      <c r="D172" s="9" t="s">
        <v>373</v>
      </c>
      <c r="E172" s="9" t="s">
        <v>787</v>
      </c>
      <c r="F172" s="9" t="s">
        <v>333</v>
      </c>
      <c r="G172" s="9" t="s">
        <v>756</v>
      </c>
      <c r="H172" s="9" t="s">
        <v>745</v>
      </c>
      <c r="I172" s="11" t="s">
        <v>58</v>
      </c>
      <c r="J172" s="11" t="s">
        <v>58</v>
      </c>
      <c r="K172" s="11" t="s">
        <v>58</v>
      </c>
      <c r="L172" s="32" t="str">
        <f aca="false">IF(J172="VALID","ADJUDICATE","OPEN")</f>
        <v>OPEN</v>
      </c>
    </row>
    <row r="173" customFormat="false" ht="15" hidden="false" customHeight="false" outlineLevel="0" collapsed="false">
      <c r="A173" s="9" t="s">
        <v>950</v>
      </c>
      <c r="B173" s="9" t="s">
        <v>949</v>
      </c>
      <c r="C173" s="9" t="s">
        <v>372</v>
      </c>
      <c r="D173" s="9" t="s">
        <v>373</v>
      </c>
      <c r="E173" s="9" t="s">
        <v>787</v>
      </c>
      <c r="F173" s="9" t="s">
        <v>333</v>
      </c>
      <c r="G173" s="9" t="s">
        <v>756</v>
      </c>
      <c r="H173" s="9" t="s">
        <v>747</v>
      </c>
      <c r="I173" s="11" t="s">
        <v>58</v>
      </c>
      <c r="J173" s="11" t="s">
        <v>58</v>
      </c>
      <c r="K173" s="11" t="s">
        <v>58</v>
      </c>
      <c r="L173" s="32" t="str">
        <f aca="false">IF(J173="VALID","ADJUDICATE","OPEN")</f>
        <v>OPEN</v>
      </c>
    </row>
    <row r="174" customFormat="false" ht="15" hidden="false" customHeight="false" outlineLevel="0" collapsed="false">
      <c r="A174" s="9" t="s">
        <v>951</v>
      </c>
      <c r="B174" s="9" t="s">
        <v>949</v>
      </c>
      <c r="C174" s="9" t="s">
        <v>372</v>
      </c>
      <c r="D174" s="9" t="s">
        <v>373</v>
      </c>
      <c r="E174" s="9" t="s">
        <v>787</v>
      </c>
      <c r="F174" s="9" t="s">
        <v>333</v>
      </c>
      <c r="G174" s="9" t="s">
        <v>756</v>
      </c>
      <c r="H174" s="9" t="s">
        <v>749</v>
      </c>
      <c r="I174" s="11" t="s">
        <v>58</v>
      </c>
      <c r="J174" s="11" t="s">
        <v>58</v>
      </c>
      <c r="K174" s="11" t="s">
        <v>58</v>
      </c>
      <c r="L174" s="32" t="str">
        <f aca="false">IF(J174="VALID","ADJUDICATE","OPEN")</f>
        <v>OPEN</v>
      </c>
    </row>
    <row r="175" customFormat="false" ht="15" hidden="false" customHeight="false" outlineLevel="0" collapsed="false">
      <c r="A175" s="9" t="s">
        <v>952</v>
      </c>
      <c r="B175" s="9" t="s">
        <v>949</v>
      </c>
      <c r="C175" s="9" t="s">
        <v>372</v>
      </c>
      <c r="D175" s="9" t="s">
        <v>373</v>
      </c>
      <c r="E175" s="9" t="s">
        <v>787</v>
      </c>
      <c r="F175" s="9" t="s">
        <v>333</v>
      </c>
      <c r="G175" s="9" t="s">
        <v>756</v>
      </c>
      <c r="H175" s="9" t="s">
        <v>751</v>
      </c>
      <c r="I175" s="11" t="s">
        <v>58</v>
      </c>
      <c r="J175" s="11" t="s">
        <v>58</v>
      </c>
      <c r="K175" s="11" t="s">
        <v>58</v>
      </c>
      <c r="L175" s="32" t="str">
        <f aca="false">IF(J175="VALID","ADJUDICATE","OPEN")</f>
        <v>OPEN</v>
      </c>
    </row>
    <row r="176" customFormat="false" ht="15" hidden="false" customHeight="false" outlineLevel="0" collapsed="false">
      <c r="A176" s="9" t="s">
        <v>953</v>
      </c>
      <c r="B176" s="9" t="s">
        <v>949</v>
      </c>
      <c r="C176" s="9" t="s">
        <v>372</v>
      </c>
      <c r="D176" s="9" t="s">
        <v>373</v>
      </c>
      <c r="E176" s="9" t="s">
        <v>787</v>
      </c>
      <c r="F176" s="9" t="s">
        <v>333</v>
      </c>
      <c r="G176" s="9" t="s">
        <v>756</v>
      </c>
      <c r="H176" s="9" t="s">
        <v>753</v>
      </c>
      <c r="I176" s="11" t="s">
        <v>58</v>
      </c>
      <c r="J176" s="11" t="s">
        <v>58</v>
      </c>
      <c r="K176" s="11" t="s">
        <v>58</v>
      </c>
      <c r="L176" s="32" t="str">
        <f aca="false">IF(J176="VALID","ADJUDICATE","OPEN")</f>
        <v>OPEN</v>
      </c>
    </row>
    <row r="177" customFormat="false" ht="15" hidden="false" customHeight="false" outlineLevel="0" collapsed="false">
      <c r="A177" s="9" t="s">
        <v>954</v>
      </c>
      <c r="B177" s="9" t="s">
        <v>955</v>
      </c>
      <c r="C177" s="9" t="s">
        <v>372</v>
      </c>
      <c r="D177" s="9" t="s">
        <v>373</v>
      </c>
      <c r="E177" s="9" t="s">
        <v>787</v>
      </c>
      <c r="F177" s="9" t="s">
        <v>341</v>
      </c>
      <c r="G177" s="9" t="s">
        <v>744</v>
      </c>
      <c r="H177" s="9" t="s">
        <v>745</v>
      </c>
      <c r="I177" s="11" t="s">
        <v>58</v>
      </c>
      <c r="J177" s="11" t="s">
        <v>58</v>
      </c>
      <c r="K177" s="11" t="s">
        <v>58</v>
      </c>
      <c r="L177" s="32" t="str">
        <f aca="false">IF(J177="VALID","ADJUDICATE","OPEN")</f>
        <v>OPEN</v>
      </c>
    </row>
    <row r="178" customFormat="false" ht="15" hidden="false" customHeight="false" outlineLevel="0" collapsed="false">
      <c r="A178" s="9" t="s">
        <v>956</v>
      </c>
      <c r="B178" s="9" t="s">
        <v>955</v>
      </c>
      <c r="C178" s="9" t="s">
        <v>372</v>
      </c>
      <c r="D178" s="9" t="s">
        <v>373</v>
      </c>
      <c r="E178" s="9" t="s">
        <v>787</v>
      </c>
      <c r="F178" s="9" t="s">
        <v>341</v>
      </c>
      <c r="G178" s="9" t="s">
        <v>744</v>
      </c>
      <c r="H178" s="9" t="s">
        <v>747</v>
      </c>
      <c r="I178" s="11" t="s">
        <v>58</v>
      </c>
      <c r="J178" s="11" t="s">
        <v>58</v>
      </c>
      <c r="K178" s="11" t="s">
        <v>58</v>
      </c>
      <c r="L178" s="32" t="str">
        <f aca="false">IF(J178="VALID","ADJUDICATE","OPEN")</f>
        <v>OPEN</v>
      </c>
    </row>
    <row r="179" customFormat="false" ht="15" hidden="false" customHeight="false" outlineLevel="0" collapsed="false">
      <c r="A179" s="9" t="s">
        <v>957</v>
      </c>
      <c r="B179" s="9" t="s">
        <v>955</v>
      </c>
      <c r="C179" s="9" t="s">
        <v>372</v>
      </c>
      <c r="D179" s="9" t="s">
        <v>373</v>
      </c>
      <c r="E179" s="9" t="s">
        <v>787</v>
      </c>
      <c r="F179" s="9" t="s">
        <v>341</v>
      </c>
      <c r="G179" s="9" t="s">
        <v>744</v>
      </c>
      <c r="H179" s="9" t="s">
        <v>749</v>
      </c>
      <c r="I179" s="11" t="s">
        <v>58</v>
      </c>
      <c r="J179" s="11" t="s">
        <v>58</v>
      </c>
      <c r="K179" s="11" t="s">
        <v>58</v>
      </c>
      <c r="L179" s="32" t="str">
        <f aca="false">IF(J179="VALID","ADJUDICATE","OPEN")</f>
        <v>OPEN</v>
      </c>
    </row>
    <row r="180" customFormat="false" ht="15" hidden="false" customHeight="false" outlineLevel="0" collapsed="false">
      <c r="A180" s="9" t="s">
        <v>958</v>
      </c>
      <c r="B180" s="9" t="s">
        <v>955</v>
      </c>
      <c r="C180" s="9" t="s">
        <v>372</v>
      </c>
      <c r="D180" s="9" t="s">
        <v>373</v>
      </c>
      <c r="E180" s="9" t="s">
        <v>787</v>
      </c>
      <c r="F180" s="9" t="s">
        <v>341</v>
      </c>
      <c r="G180" s="9" t="s">
        <v>744</v>
      </c>
      <c r="H180" s="9" t="s">
        <v>751</v>
      </c>
      <c r="I180" s="11" t="s">
        <v>58</v>
      </c>
      <c r="J180" s="11" t="s">
        <v>58</v>
      </c>
      <c r="K180" s="11" t="s">
        <v>58</v>
      </c>
      <c r="L180" s="32" t="str">
        <f aca="false">IF(J180="VALID","ADJUDICATE","OPEN")</f>
        <v>OPEN</v>
      </c>
    </row>
    <row r="181" customFormat="false" ht="15" hidden="false" customHeight="false" outlineLevel="0" collapsed="false">
      <c r="A181" s="9" t="s">
        <v>959</v>
      </c>
      <c r="B181" s="9" t="s">
        <v>955</v>
      </c>
      <c r="C181" s="9" t="s">
        <v>372</v>
      </c>
      <c r="D181" s="9" t="s">
        <v>373</v>
      </c>
      <c r="E181" s="9" t="s">
        <v>787</v>
      </c>
      <c r="F181" s="9" t="s">
        <v>341</v>
      </c>
      <c r="G181" s="9" t="s">
        <v>744</v>
      </c>
      <c r="H181" s="9" t="s">
        <v>753</v>
      </c>
      <c r="I181" s="11" t="s">
        <v>58</v>
      </c>
      <c r="J181" s="11" t="s">
        <v>58</v>
      </c>
      <c r="K181" s="11" t="s">
        <v>58</v>
      </c>
      <c r="L181" s="32" t="str">
        <f aca="false">IF(J181="VALID","ADJUDICATE","OPEN")</f>
        <v>OPEN</v>
      </c>
    </row>
    <row r="182" customFormat="false" ht="15" hidden="false" customHeight="false" outlineLevel="0" collapsed="false">
      <c r="A182" s="9" t="s">
        <v>960</v>
      </c>
      <c r="B182" s="9" t="s">
        <v>961</v>
      </c>
      <c r="C182" s="9" t="s">
        <v>372</v>
      </c>
      <c r="D182" s="9" t="s">
        <v>373</v>
      </c>
      <c r="E182" s="9" t="s">
        <v>787</v>
      </c>
      <c r="F182" s="9" t="s">
        <v>341</v>
      </c>
      <c r="G182" s="9" t="s">
        <v>756</v>
      </c>
      <c r="H182" s="9" t="s">
        <v>745</v>
      </c>
      <c r="I182" s="11" t="s">
        <v>58</v>
      </c>
      <c r="J182" s="11" t="s">
        <v>58</v>
      </c>
      <c r="K182" s="11" t="s">
        <v>58</v>
      </c>
      <c r="L182" s="32" t="str">
        <f aca="false">IF(J182="VALID","ADJUDICATE","OPEN")</f>
        <v>OPEN</v>
      </c>
    </row>
    <row r="183" customFormat="false" ht="15" hidden="false" customHeight="false" outlineLevel="0" collapsed="false">
      <c r="A183" s="9" t="s">
        <v>962</v>
      </c>
      <c r="B183" s="9" t="s">
        <v>961</v>
      </c>
      <c r="C183" s="9" t="s">
        <v>372</v>
      </c>
      <c r="D183" s="9" t="s">
        <v>373</v>
      </c>
      <c r="E183" s="9" t="s">
        <v>787</v>
      </c>
      <c r="F183" s="9" t="s">
        <v>341</v>
      </c>
      <c r="G183" s="9" t="s">
        <v>756</v>
      </c>
      <c r="H183" s="9" t="s">
        <v>747</v>
      </c>
      <c r="I183" s="11" t="s">
        <v>58</v>
      </c>
      <c r="J183" s="11" t="s">
        <v>58</v>
      </c>
      <c r="K183" s="11" t="s">
        <v>58</v>
      </c>
      <c r="L183" s="32" t="str">
        <f aca="false">IF(J183="VALID","ADJUDICATE","OPEN")</f>
        <v>OPEN</v>
      </c>
    </row>
    <row r="184" customFormat="false" ht="15" hidden="false" customHeight="false" outlineLevel="0" collapsed="false">
      <c r="A184" s="9" t="s">
        <v>963</v>
      </c>
      <c r="B184" s="9" t="s">
        <v>961</v>
      </c>
      <c r="C184" s="9" t="s">
        <v>372</v>
      </c>
      <c r="D184" s="9" t="s">
        <v>373</v>
      </c>
      <c r="E184" s="9" t="s">
        <v>787</v>
      </c>
      <c r="F184" s="9" t="s">
        <v>341</v>
      </c>
      <c r="G184" s="9" t="s">
        <v>756</v>
      </c>
      <c r="H184" s="9" t="s">
        <v>749</v>
      </c>
      <c r="I184" s="11" t="s">
        <v>58</v>
      </c>
      <c r="J184" s="11" t="s">
        <v>58</v>
      </c>
      <c r="K184" s="11" t="s">
        <v>58</v>
      </c>
      <c r="L184" s="32" t="str">
        <f aca="false">IF(J184="VALID","ADJUDICATE","OPEN")</f>
        <v>OPEN</v>
      </c>
    </row>
    <row r="185" customFormat="false" ht="15" hidden="false" customHeight="false" outlineLevel="0" collapsed="false">
      <c r="A185" s="9" t="s">
        <v>964</v>
      </c>
      <c r="B185" s="9" t="s">
        <v>961</v>
      </c>
      <c r="C185" s="9" t="s">
        <v>372</v>
      </c>
      <c r="D185" s="9" t="s">
        <v>373</v>
      </c>
      <c r="E185" s="9" t="s">
        <v>787</v>
      </c>
      <c r="F185" s="9" t="s">
        <v>341</v>
      </c>
      <c r="G185" s="9" t="s">
        <v>756</v>
      </c>
      <c r="H185" s="9" t="s">
        <v>751</v>
      </c>
      <c r="I185" s="11" t="s">
        <v>58</v>
      </c>
      <c r="J185" s="11" t="s">
        <v>58</v>
      </c>
      <c r="K185" s="11" t="s">
        <v>58</v>
      </c>
      <c r="L185" s="32" t="str">
        <f aca="false">IF(J185="VALID","ADJUDICATE","OPEN")</f>
        <v>OPEN</v>
      </c>
    </row>
    <row r="186" customFormat="false" ht="15" hidden="false" customHeight="false" outlineLevel="0" collapsed="false">
      <c r="A186" s="9" t="s">
        <v>965</v>
      </c>
      <c r="B186" s="9" t="s">
        <v>961</v>
      </c>
      <c r="C186" s="9" t="s">
        <v>372</v>
      </c>
      <c r="D186" s="9" t="s">
        <v>373</v>
      </c>
      <c r="E186" s="9" t="s">
        <v>787</v>
      </c>
      <c r="F186" s="9" t="s">
        <v>341</v>
      </c>
      <c r="G186" s="9" t="s">
        <v>756</v>
      </c>
      <c r="H186" s="9" t="s">
        <v>753</v>
      </c>
      <c r="I186" s="11" t="s">
        <v>58</v>
      </c>
      <c r="J186" s="11" t="s">
        <v>58</v>
      </c>
      <c r="K186" s="11" t="s">
        <v>58</v>
      </c>
      <c r="L186" s="32" t="str">
        <f aca="false">IF(J186="VALID","ADJUDICATE","OPEN")</f>
        <v>OPEN</v>
      </c>
    </row>
    <row r="187" customFormat="false" ht="15" hidden="false" customHeight="false" outlineLevel="0" collapsed="false">
      <c r="A187" s="9" t="s">
        <v>966</v>
      </c>
      <c r="B187" s="9" t="s">
        <v>967</v>
      </c>
      <c r="C187" s="9" t="s">
        <v>395</v>
      </c>
      <c r="D187" s="9" t="s">
        <v>396</v>
      </c>
      <c r="E187" s="9" t="s">
        <v>743</v>
      </c>
      <c r="F187" s="9" t="s">
        <v>322</v>
      </c>
      <c r="G187" s="9" t="s">
        <v>744</v>
      </c>
      <c r="H187" s="9" t="s">
        <v>745</v>
      </c>
      <c r="I187" s="11" t="s">
        <v>58</v>
      </c>
      <c r="J187" s="11" t="s">
        <v>58</v>
      </c>
      <c r="K187" s="11" t="s">
        <v>58</v>
      </c>
      <c r="L187" s="32" t="str">
        <f aca="false">IF(J187="VALID","ADJUDICATE","OPEN")</f>
        <v>OPEN</v>
      </c>
    </row>
    <row r="188" customFormat="false" ht="15" hidden="false" customHeight="false" outlineLevel="0" collapsed="false">
      <c r="A188" s="9" t="s">
        <v>968</v>
      </c>
      <c r="B188" s="9" t="s">
        <v>967</v>
      </c>
      <c r="C188" s="9" t="s">
        <v>395</v>
      </c>
      <c r="D188" s="9" t="s">
        <v>396</v>
      </c>
      <c r="E188" s="9" t="s">
        <v>743</v>
      </c>
      <c r="F188" s="9" t="s">
        <v>322</v>
      </c>
      <c r="G188" s="9" t="s">
        <v>744</v>
      </c>
      <c r="H188" s="9" t="s">
        <v>747</v>
      </c>
      <c r="I188" s="11" t="s">
        <v>58</v>
      </c>
      <c r="J188" s="11" t="s">
        <v>58</v>
      </c>
      <c r="K188" s="11" t="s">
        <v>58</v>
      </c>
      <c r="L188" s="32" t="str">
        <f aca="false">IF(J188="VALID","ADJUDICATE","OPEN")</f>
        <v>OPEN</v>
      </c>
    </row>
    <row r="189" customFormat="false" ht="15" hidden="false" customHeight="false" outlineLevel="0" collapsed="false">
      <c r="A189" s="9" t="s">
        <v>969</v>
      </c>
      <c r="B189" s="9" t="s">
        <v>967</v>
      </c>
      <c r="C189" s="9" t="s">
        <v>395</v>
      </c>
      <c r="D189" s="9" t="s">
        <v>396</v>
      </c>
      <c r="E189" s="9" t="s">
        <v>743</v>
      </c>
      <c r="F189" s="9" t="s">
        <v>322</v>
      </c>
      <c r="G189" s="9" t="s">
        <v>744</v>
      </c>
      <c r="H189" s="9" t="s">
        <v>749</v>
      </c>
      <c r="I189" s="11" t="s">
        <v>58</v>
      </c>
      <c r="J189" s="11" t="s">
        <v>58</v>
      </c>
      <c r="K189" s="11" t="s">
        <v>58</v>
      </c>
      <c r="L189" s="32" t="str">
        <f aca="false">IF(J189="VALID","ADJUDICATE","OPEN")</f>
        <v>OPEN</v>
      </c>
    </row>
    <row r="190" customFormat="false" ht="15" hidden="false" customHeight="false" outlineLevel="0" collapsed="false">
      <c r="A190" s="9" t="s">
        <v>970</v>
      </c>
      <c r="B190" s="9" t="s">
        <v>967</v>
      </c>
      <c r="C190" s="9" t="s">
        <v>395</v>
      </c>
      <c r="D190" s="9" t="s">
        <v>396</v>
      </c>
      <c r="E190" s="9" t="s">
        <v>743</v>
      </c>
      <c r="F190" s="9" t="s">
        <v>322</v>
      </c>
      <c r="G190" s="9" t="s">
        <v>744</v>
      </c>
      <c r="H190" s="9" t="s">
        <v>751</v>
      </c>
      <c r="I190" s="11" t="s">
        <v>58</v>
      </c>
      <c r="J190" s="11" t="s">
        <v>58</v>
      </c>
      <c r="K190" s="11" t="s">
        <v>58</v>
      </c>
      <c r="L190" s="32" t="str">
        <f aca="false">IF(J190="VALID","ADJUDICATE","OPEN")</f>
        <v>OPEN</v>
      </c>
    </row>
    <row r="191" customFormat="false" ht="15" hidden="false" customHeight="false" outlineLevel="0" collapsed="false">
      <c r="A191" s="9" t="s">
        <v>971</v>
      </c>
      <c r="B191" s="9" t="s">
        <v>967</v>
      </c>
      <c r="C191" s="9" t="s">
        <v>395</v>
      </c>
      <c r="D191" s="9" t="s">
        <v>396</v>
      </c>
      <c r="E191" s="9" t="s">
        <v>743</v>
      </c>
      <c r="F191" s="9" t="s">
        <v>322</v>
      </c>
      <c r="G191" s="9" t="s">
        <v>744</v>
      </c>
      <c r="H191" s="9" t="s">
        <v>753</v>
      </c>
      <c r="I191" s="11" t="s">
        <v>58</v>
      </c>
      <c r="J191" s="11" t="s">
        <v>58</v>
      </c>
      <c r="K191" s="11" t="s">
        <v>58</v>
      </c>
      <c r="L191" s="32" t="str">
        <f aca="false">IF(J191="VALID","ADJUDICATE","OPEN")</f>
        <v>OPEN</v>
      </c>
    </row>
    <row r="192" customFormat="false" ht="15" hidden="false" customHeight="false" outlineLevel="0" collapsed="false">
      <c r="A192" s="9" t="s">
        <v>972</v>
      </c>
      <c r="B192" s="9" t="s">
        <v>973</v>
      </c>
      <c r="C192" s="9" t="s">
        <v>395</v>
      </c>
      <c r="D192" s="9" t="s">
        <v>396</v>
      </c>
      <c r="E192" s="9" t="s">
        <v>743</v>
      </c>
      <c r="F192" s="9" t="s">
        <v>322</v>
      </c>
      <c r="G192" s="9" t="s">
        <v>756</v>
      </c>
      <c r="H192" s="9" t="s">
        <v>745</v>
      </c>
      <c r="I192" s="11" t="s">
        <v>58</v>
      </c>
      <c r="J192" s="11" t="s">
        <v>58</v>
      </c>
      <c r="K192" s="11" t="s">
        <v>58</v>
      </c>
      <c r="L192" s="32" t="str">
        <f aca="false">IF(J192="VALID","ADJUDICATE","OPEN")</f>
        <v>OPEN</v>
      </c>
    </row>
    <row r="193" customFormat="false" ht="15" hidden="false" customHeight="false" outlineLevel="0" collapsed="false">
      <c r="A193" s="9" t="s">
        <v>974</v>
      </c>
      <c r="B193" s="9" t="s">
        <v>973</v>
      </c>
      <c r="C193" s="9" t="s">
        <v>395</v>
      </c>
      <c r="D193" s="9" t="s">
        <v>396</v>
      </c>
      <c r="E193" s="9" t="s">
        <v>743</v>
      </c>
      <c r="F193" s="9" t="s">
        <v>322</v>
      </c>
      <c r="G193" s="9" t="s">
        <v>756</v>
      </c>
      <c r="H193" s="9" t="s">
        <v>747</v>
      </c>
      <c r="I193" s="11" t="s">
        <v>58</v>
      </c>
      <c r="J193" s="11" t="s">
        <v>58</v>
      </c>
      <c r="K193" s="11" t="s">
        <v>58</v>
      </c>
      <c r="L193" s="32" t="str">
        <f aca="false">IF(J193="VALID","ADJUDICATE","OPEN")</f>
        <v>OPEN</v>
      </c>
    </row>
    <row r="194" customFormat="false" ht="15" hidden="false" customHeight="false" outlineLevel="0" collapsed="false">
      <c r="A194" s="9" t="s">
        <v>975</v>
      </c>
      <c r="B194" s="9" t="s">
        <v>973</v>
      </c>
      <c r="C194" s="9" t="s">
        <v>395</v>
      </c>
      <c r="D194" s="9" t="s">
        <v>396</v>
      </c>
      <c r="E194" s="9" t="s">
        <v>743</v>
      </c>
      <c r="F194" s="9" t="s">
        <v>322</v>
      </c>
      <c r="G194" s="9" t="s">
        <v>756</v>
      </c>
      <c r="H194" s="9" t="s">
        <v>749</v>
      </c>
      <c r="I194" s="11" t="s">
        <v>58</v>
      </c>
      <c r="J194" s="11" t="s">
        <v>58</v>
      </c>
      <c r="K194" s="11" t="s">
        <v>58</v>
      </c>
      <c r="L194" s="32" t="str">
        <f aca="false">IF(J194="VALID","ADJUDICATE","OPEN")</f>
        <v>OPEN</v>
      </c>
    </row>
    <row r="195" customFormat="false" ht="15" hidden="false" customHeight="false" outlineLevel="0" collapsed="false">
      <c r="A195" s="9" t="s">
        <v>976</v>
      </c>
      <c r="B195" s="9" t="s">
        <v>973</v>
      </c>
      <c r="C195" s="9" t="s">
        <v>395</v>
      </c>
      <c r="D195" s="9" t="s">
        <v>396</v>
      </c>
      <c r="E195" s="9" t="s">
        <v>743</v>
      </c>
      <c r="F195" s="9" t="s">
        <v>322</v>
      </c>
      <c r="G195" s="9" t="s">
        <v>756</v>
      </c>
      <c r="H195" s="9" t="s">
        <v>751</v>
      </c>
      <c r="I195" s="11" t="s">
        <v>58</v>
      </c>
      <c r="J195" s="11" t="s">
        <v>58</v>
      </c>
      <c r="K195" s="11" t="s">
        <v>58</v>
      </c>
      <c r="L195" s="32" t="str">
        <f aca="false">IF(J195="VALID","ADJUDICATE","OPEN")</f>
        <v>OPEN</v>
      </c>
    </row>
    <row r="196" customFormat="false" ht="15" hidden="false" customHeight="false" outlineLevel="0" collapsed="false">
      <c r="A196" s="9" t="s">
        <v>977</v>
      </c>
      <c r="B196" s="9" t="s">
        <v>973</v>
      </c>
      <c r="C196" s="9" t="s">
        <v>395</v>
      </c>
      <c r="D196" s="9" t="s">
        <v>396</v>
      </c>
      <c r="E196" s="9" t="s">
        <v>743</v>
      </c>
      <c r="F196" s="9" t="s">
        <v>322</v>
      </c>
      <c r="G196" s="9" t="s">
        <v>756</v>
      </c>
      <c r="H196" s="9" t="s">
        <v>753</v>
      </c>
      <c r="I196" s="11" t="s">
        <v>58</v>
      </c>
      <c r="J196" s="11" t="s">
        <v>58</v>
      </c>
      <c r="K196" s="11" t="s">
        <v>58</v>
      </c>
      <c r="L196" s="32" t="str">
        <f aca="false">IF(J196="VALID","ADJUDICATE","OPEN")</f>
        <v>OPEN</v>
      </c>
    </row>
    <row r="197" customFormat="false" ht="15" hidden="false" customHeight="false" outlineLevel="0" collapsed="false">
      <c r="A197" s="9" t="s">
        <v>978</v>
      </c>
      <c r="B197" s="9" t="s">
        <v>979</v>
      </c>
      <c r="C197" s="9" t="s">
        <v>395</v>
      </c>
      <c r="D197" s="9" t="s">
        <v>396</v>
      </c>
      <c r="E197" s="9" t="s">
        <v>743</v>
      </c>
      <c r="F197" s="9" t="s">
        <v>333</v>
      </c>
      <c r="G197" s="9" t="s">
        <v>744</v>
      </c>
      <c r="H197" s="9" t="s">
        <v>745</v>
      </c>
      <c r="I197" s="11" t="s">
        <v>58</v>
      </c>
      <c r="J197" s="11" t="s">
        <v>58</v>
      </c>
      <c r="K197" s="11" t="s">
        <v>58</v>
      </c>
      <c r="L197" s="32" t="str">
        <f aca="false">IF(J197="VALID","ADJUDICATE","OPEN")</f>
        <v>OPEN</v>
      </c>
    </row>
    <row r="198" customFormat="false" ht="15" hidden="false" customHeight="false" outlineLevel="0" collapsed="false">
      <c r="A198" s="9" t="s">
        <v>980</v>
      </c>
      <c r="B198" s="9" t="s">
        <v>979</v>
      </c>
      <c r="C198" s="9" t="s">
        <v>395</v>
      </c>
      <c r="D198" s="9" t="s">
        <v>396</v>
      </c>
      <c r="E198" s="9" t="s">
        <v>743</v>
      </c>
      <c r="F198" s="9" t="s">
        <v>333</v>
      </c>
      <c r="G198" s="9" t="s">
        <v>744</v>
      </c>
      <c r="H198" s="9" t="s">
        <v>747</v>
      </c>
      <c r="I198" s="11" t="s">
        <v>58</v>
      </c>
      <c r="J198" s="11" t="s">
        <v>58</v>
      </c>
      <c r="K198" s="11" t="s">
        <v>58</v>
      </c>
      <c r="L198" s="32" t="str">
        <f aca="false">IF(J198="VALID","ADJUDICATE","OPEN")</f>
        <v>OPEN</v>
      </c>
    </row>
    <row r="199" customFormat="false" ht="15" hidden="false" customHeight="false" outlineLevel="0" collapsed="false">
      <c r="A199" s="9" t="s">
        <v>981</v>
      </c>
      <c r="B199" s="9" t="s">
        <v>979</v>
      </c>
      <c r="C199" s="9" t="s">
        <v>395</v>
      </c>
      <c r="D199" s="9" t="s">
        <v>396</v>
      </c>
      <c r="E199" s="9" t="s">
        <v>743</v>
      </c>
      <c r="F199" s="9" t="s">
        <v>333</v>
      </c>
      <c r="G199" s="9" t="s">
        <v>744</v>
      </c>
      <c r="H199" s="9" t="s">
        <v>749</v>
      </c>
      <c r="I199" s="11" t="s">
        <v>58</v>
      </c>
      <c r="J199" s="11" t="s">
        <v>58</v>
      </c>
      <c r="K199" s="11" t="s">
        <v>58</v>
      </c>
      <c r="L199" s="32" t="str">
        <f aca="false">IF(J199="VALID","ADJUDICATE","OPEN")</f>
        <v>OPEN</v>
      </c>
    </row>
    <row r="200" customFormat="false" ht="15" hidden="false" customHeight="false" outlineLevel="0" collapsed="false">
      <c r="A200" s="9" t="s">
        <v>982</v>
      </c>
      <c r="B200" s="9" t="s">
        <v>979</v>
      </c>
      <c r="C200" s="9" t="s">
        <v>395</v>
      </c>
      <c r="D200" s="9" t="s">
        <v>396</v>
      </c>
      <c r="E200" s="9" t="s">
        <v>743</v>
      </c>
      <c r="F200" s="9" t="s">
        <v>333</v>
      </c>
      <c r="G200" s="9" t="s">
        <v>744</v>
      </c>
      <c r="H200" s="9" t="s">
        <v>751</v>
      </c>
      <c r="I200" s="11" t="s">
        <v>58</v>
      </c>
      <c r="J200" s="11" t="s">
        <v>58</v>
      </c>
      <c r="K200" s="11" t="s">
        <v>58</v>
      </c>
      <c r="L200" s="32" t="str">
        <f aca="false">IF(J200="VALID","ADJUDICATE","OPEN")</f>
        <v>OPEN</v>
      </c>
    </row>
    <row r="201" customFormat="false" ht="15" hidden="false" customHeight="false" outlineLevel="0" collapsed="false">
      <c r="A201" s="9" t="s">
        <v>983</v>
      </c>
      <c r="B201" s="9" t="s">
        <v>979</v>
      </c>
      <c r="C201" s="9" t="s">
        <v>395</v>
      </c>
      <c r="D201" s="9" t="s">
        <v>396</v>
      </c>
      <c r="E201" s="9" t="s">
        <v>743</v>
      </c>
      <c r="F201" s="9" t="s">
        <v>333</v>
      </c>
      <c r="G201" s="9" t="s">
        <v>744</v>
      </c>
      <c r="H201" s="9" t="s">
        <v>753</v>
      </c>
      <c r="I201" s="11" t="s">
        <v>58</v>
      </c>
      <c r="J201" s="11" t="s">
        <v>58</v>
      </c>
      <c r="K201" s="11" t="s">
        <v>58</v>
      </c>
      <c r="L201" s="32" t="str">
        <f aca="false">IF(J201="VALID","ADJUDICATE","OPEN")</f>
        <v>OPEN</v>
      </c>
    </row>
    <row r="202" customFormat="false" ht="15" hidden="false" customHeight="false" outlineLevel="0" collapsed="false">
      <c r="A202" s="9" t="s">
        <v>984</v>
      </c>
      <c r="B202" s="9" t="s">
        <v>985</v>
      </c>
      <c r="C202" s="9" t="s">
        <v>395</v>
      </c>
      <c r="D202" s="9" t="s">
        <v>396</v>
      </c>
      <c r="E202" s="9" t="s">
        <v>743</v>
      </c>
      <c r="F202" s="9" t="s">
        <v>333</v>
      </c>
      <c r="G202" s="9" t="s">
        <v>756</v>
      </c>
      <c r="H202" s="9" t="s">
        <v>745</v>
      </c>
      <c r="I202" s="11" t="s">
        <v>58</v>
      </c>
      <c r="J202" s="11" t="s">
        <v>58</v>
      </c>
      <c r="K202" s="11" t="s">
        <v>58</v>
      </c>
      <c r="L202" s="32" t="str">
        <f aca="false">IF(J202="VALID","ADJUDICATE","OPEN")</f>
        <v>OPEN</v>
      </c>
    </row>
    <row r="203" customFormat="false" ht="15" hidden="false" customHeight="false" outlineLevel="0" collapsed="false">
      <c r="A203" s="9" t="s">
        <v>986</v>
      </c>
      <c r="B203" s="9" t="s">
        <v>985</v>
      </c>
      <c r="C203" s="9" t="s">
        <v>395</v>
      </c>
      <c r="D203" s="9" t="s">
        <v>396</v>
      </c>
      <c r="E203" s="9" t="s">
        <v>743</v>
      </c>
      <c r="F203" s="9" t="s">
        <v>333</v>
      </c>
      <c r="G203" s="9" t="s">
        <v>756</v>
      </c>
      <c r="H203" s="9" t="s">
        <v>747</v>
      </c>
      <c r="I203" s="11" t="s">
        <v>58</v>
      </c>
      <c r="J203" s="11" t="s">
        <v>58</v>
      </c>
      <c r="K203" s="11" t="s">
        <v>58</v>
      </c>
      <c r="L203" s="32" t="str">
        <f aca="false">IF(J203="VALID","ADJUDICATE","OPEN")</f>
        <v>OPEN</v>
      </c>
    </row>
    <row r="204" customFormat="false" ht="15" hidden="false" customHeight="false" outlineLevel="0" collapsed="false">
      <c r="A204" s="9" t="s">
        <v>987</v>
      </c>
      <c r="B204" s="9" t="s">
        <v>985</v>
      </c>
      <c r="C204" s="9" t="s">
        <v>395</v>
      </c>
      <c r="D204" s="9" t="s">
        <v>396</v>
      </c>
      <c r="E204" s="9" t="s">
        <v>743</v>
      </c>
      <c r="F204" s="9" t="s">
        <v>333</v>
      </c>
      <c r="G204" s="9" t="s">
        <v>756</v>
      </c>
      <c r="H204" s="9" t="s">
        <v>749</v>
      </c>
      <c r="I204" s="11" t="s">
        <v>58</v>
      </c>
      <c r="J204" s="11" t="s">
        <v>58</v>
      </c>
      <c r="K204" s="11" t="s">
        <v>58</v>
      </c>
      <c r="L204" s="32" t="str">
        <f aca="false">IF(J204="VALID","ADJUDICATE","OPEN")</f>
        <v>OPEN</v>
      </c>
    </row>
    <row r="205" customFormat="false" ht="15" hidden="false" customHeight="false" outlineLevel="0" collapsed="false">
      <c r="A205" s="9" t="s">
        <v>988</v>
      </c>
      <c r="B205" s="9" t="s">
        <v>985</v>
      </c>
      <c r="C205" s="9" t="s">
        <v>395</v>
      </c>
      <c r="D205" s="9" t="s">
        <v>396</v>
      </c>
      <c r="E205" s="9" t="s">
        <v>743</v>
      </c>
      <c r="F205" s="9" t="s">
        <v>333</v>
      </c>
      <c r="G205" s="9" t="s">
        <v>756</v>
      </c>
      <c r="H205" s="9" t="s">
        <v>751</v>
      </c>
      <c r="I205" s="11" t="s">
        <v>58</v>
      </c>
      <c r="J205" s="11" t="s">
        <v>58</v>
      </c>
      <c r="K205" s="11" t="s">
        <v>58</v>
      </c>
      <c r="L205" s="32" t="str">
        <f aca="false">IF(J205="VALID","ADJUDICATE","OPEN")</f>
        <v>OPEN</v>
      </c>
    </row>
    <row r="206" customFormat="false" ht="15" hidden="false" customHeight="false" outlineLevel="0" collapsed="false">
      <c r="A206" s="9" t="s">
        <v>989</v>
      </c>
      <c r="B206" s="9" t="s">
        <v>985</v>
      </c>
      <c r="C206" s="9" t="s">
        <v>395</v>
      </c>
      <c r="D206" s="9" t="s">
        <v>396</v>
      </c>
      <c r="E206" s="9" t="s">
        <v>743</v>
      </c>
      <c r="F206" s="9" t="s">
        <v>333</v>
      </c>
      <c r="G206" s="9" t="s">
        <v>756</v>
      </c>
      <c r="H206" s="9" t="s">
        <v>753</v>
      </c>
      <c r="I206" s="11" t="s">
        <v>58</v>
      </c>
      <c r="J206" s="11" t="s">
        <v>58</v>
      </c>
      <c r="K206" s="11" t="s">
        <v>58</v>
      </c>
      <c r="L206" s="32" t="str">
        <f aca="false">IF(J206="VALID","ADJUDICATE","OPEN")</f>
        <v>OPEN</v>
      </c>
    </row>
    <row r="207" customFormat="false" ht="15" hidden="false" customHeight="false" outlineLevel="0" collapsed="false">
      <c r="A207" s="9" t="s">
        <v>990</v>
      </c>
      <c r="B207" s="9" t="s">
        <v>991</v>
      </c>
      <c r="C207" s="9" t="s">
        <v>395</v>
      </c>
      <c r="D207" s="9" t="s">
        <v>396</v>
      </c>
      <c r="E207" s="9" t="s">
        <v>743</v>
      </c>
      <c r="F207" s="9" t="s">
        <v>341</v>
      </c>
      <c r="G207" s="9" t="s">
        <v>744</v>
      </c>
      <c r="H207" s="9" t="s">
        <v>745</v>
      </c>
      <c r="I207" s="11" t="s">
        <v>58</v>
      </c>
      <c r="J207" s="11" t="s">
        <v>58</v>
      </c>
      <c r="K207" s="11" t="s">
        <v>58</v>
      </c>
      <c r="L207" s="32" t="str">
        <f aca="false">IF(J207="VALID","ADJUDICATE","OPEN")</f>
        <v>OPEN</v>
      </c>
    </row>
    <row r="208" customFormat="false" ht="15" hidden="false" customHeight="false" outlineLevel="0" collapsed="false">
      <c r="A208" s="9" t="s">
        <v>992</v>
      </c>
      <c r="B208" s="9" t="s">
        <v>991</v>
      </c>
      <c r="C208" s="9" t="s">
        <v>395</v>
      </c>
      <c r="D208" s="9" t="s">
        <v>396</v>
      </c>
      <c r="E208" s="9" t="s">
        <v>743</v>
      </c>
      <c r="F208" s="9" t="s">
        <v>341</v>
      </c>
      <c r="G208" s="9" t="s">
        <v>744</v>
      </c>
      <c r="H208" s="9" t="s">
        <v>747</v>
      </c>
      <c r="I208" s="11" t="s">
        <v>58</v>
      </c>
      <c r="J208" s="11" t="s">
        <v>58</v>
      </c>
      <c r="K208" s="11" t="s">
        <v>58</v>
      </c>
      <c r="L208" s="32" t="str">
        <f aca="false">IF(J208="VALID","ADJUDICATE","OPEN")</f>
        <v>OPEN</v>
      </c>
    </row>
    <row r="209" customFormat="false" ht="15" hidden="false" customHeight="false" outlineLevel="0" collapsed="false">
      <c r="A209" s="9" t="s">
        <v>993</v>
      </c>
      <c r="B209" s="9" t="s">
        <v>991</v>
      </c>
      <c r="C209" s="9" t="s">
        <v>395</v>
      </c>
      <c r="D209" s="9" t="s">
        <v>396</v>
      </c>
      <c r="E209" s="9" t="s">
        <v>743</v>
      </c>
      <c r="F209" s="9" t="s">
        <v>341</v>
      </c>
      <c r="G209" s="9" t="s">
        <v>744</v>
      </c>
      <c r="H209" s="9" t="s">
        <v>749</v>
      </c>
      <c r="I209" s="11" t="s">
        <v>58</v>
      </c>
      <c r="J209" s="11" t="s">
        <v>58</v>
      </c>
      <c r="K209" s="11" t="s">
        <v>58</v>
      </c>
      <c r="L209" s="32" t="str">
        <f aca="false">IF(J209="VALID","ADJUDICATE","OPEN")</f>
        <v>OPEN</v>
      </c>
    </row>
    <row r="210" customFormat="false" ht="15" hidden="false" customHeight="false" outlineLevel="0" collapsed="false">
      <c r="A210" s="9" t="s">
        <v>994</v>
      </c>
      <c r="B210" s="9" t="s">
        <v>991</v>
      </c>
      <c r="C210" s="9" t="s">
        <v>395</v>
      </c>
      <c r="D210" s="9" t="s">
        <v>396</v>
      </c>
      <c r="E210" s="9" t="s">
        <v>743</v>
      </c>
      <c r="F210" s="9" t="s">
        <v>341</v>
      </c>
      <c r="G210" s="9" t="s">
        <v>744</v>
      </c>
      <c r="H210" s="9" t="s">
        <v>751</v>
      </c>
      <c r="I210" s="11" t="s">
        <v>58</v>
      </c>
      <c r="J210" s="11" t="s">
        <v>58</v>
      </c>
      <c r="K210" s="11" t="s">
        <v>58</v>
      </c>
      <c r="L210" s="32" t="str">
        <f aca="false">IF(J210="VALID","ADJUDICATE","OPEN")</f>
        <v>OPEN</v>
      </c>
    </row>
    <row r="211" customFormat="false" ht="15" hidden="false" customHeight="false" outlineLevel="0" collapsed="false">
      <c r="A211" s="9" t="s">
        <v>995</v>
      </c>
      <c r="B211" s="9" t="s">
        <v>991</v>
      </c>
      <c r="C211" s="9" t="s">
        <v>395</v>
      </c>
      <c r="D211" s="9" t="s">
        <v>396</v>
      </c>
      <c r="E211" s="9" t="s">
        <v>743</v>
      </c>
      <c r="F211" s="9" t="s">
        <v>341</v>
      </c>
      <c r="G211" s="9" t="s">
        <v>744</v>
      </c>
      <c r="H211" s="9" t="s">
        <v>753</v>
      </c>
      <c r="I211" s="11" t="s">
        <v>58</v>
      </c>
      <c r="J211" s="11" t="s">
        <v>58</v>
      </c>
      <c r="K211" s="11" t="s">
        <v>58</v>
      </c>
      <c r="L211" s="32" t="str">
        <f aca="false">IF(J211="VALID","ADJUDICATE","OPEN")</f>
        <v>OPEN</v>
      </c>
    </row>
    <row r="212" customFormat="false" ht="15" hidden="false" customHeight="false" outlineLevel="0" collapsed="false">
      <c r="A212" s="9" t="s">
        <v>996</v>
      </c>
      <c r="B212" s="9" t="s">
        <v>997</v>
      </c>
      <c r="C212" s="9" t="s">
        <v>395</v>
      </c>
      <c r="D212" s="9" t="s">
        <v>396</v>
      </c>
      <c r="E212" s="9" t="s">
        <v>743</v>
      </c>
      <c r="F212" s="9" t="s">
        <v>341</v>
      </c>
      <c r="G212" s="9" t="s">
        <v>756</v>
      </c>
      <c r="H212" s="9" t="s">
        <v>745</v>
      </c>
      <c r="I212" s="11" t="s">
        <v>58</v>
      </c>
      <c r="J212" s="11" t="s">
        <v>58</v>
      </c>
      <c r="K212" s="11" t="s">
        <v>58</v>
      </c>
      <c r="L212" s="32" t="str">
        <f aca="false">IF(J212="VALID","ADJUDICATE","OPEN")</f>
        <v>OPEN</v>
      </c>
    </row>
    <row r="213" customFormat="false" ht="15" hidden="false" customHeight="false" outlineLevel="0" collapsed="false">
      <c r="A213" s="9" t="s">
        <v>998</v>
      </c>
      <c r="B213" s="9" t="s">
        <v>997</v>
      </c>
      <c r="C213" s="9" t="s">
        <v>395</v>
      </c>
      <c r="D213" s="9" t="s">
        <v>396</v>
      </c>
      <c r="E213" s="9" t="s">
        <v>743</v>
      </c>
      <c r="F213" s="9" t="s">
        <v>341</v>
      </c>
      <c r="G213" s="9" t="s">
        <v>756</v>
      </c>
      <c r="H213" s="9" t="s">
        <v>747</v>
      </c>
      <c r="I213" s="11" t="s">
        <v>58</v>
      </c>
      <c r="J213" s="11" t="s">
        <v>58</v>
      </c>
      <c r="K213" s="11" t="s">
        <v>58</v>
      </c>
      <c r="L213" s="32" t="str">
        <f aca="false">IF(J213="VALID","ADJUDICATE","OPEN")</f>
        <v>OPEN</v>
      </c>
    </row>
    <row r="214" customFormat="false" ht="15" hidden="false" customHeight="false" outlineLevel="0" collapsed="false">
      <c r="A214" s="9" t="s">
        <v>999</v>
      </c>
      <c r="B214" s="9" t="s">
        <v>997</v>
      </c>
      <c r="C214" s="9" t="s">
        <v>395</v>
      </c>
      <c r="D214" s="9" t="s">
        <v>396</v>
      </c>
      <c r="E214" s="9" t="s">
        <v>743</v>
      </c>
      <c r="F214" s="9" t="s">
        <v>341</v>
      </c>
      <c r="G214" s="9" t="s">
        <v>756</v>
      </c>
      <c r="H214" s="9" t="s">
        <v>749</v>
      </c>
      <c r="I214" s="11" t="s">
        <v>58</v>
      </c>
      <c r="J214" s="11" t="s">
        <v>58</v>
      </c>
      <c r="K214" s="11" t="s">
        <v>58</v>
      </c>
      <c r="L214" s="32" t="str">
        <f aca="false">IF(J214="VALID","ADJUDICATE","OPEN")</f>
        <v>OPEN</v>
      </c>
    </row>
    <row r="215" customFormat="false" ht="15" hidden="false" customHeight="false" outlineLevel="0" collapsed="false">
      <c r="A215" s="9" t="s">
        <v>1000</v>
      </c>
      <c r="B215" s="9" t="s">
        <v>997</v>
      </c>
      <c r="C215" s="9" t="s">
        <v>395</v>
      </c>
      <c r="D215" s="9" t="s">
        <v>396</v>
      </c>
      <c r="E215" s="9" t="s">
        <v>743</v>
      </c>
      <c r="F215" s="9" t="s">
        <v>341</v>
      </c>
      <c r="G215" s="9" t="s">
        <v>756</v>
      </c>
      <c r="H215" s="9" t="s">
        <v>751</v>
      </c>
      <c r="I215" s="11" t="s">
        <v>58</v>
      </c>
      <c r="J215" s="11" t="s">
        <v>58</v>
      </c>
      <c r="K215" s="11" t="s">
        <v>58</v>
      </c>
      <c r="L215" s="32" t="str">
        <f aca="false">IF(J215="VALID","ADJUDICATE","OPEN")</f>
        <v>OPEN</v>
      </c>
    </row>
    <row r="216" customFormat="false" ht="15" hidden="false" customHeight="false" outlineLevel="0" collapsed="false">
      <c r="A216" s="9" t="s">
        <v>1001</v>
      </c>
      <c r="B216" s="9" t="s">
        <v>997</v>
      </c>
      <c r="C216" s="9" t="s">
        <v>395</v>
      </c>
      <c r="D216" s="9" t="s">
        <v>396</v>
      </c>
      <c r="E216" s="9" t="s">
        <v>743</v>
      </c>
      <c r="F216" s="9" t="s">
        <v>341</v>
      </c>
      <c r="G216" s="9" t="s">
        <v>756</v>
      </c>
      <c r="H216" s="9" t="s">
        <v>753</v>
      </c>
      <c r="I216" s="11" t="s">
        <v>58</v>
      </c>
      <c r="J216" s="11" t="s">
        <v>58</v>
      </c>
      <c r="K216" s="11" t="s">
        <v>58</v>
      </c>
      <c r="L216" s="32" t="str">
        <f aca="false">IF(J216="VALID","ADJUDICATE","OPEN")</f>
        <v>OPEN</v>
      </c>
    </row>
    <row r="217" customFormat="false" ht="15" hidden="false" customHeight="false" outlineLevel="0" collapsed="false">
      <c r="A217" s="9" t="s">
        <v>1002</v>
      </c>
      <c r="B217" s="9" t="s">
        <v>1003</v>
      </c>
      <c r="C217" s="9" t="s">
        <v>395</v>
      </c>
      <c r="D217" s="9" t="s">
        <v>396</v>
      </c>
      <c r="E217" s="9" t="s">
        <v>787</v>
      </c>
      <c r="F217" s="9" t="s">
        <v>322</v>
      </c>
      <c r="G217" s="9" t="s">
        <v>744</v>
      </c>
      <c r="H217" s="9" t="s">
        <v>745</v>
      </c>
      <c r="I217" s="11" t="s">
        <v>58</v>
      </c>
      <c r="J217" s="11" t="s">
        <v>58</v>
      </c>
      <c r="K217" s="11" t="s">
        <v>58</v>
      </c>
      <c r="L217" s="32" t="str">
        <f aca="false">IF(J217="VALID","ADJUDICATE","OPEN")</f>
        <v>OPEN</v>
      </c>
    </row>
    <row r="218" customFormat="false" ht="15" hidden="false" customHeight="false" outlineLevel="0" collapsed="false">
      <c r="A218" s="9" t="s">
        <v>1004</v>
      </c>
      <c r="B218" s="9" t="s">
        <v>1003</v>
      </c>
      <c r="C218" s="9" t="s">
        <v>395</v>
      </c>
      <c r="D218" s="9" t="s">
        <v>396</v>
      </c>
      <c r="E218" s="9" t="s">
        <v>787</v>
      </c>
      <c r="F218" s="9" t="s">
        <v>322</v>
      </c>
      <c r="G218" s="9" t="s">
        <v>744</v>
      </c>
      <c r="H218" s="9" t="s">
        <v>747</v>
      </c>
      <c r="I218" s="11" t="s">
        <v>58</v>
      </c>
      <c r="J218" s="11" t="s">
        <v>58</v>
      </c>
      <c r="K218" s="11" t="s">
        <v>58</v>
      </c>
      <c r="L218" s="32" t="str">
        <f aca="false">IF(J218="VALID","ADJUDICATE","OPEN")</f>
        <v>OPEN</v>
      </c>
    </row>
    <row r="219" customFormat="false" ht="15" hidden="false" customHeight="false" outlineLevel="0" collapsed="false">
      <c r="A219" s="9" t="s">
        <v>1005</v>
      </c>
      <c r="B219" s="9" t="s">
        <v>1003</v>
      </c>
      <c r="C219" s="9" t="s">
        <v>395</v>
      </c>
      <c r="D219" s="9" t="s">
        <v>396</v>
      </c>
      <c r="E219" s="9" t="s">
        <v>787</v>
      </c>
      <c r="F219" s="9" t="s">
        <v>322</v>
      </c>
      <c r="G219" s="9" t="s">
        <v>744</v>
      </c>
      <c r="H219" s="9" t="s">
        <v>749</v>
      </c>
      <c r="I219" s="11" t="s">
        <v>58</v>
      </c>
      <c r="J219" s="11" t="s">
        <v>58</v>
      </c>
      <c r="K219" s="11" t="s">
        <v>58</v>
      </c>
      <c r="L219" s="32" t="str">
        <f aca="false">IF(J219="VALID","ADJUDICATE","OPEN")</f>
        <v>OPEN</v>
      </c>
    </row>
    <row r="220" customFormat="false" ht="15" hidden="false" customHeight="false" outlineLevel="0" collapsed="false">
      <c r="A220" s="9" t="s">
        <v>1006</v>
      </c>
      <c r="B220" s="9" t="s">
        <v>1003</v>
      </c>
      <c r="C220" s="9" t="s">
        <v>395</v>
      </c>
      <c r="D220" s="9" t="s">
        <v>396</v>
      </c>
      <c r="E220" s="9" t="s">
        <v>787</v>
      </c>
      <c r="F220" s="9" t="s">
        <v>322</v>
      </c>
      <c r="G220" s="9" t="s">
        <v>744</v>
      </c>
      <c r="H220" s="9" t="s">
        <v>751</v>
      </c>
      <c r="I220" s="11" t="s">
        <v>58</v>
      </c>
      <c r="J220" s="11" t="s">
        <v>58</v>
      </c>
      <c r="K220" s="11" t="s">
        <v>58</v>
      </c>
      <c r="L220" s="32" t="str">
        <f aca="false">IF(J220="VALID","ADJUDICATE","OPEN")</f>
        <v>OPEN</v>
      </c>
    </row>
    <row r="221" customFormat="false" ht="15" hidden="false" customHeight="false" outlineLevel="0" collapsed="false">
      <c r="A221" s="9" t="s">
        <v>1007</v>
      </c>
      <c r="B221" s="9" t="s">
        <v>1003</v>
      </c>
      <c r="C221" s="9" t="s">
        <v>395</v>
      </c>
      <c r="D221" s="9" t="s">
        <v>396</v>
      </c>
      <c r="E221" s="9" t="s">
        <v>787</v>
      </c>
      <c r="F221" s="9" t="s">
        <v>322</v>
      </c>
      <c r="G221" s="9" t="s">
        <v>744</v>
      </c>
      <c r="H221" s="9" t="s">
        <v>753</v>
      </c>
      <c r="I221" s="11" t="s">
        <v>58</v>
      </c>
      <c r="J221" s="11" t="s">
        <v>58</v>
      </c>
      <c r="K221" s="11" t="s">
        <v>58</v>
      </c>
      <c r="L221" s="32" t="str">
        <f aca="false">IF(J221="VALID","ADJUDICATE","OPEN")</f>
        <v>OPEN</v>
      </c>
    </row>
    <row r="222" customFormat="false" ht="15" hidden="false" customHeight="false" outlineLevel="0" collapsed="false">
      <c r="A222" s="9" t="s">
        <v>1008</v>
      </c>
      <c r="B222" s="9" t="s">
        <v>1009</v>
      </c>
      <c r="C222" s="9" t="s">
        <v>395</v>
      </c>
      <c r="D222" s="9" t="s">
        <v>396</v>
      </c>
      <c r="E222" s="9" t="s">
        <v>787</v>
      </c>
      <c r="F222" s="9" t="s">
        <v>322</v>
      </c>
      <c r="G222" s="9" t="s">
        <v>756</v>
      </c>
      <c r="H222" s="9" t="s">
        <v>745</v>
      </c>
      <c r="I222" s="11" t="s">
        <v>58</v>
      </c>
      <c r="J222" s="11" t="s">
        <v>58</v>
      </c>
      <c r="K222" s="11" t="s">
        <v>58</v>
      </c>
      <c r="L222" s="32" t="str">
        <f aca="false">IF(J222="VALID","ADJUDICATE","OPEN")</f>
        <v>OPEN</v>
      </c>
    </row>
    <row r="223" customFormat="false" ht="15" hidden="false" customHeight="false" outlineLevel="0" collapsed="false">
      <c r="A223" s="9" t="s">
        <v>1010</v>
      </c>
      <c r="B223" s="9" t="s">
        <v>1009</v>
      </c>
      <c r="C223" s="9" t="s">
        <v>395</v>
      </c>
      <c r="D223" s="9" t="s">
        <v>396</v>
      </c>
      <c r="E223" s="9" t="s">
        <v>787</v>
      </c>
      <c r="F223" s="9" t="s">
        <v>322</v>
      </c>
      <c r="G223" s="9" t="s">
        <v>756</v>
      </c>
      <c r="H223" s="9" t="s">
        <v>747</v>
      </c>
      <c r="I223" s="11" t="s">
        <v>58</v>
      </c>
      <c r="J223" s="11" t="s">
        <v>58</v>
      </c>
      <c r="K223" s="11" t="s">
        <v>58</v>
      </c>
      <c r="L223" s="32" t="str">
        <f aca="false">IF(J223="VALID","ADJUDICATE","OPEN")</f>
        <v>OPEN</v>
      </c>
    </row>
    <row r="224" customFormat="false" ht="15" hidden="false" customHeight="false" outlineLevel="0" collapsed="false">
      <c r="A224" s="9" t="s">
        <v>1011</v>
      </c>
      <c r="B224" s="9" t="s">
        <v>1009</v>
      </c>
      <c r="C224" s="9" t="s">
        <v>395</v>
      </c>
      <c r="D224" s="9" t="s">
        <v>396</v>
      </c>
      <c r="E224" s="9" t="s">
        <v>787</v>
      </c>
      <c r="F224" s="9" t="s">
        <v>322</v>
      </c>
      <c r="G224" s="9" t="s">
        <v>756</v>
      </c>
      <c r="H224" s="9" t="s">
        <v>749</v>
      </c>
      <c r="I224" s="11" t="s">
        <v>58</v>
      </c>
      <c r="J224" s="11" t="s">
        <v>58</v>
      </c>
      <c r="K224" s="11" t="s">
        <v>58</v>
      </c>
      <c r="L224" s="32" t="str">
        <f aca="false">IF(J224="VALID","ADJUDICATE","OPEN")</f>
        <v>OPEN</v>
      </c>
    </row>
    <row r="225" customFormat="false" ht="15" hidden="false" customHeight="false" outlineLevel="0" collapsed="false">
      <c r="A225" s="9" t="s">
        <v>1012</v>
      </c>
      <c r="B225" s="9" t="s">
        <v>1009</v>
      </c>
      <c r="C225" s="9" t="s">
        <v>395</v>
      </c>
      <c r="D225" s="9" t="s">
        <v>396</v>
      </c>
      <c r="E225" s="9" t="s">
        <v>787</v>
      </c>
      <c r="F225" s="9" t="s">
        <v>322</v>
      </c>
      <c r="G225" s="9" t="s">
        <v>756</v>
      </c>
      <c r="H225" s="9" t="s">
        <v>751</v>
      </c>
      <c r="I225" s="11" t="s">
        <v>58</v>
      </c>
      <c r="J225" s="11" t="s">
        <v>58</v>
      </c>
      <c r="K225" s="11" t="s">
        <v>58</v>
      </c>
      <c r="L225" s="32" t="str">
        <f aca="false">IF(J225="VALID","ADJUDICATE","OPEN")</f>
        <v>OPEN</v>
      </c>
    </row>
    <row r="226" customFormat="false" ht="15" hidden="false" customHeight="false" outlineLevel="0" collapsed="false">
      <c r="A226" s="9" t="s">
        <v>1013</v>
      </c>
      <c r="B226" s="9" t="s">
        <v>1009</v>
      </c>
      <c r="C226" s="9" t="s">
        <v>395</v>
      </c>
      <c r="D226" s="9" t="s">
        <v>396</v>
      </c>
      <c r="E226" s="9" t="s">
        <v>787</v>
      </c>
      <c r="F226" s="9" t="s">
        <v>322</v>
      </c>
      <c r="G226" s="9" t="s">
        <v>756</v>
      </c>
      <c r="H226" s="9" t="s">
        <v>753</v>
      </c>
      <c r="I226" s="11" t="s">
        <v>58</v>
      </c>
      <c r="J226" s="11" t="s">
        <v>58</v>
      </c>
      <c r="K226" s="11" t="s">
        <v>58</v>
      </c>
      <c r="L226" s="32" t="str">
        <f aca="false">IF(J226="VALID","ADJUDICATE","OPEN")</f>
        <v>OPEN</v>
      </c>
    </row>
    <row r="227" customFormat="false" ht="15" hidden="false" customHeight="false" outlineLevel="0" collapsed="false">
      <c r="A227" s="9" t="s">
        <v>1014</v>
      </c>
      <c r="B227" s="9" t="s">
        <v>1015</v>
      </c>
      <c r="C227" s="9" t="s">
        <v>395</v>
      </c>
      <c r="D227" s="9" t="s">
        <v>396</v>
      </c>
      <c r="E227" s="9" t="s">
        <v>787</v>
      </c>
      <c r="F227" s="9" t="s">
        <v>333</v>
      </c>
      <c r="G227" s="9" t="s">
        <v>744</v>
      </c>
      <c r="H227" s="9" t="s">
        <v>745</v>
      </c>
      <c r="I227" s="11" t="s">
        <v>58</v>
      </c>
      <c r="J227" s="11" t="s">
        <v>58</v>
      </c>
      <c r="K227" s="11" t="s">
        <v>58</v>
      </c>
      <c r="L227" s="32" t="str">
        <f aca="false">IF(J227="VALID","ADJUDICATE","OPEN")</f>
        <v>OPEN</v>
      </c>
    </row>
    <row r="228" customFormat="false" ht="15" hidden="false" customHeight="false" outlineLevel="0" collapsed="false">
      <c r="A228" s="9" t="s">
        <v>1016</v>
      </c>
      <c r="B228" s="9" t="s">
        <v>1015</v>
      </c>
      <c r="C228" s="9" t="s">
        <v>395</v>
      </c>
      <c r="D228" s="9" t="s">
        <v>396</v>
      </c>
      <c r="E228" s="9" t="s">
        <v>787</v>
      </c>
      <c r="F228" s="9" t="s">
        <v>333</v>
      </c>
      <c r="G228" s="9" t="s">
        <v>744</v>
      </c>
      <c r="H228" s="9" t="s">
        <v>747</v>
      </c>
      <c r="I228" s="11" t="s">
        <v>58</v>
      </c>
      <c r="J228" s="11" t="s">
        <v>58</v>
      </c>
      <c r="K228" s="11" t="s">
        <v>58</v>
      </c>
      <c r="L228" s="32" t="str">
        <f aca="false">IF(J228="VALID","ADJUDICATE","OPEN")</f>
        <v>OPEN</v>
      </c>
    </row>
    <row r="229" customFormat="false" ht="15" hidden="false" customHeight="false" outlineLevel="0" collapsed="false">
      <c r="A229" s="9" t="s">
        <v>1017</v>
      </c>
      <c r="B229" s="9" t="s">
        <v>1015</v>
      </c>
      <c r="C229" s="9" t="s">
        <v>395</v>
      </c>
      <c r="D229" s="9" t="s">
        <v>396</v>
      </c>
      <c r="E229" s="9" t="s">
        <v>787</v>
      </c>
      <c r="F229" s="9" t="s">
        <v>333</v>
      </c>
      <c r="G229" s="9" t="s">
        <v>744</v>
      </c>
      <c r="H229" s="9" t="s">
        <v>749</v>
      </c>
      <c r="I229" s="11" t="s">
        <v>58</v>
      </c>
      <c r="J229" s="11" t="s">
        <v>58</v>
      </c>
      <c r="K229" s="11" t="s">
        <v>58</v>
      </c>
      <c r="L229" s="32" t="str">
        <f aca="false">IF(J229="VALID","ADJUDICATE","OPEN")</f>
        <v>OPEN</v>
      </c>
    </row>
    <row r="230" customFormat="false" ht="15" hidden="false" customHeight="false" outlineLevel="0" collapsed="false">
      <c r="A230" s="9" t="s">
        <v>1018</v>
      </c>
      <c r="B230" s="9" t="s">
        <v>1015</v>
      </c>
      <c r="C230" s="9" t="s">
        <v>395</v>
      </c>
      <c r="D230" s="9" t="s">
        <v>396</v>
      </c>
      <c r="E230" s="9" t="s">
        <v>787</v>
      </c>
      <c r="F230" s="9" t="s">
        <v>333</v>
      </c>
      <c r="G230" s="9" t="s">
        <v>744</v>
      </c>
      <c r="H230" s="9" t="s">
        <v>751</v>
      </c>
      <c r="I230" s="11" t="s">
        <v>58</v>
      </c>
      <c r="J230" s="11" t="s">
        <v>58</v>
      </c>
      <c r="K230" s="11" t="s">
        <v>58</v>
      </c>
      <c r="L230" s="32" t="str">
        <f aca="false">IF(J230="VALID","ADJUDICATE","OPEN")</f>
        <v>OPEN</v>
      </c>
    </row>
    <row r="231" customFormat="false" ht="15" hidden="false" customHeight="false" outlineLevel="0" collapsed="false">
      <c r="A231" s="9" t="s">
        <v>1019</v>
      </c>
      <c r="B231" s="9" t="s">
        <v>1015</v>
      </c>
      <c r="C231" s="9" t="s">
        <v>395</v>
      </c>
      <c r="D231" s="9" t="s">
        <v>396</v>
      </c>
      <c r="E231" s="9" t="s">
        <v>787</v>
      </c>
      <c r="F231" s="9" t="s">
        <v>333</v>
      </c>
      <c r="G231" s="9" t="s">
        <v>744</v>
      </c>
      <c r="H231" s="9" t="s">
        <v>753</v>
      </c>
      <c r="I231" s="11" t="s">
        <v>58</v>
      </c>
      <c r="J231" s="11" t="s">
        <v>58</v>
      </c>
      <c r="K231" s="11" t="s">
        <v>58</v>
      </c>
      <c r="L231" s="32" t="str">
        <f aca="false">IF(J231="VALID","ADJUDICATE","OPEN")</f>
        <v>OPEN</v>
      </c>
    </row>
    <row r="232" customFormat="false" ht="15" hidden="false" customHeight="false" outlineLevel="0" collapsed="false">
      <c r="A232" s="9" t="s">
        <v>1020</v>
      </c>
      <c r="B232" s="9" t="s">
        <v>1021</v>
      </c>
      <c r="C232" s="9" t="s">
        <v>395</v>
      </c>
      <c r="D232" s="9" t="s">
        <v>396</v>
      </c>
      <c r="E232" s="9" t="s">
        <v>787</v>
      </c>
      <c r="F232" s="9" t="s">
        <v>333</v>
      </c>
      <c r="G232" s="9" t="s">
        <v>756</v>
      </c>
      <c r="H232" s="9" t="s">
        <v>745</v>
      </c>
      <c r="I232" s="11" t="s">
        <v>58</v>
      </c>
      <c r="J232" s="11" t="s">
        <v>58</v>
      </c>
      <c r="K232" s="11" t="s">
        <v>58</v>
      </c>
      <c r="L232" s="32" t="str">
        <f aca="false">IF(J232="VALID","ADJUDICATE","OPEN")</f>
        <v>OPEN</v>
      </c>
    </row>
    <row r="233" customFormat="false" ht="15" hidden="false" customHeight="false" outlineLevel="0" collapsed="false">
      <c r="A233" s="9" t="s">
        <v>1022</v>
      </c>
      <c r="B233" s="9" t="s">
        <v>1021</v>
      </c>
      <c r="C233" s="9" t="s">
        <v>395</v>
      </c>
      <c r="D233" s="9" t="s">
        <v>396</v>
      </c>
      <c r="E233" s="9" t="s">
        <v>787</v>
      </c>
      <c r="F233" s="9" t="s">
        <v>333</v>
      </c>
      <c r="G233" s="9" t="s">
        <v>756</v>
      </c>
      <c r="H233" s="9" t="s">
        <v>747</v>
      </c>
      <c r="I233" s="11" t="s">
        <v>58</v>
      </c>
      <c r="J233" s="11" t="s">
        <v>58</v>
      </c>
      <c r="K233" s="11" t="s">
        <v>58</v>
      </c>
      <c r="L233" s="32" t="str">
        <f aca="false">IF(J233="VALID","ADJUDICATE","OPEN")</f>
        <v>OPEN</v>
      </c>
    </row>
    <row r="234" customFormat="false" ht="15" hidden="false" customHeight="false" outlineLevel="0" collapsed="false">
      <c r="A234" s="9" t="s">
        <v>1023</v>
      </c>
      <c r="B234" s="9" t="s">
        <v>1021</v>
      </c>
      <c r="C234" s="9" t="s">
        <v>395</v>
      </c>
      <c r="D234" s="9" t="s">
        <v>396</v>
      </c>
      <c r="E234" s="9" t="s">
        <v>787</v>
      </c>
      <c r="F234" s="9" t="s">
        <v>333</v>
      </c>
      <c r="G234" s="9" t="s">
        <v>756</v>
      </c>
      <c r="H234" s="9" t="s">
        <v>749</v>
      </c>
      <c r="I234" s="11" t="s">
        <v>58</v>
      </c>
      <c r="J234" s="11" t="s">
        <v>58</v>
      </c>
      <c r="K234" s="11" t="s">
        <v>58</v>
      </c>
      <c r="L234" s="32" t="str">
        <f aca="false">IF(J234="VALID","ADJUDICATE","OPEN")</f>
        <v>OPEN</v>
      </c>
    </row>
    <row r="235" customFormat="false" ht="15" hidden="false" customHeight="false" outlineLevel="0" collapsed="false">
      <c r="A235" s="9" t="s">
        <v>1024</v>
      </c>
      <c r="B235" s="9" t="s">
        <v>1021</v>
      </c>
      <c r="C235" s="9" t="s">
        <v>395</v>
      </c>
      <c r="D235" s="9" t="s">
        <v>396</v>
      </c>
      <c r="E235" s="9" t="s">
        <v>787</v>
      </c>
      <c r="F235" s="9" t="s">
        <v>333</v>
      </c>
      <c r="G235" s="9" t="s">
        <v>756</v>
      </c>
      <c r="H235" s="9" t="s">
        <v>751</v>
      </c>
      <c r="I235" s="11" t="s">
        <v>58</v>
      </c>
      <c r="J235" s="11" t="s">
        <v>58</v>
      </c>
      <c r="K235" s="11" t="s">
        <v>58</v>
      </c>
      <c r="L235" s="32" t="str">
        <f aca="false">IF(J235="VALID","ADJUDICATE","OPEN")</f>
        <v>OPEN</v>
      </c>
    </row>
    <row r="236" customFormat="false" ht="15" hidden="false" customHeight="false" outlineLevel="0" collapsed="false">
      <c r="A236" s="9" t="s">
        <v>1025</v>
      </c>
      <c r="B236" s="9" t="s">
        <v>1021</v>
      </c>
      <c r="C236" s="9" t="s">
        <v>395</v>
      </c>
      <c r="D236" s="9" t="s">
        <v>396</v>
      </c>
      <c r="E236" s="9" t="s">
        <v>787</v>
      </c>
      <c r="F236" s="9" t="s">
        <v>333</v>
      </c>
      <c r="G236" s="9" t="s">
        <v>756</v>
      </c>
      <c r="H236" s="9" t="s">
        <v>753</v>
      </c>
      <c r="I236" s="11" t="s">
        <v>58</v>
      </c>
      <c r="J236" s="11" t="s">
        <v>58</v>
      </c>
      <c r="K236" s="11" t="s">
        <v>58</v>
      </c>
      <c r="L236" s="32" t="str">
        <f aca="false">IF(J236="VALID","ADJUDICATE","OPEN")</f>
        <v>OPEN</v>
      </c>
    </row>
    <row r="237" customFormat="false" ht="15" hidden="false" customHeight="false" outlineLevel="0" collapsed="false">
      <c r="A237" s="9" t="s">
        <v>1026</v>
      </c>
      <c r="B237" s="9" t="s">
        <v>1027</v>
      </c>
      <c r="C237" s="9" t="s">
        <v>395</v>
      </c>
      <c r="D237" s="9" t="s">
        <v>396</v>
      </c>
      <c r="E237" s="9" t="s">
        <v>787</v>
      </c>
      <c r="F237" s="9" t="s">
        <v>341</v>
      </c>
      <c r="G237" s="9" t="s">
        <v>744</v>
      </c>
      <c r="H237" s="9" t="s">
        <v>745</v>
      </c>
      <c r="I237" s="11" t="s">
        <v>58</v>
      </c>
      <c r="J237" s="11" t="s">
        <v>58</v>
      </c>
      <c r="K237" s="11" t="s">
        <v>58</v>
      </c>
      <c r="L237" s="32" t="str">
        <f aca="false">IF(J237="VALID","ADJUDICATE","OPEN")</f>
        <v>OPEN</v>
      </c>
    </row>
    <row r="238" customFormat="false" ht="15" hidden="false" customHeight="false" outlineLevel="0" collapsed="false">
      <c r="A238" s="9" t="s">
        <v>1028</v>
      </c>
      <c r="B238" s="9" t="s">
        <v>1027</v>
      </c>
      <c r="C238" s="9" t="s">
        <v>395</v>
      </c>
      <c r="D238" s="9" t="s">
        <v>396</v>
      </c>
      <c r="E238" s="9" t="s">
        <v>787</v>
      </c>
      <c r="F238" s="9" t="s">
        <v>341</v>
      </c>
      <c r="G238" s="9" t="s">
        <v>744</v>
      </c>
      <c r="H238" s="9" t="s">
        <v>747</v>
      </c>
      <c r="I238" s="11" t="s">
        <v>58</v>
      </c>
      <c r="J238" s="11" t="s">
        <v>58</v>
      </c>
      <c r="K238" s="11" t="s">
        <v>58</v>
      </c>
      <c r="L238" s="32" t="str">
        <f aca="false">IF(J238="VALID","ADJUDICATE","OPEN")</f>
        <v>OPEN</v>
      </c>
    </row>
    <row r="239" customFormat="false" ht="15" hidden="false" customHeight="false" outlineLevel="0" collapsed="false">
      <c r="A239" s="9" t="s">
        <v>1029</v>
      </c>
      <c r="B239" s="9" t="s">
        <v>1027</v>
      </c>
      <c r="C239" s="9" t="s">
        <v>395</v>
      </c>
      <c r="D239" s="9" t="s">
        <v>396</v>
      </c>
      <c r="E239" s="9" t="s">
        <v>787</v>
      </c>
      <c r="F239" s="9" t="s">
        <v>341</v>
      </c>
      <c r="G239" s="9" t="s">
        <v>744</v>
      </c>
      <c r="H239" s="9" t="s">
        <v>749</v>
      </c>
      <c r="I239" s="11" t="s">
        <v>58</v>
      </c>
      <c r="J239" s="11" t="s">
        <v>58</v>
      </c>
      <c r="K239" s="11" t="s">
        <v>58</v>
      </c>
      <c r="L239" s="32" t="str">
        <f aca="false">IF(J239="VALID","ADJUDICATE","OPEN")</f>
        <v>OPEN</v>
      </c>
    </row>
    <row r="240" customFormat="false" ht="15" hidden="false" customHeight="false" outlineLevel="0" collapsed="false">
      <c r="A240" s="9" t="s">
        <v>1030</v>
      </c>
      <c r="B240" s="9" t="s">
        <v>1027</v>
      </c>
      <c r="C240" s="9" t="s">
        <v>395</v>
      </c>
      <c r="D240" s="9" t="s">
        <v>396</v>
      </c>
      <c r="E240" s="9" t="s">
        <v>787</v>
      </c>
      <c r="F240" s="9" t="s">
        <v>341</v>
      </c>
      <c r="G240" s="9" t="s">
        <v>744</v>
      </c>
      <c r="H240" s="9" t="s">
        <v>751</v>
      </c>
      <c r="I240" s="11" t="s">
        <v>58</v>
      </c>
      <c r="J240" s="11" t="s">
        <v>58</v>
      </c>
      <c r="K240" s="11" t="s">
        <v>58</v>
      </c>
      <c r="L240" s="32" t="str">
        <f aca="false">IF(J240="VALID","ADJUDICATE","OPEN")</f>
        <v>OPEN</v>
      </c>
    </row>
    <row r="241" customFormat="false" ht="15" hidden="false" customHeight="false" outlineLevel="0" collapsed="false">
      <c r="A241" s="9" t="s">
        <v>1031</v>
      </c>
      <c r="B241" s="9" t="s">
        <v>1027</v>
      </c>
      <c r="C241" s="9" t="s">
        <v>395</v>
      </c>
      <c r="D241" s="9" t="s">
        <v>396</v>
      </c>
      <c r="E241" s="9" t="s">
        <v>787</v>
      </c>
      <c r="F241" s="9" t="s">
        <v>341</v>
      </c>
      <c r="G241" s="9" t="s">
        <v>744</v>
      </c>
      <c r="H241" s="9" t="s">
        <v>753</v>
      </c>
      <c r="I241" s="11" t="s">
        <v>58</v>
      </c>
      <c r="J241" s="11" t="s">
        <v>58</v>
      </c>
      <c r="K241" s="11" t="s">
        <v>58</v>
      </c>
      <c r="L241" s="32" t="str">
        <f aca="false">IF(J241="VALID","ADJUDICATE","OPEN")</f>
        <v>OPEN</v>
      </c>
    </row>
    <row r="242" customFormat="false" ht="15" hidden="false" customHeight="false" outlineLevel="0" collapsed="false">
      <c r="A242" s="9" t="s">
        <v>1032</v>
      </c>
      <c r="B242" s="9" t="s">
        <v>1033</v>
      </c>
      <c r="C242" s="9" t="s">
        <v>395</v>
      </c>
      <c r="D242" s="9" t="s">
        <v>396</v>
      </c>
      <c r="E242" s="9" t="s">
        <v>787</v>
      </c>
      <c r="F242" s="9" t="s">
        <v>341</v>
      </c>
      <c r="G242" s="9" t="s">
        <v>756</v>
      </c>
      <c r="H242" s="9" t="s">
        <v>745</v>
      </c>
      <c r="I242" s="11" t="s">
        <v>58</v>
      </c>
      <c r="J242" s="11" t="s">
        <v>58</v>
      </c>
      <c r="K242" s="11" t="s">
        <v>58</v>
      </c>
      <c r="L242" s="32" t="str">
        <f aca="false">IF(J242="VALID","ADJUDICATE","OPEN")</f>
        <v>OPEN</v>
      </c>
    </row>
    <row r="243" customFormat="false" ht="15" hidden="false" customHeight="false" outlineLevel="0" collapsed="false">
      <c r="A243" s="9" t="s">
        <v>1034</v>
      </c>
      <c r="B243" s="9" t="s">
        <v>1033</v>
      </c>
      <c r="C243" s="9" t="s">
        <v>395</v>
      </c>
      <c r="D243" s="9" t="s">
        <v>396</v>
      </c>
      <c r="E243" s="9" t="s">
        <v>787</v>
      </c>
      <c r="F243" s="9" t="s">
        <v>341</v>
      </c>
      <c r="G243" s="9" t="s">
        <v>756</v>
      </c>
      <c r="H243" s="9" t="s">
        <v>747</v>
      </c>
      <c r="I243" s="11" t="s">
        <v>58</v>
      </c>
      <c r="J243" s="11" t="s">
        <v>58</v>
      </c>
      <c r="K243" s="11" t="s">
        <v>58</v>
      </c>
      <c r="L243" s="32" t="str">
        <f aca="false">IF(J243="VALID","ADJUDICATE","OPEN")</f>
        <v>OPEN</v>
      </c>
    </row>
    <row r="244" customFormat="false" ht="15" hidden="false" customHeight="false" outlineLevel="0" collapsed="false">
      <c r="A244" s="9" t="s">
        <v>1035</v>
      </c>
      <c r="B244" s="9" t="s">
        <v>1033</v>
      </c>
      <c r="C244" s="9" t="s">
        <v>395</v>
      </c>
      <c r="D244" s="9" t="s">
        <v>396</v>
      </c>
      <c r="E244" s="9" t="s">
        <v>787</v>
      </c>
      <c r="F244" s="9" t="s">
        <v>341</v>
      </c>
      <c r="G244" s="9" t="s">
        <v>756</v>
      </c>
      <c r="H244" s="9" t="s">
        <v>749</v>
      </c>
      <c r="I244" s="11" t="s">
        <v>58</v>
      </c>
      <c r="J244" s="11" t="s">
        <v>58</v>
      </c>
      <c r="K244" s="11" t="s">
        <v>58</v>
      </c>
      <c r="L244" s="32" t="str">
        <f aca="false">IF(J244="VALID","ADJUDICATE","OPEN")</f>
        <v>OPEN</v>
      </c>
    </row>
    <row r="245" customFormat="false" ht="15" hidden="false" customHeight="false" outlineLevel="0" collapsed="false">
      <c r="A245" s="9" t="s">
        <v>1036</v>
      </c>
      <c r="B245" s="9" t="s">
        <v>1033</v>
      </c>
      <c r="C245" s="9" t="s">
        <v>395</v>
      </c>
      <c r="D245" s="9" t="s">
        <v>396</v>
      </c>
      <c r="E245" s="9" t="s">
        <v>787</v>
      </c>
      <c r="F245" s="9" t="s">
        <v>341</v>
      </c>
      <c r="G245" s="9" t="s">
        <v>756</v>
      </c>
      <c r="H245" s="9" t="s">
        <v>751</v>
      </c>
      <c r="I245" s="11" t="s">
        <v>58</v>
      </c>
      <c r="J245" s="11" t="s">
        <v>58</v>
      </c>
      <c r="K245" s="11" t="s">
        <v>58</v>
      </c>
      <c r="L245" s="32" t="str">
        <f aca="false">IF(J245="VALID","ADJUDICATE","OPEN")</f>
        <v>OPEN</v>
      </c>
    </row>
    <row r="246" customFormat="false" ht="15" hidden="false" customHeight="false" outlineLevel="0" collapsed="false">
      <c r="A246" s="9" t="s">
        <v>1037</v>
      </c>
      <c r="B246" s="9" t="s">
        <v>1033</v>
      </c>
      <c r="C246" s="9" t="s">
        <v>395</v>
      </c>
      <c r="D246" s="9" t="s">
        <v>396</v>
      </c>
      <c r="E246" s="9" t="s">
        <v>787</v>
      </c>
      <c r="F246" s="9" t="s">
        <v>341</v>
      </c>
      <c r="G246" s="9" t="s">
        <v>756</v>
      </c>
      <c r="H246" s="9" t="s">
        <v>753</v>
      </c>
      <c r="I246" s="11" t="s">
        <v>58</v>
      </c>
      <c r="J246" s="11" t="s">
        <v>58</v>
      </c>
      <c r="K246" s="11" t="s">
        <v>58</v>
      </c>
      <c r="L246" s="32" t="str">
        <f aca="false">IF(J246="VALID","ADJUDICATE","OPEN")</f>
        <v>OPEN</v>
      </c>
    </row>
    <row r="247" customFormat="false" ht="15" hidden="false" customHeight="false" outlineLevel="0" collapsed="false">
      <c r="A247" s="9" t="s">
        <v>1038</v>
      </c>
      <c r="B247" s="9" t="s">
        <v>1039</v>
      </c>
      <c r="C247" s="9" t="s">
        <v>418</v>
      </c>
      <c r="D247" s="9" t="s">
        <v>419</v>
      </c>
      <c r="E247" s="9" t="s">
        <v>743</v>
      </c>
      <c r="F247" s="9" t="s">
        <v>322</v>
      </c>
      <c r="G247" s="9" t="s">
        <v>744</v>
      </c>
      <c r="H247" s="9" t="s">
        <v>745</v>
      </c>
      <c r="I247" s="11" t="s">
        <v>58</v>
      </c>
      <c r="J247" s="11" t="s">
        <v>58</v>
      </c>
      <c r="K247" s="11" t="s">
        <v>58</v>
      </c>
      <c r="L247" s="32" t="str">
        <f aca="false">IF(J247="VALID","ADJUDICATE","OPEN")</f>
        <v>OPEN</v>
      </c>
    </row>
    <row r="248" customFormat="false" ht="15" hidden="false" customHeight="false" outlineLevel="0" collapsed="false">
      <c r="A248" s="9" t="s">
        <v>1040</v>
      </c>
      <c r="B248" s="9" t="s">
        <v>1039</v>
      </c>
      <c r="C248" s="9" t="s">
        <v>418</v>
      </c>
      <c r="D248" s="9" t="s">
        <v>419</v>
      </c>
      <c r="E248" s="9" t="s">
        <v>743</v>
      </c>
      <c r="F248" s="9" t="s">
        <v>322</v>
      </c>
      <c r="G248" s="9" t="s">
        <v>744</v>
      </c>
      <c r="H248" s="9" t="s">
        <v>747</v>
      </c>
      <c r="I248" s="11" t="s">
        <v>58</v>
      </c>
      <c r="J248" s="11" t="s">
        <v>58</v>
      </c>
      <c r="K248" s="11" t="s">
        <v>58</v>
      </c>
      <c r="L248" s="32" t="str">
        <f aca="false">IF(J248="VALID","ADJUDICATE","OPEN")</f>
        <v>OPEN</v>
      </c>
    </row>
    <row r="249" customFormat="false" ht="15" hidden="false" customHeight="false" outlineLevel="0" collapsed="false">
      <c r="A249" s="9" t="s">
        <v>1041</v>
      </c>
      <c r="B249" s="9" t="s">
        <v>1039</v>
      </c>
      <c r="C249" s="9" t="s">
        <v>418</v>
      </c>
      <c r="D249" s="9" t="s">
        <v>419</v>
      </c>
      <c r="E249" s="9" t="s">
        <v>743</v>
      </c>
      <c r="F249" s="9" t="s">
        <v>322</v>
      </c>
      <c r="G249" s="9" t="s">
        <v>744</v>
      </c>
      <c r="H249" s="9" t="s">
        <v>749</v>
      </c>
      <c r="I249" s="11" t="s">
        <v>58</v>
      </c>
      <c r="J249" s="11" t="s">
        <v>58</v>
      </c>
      <c r="K249" s="11" t="s">
        <v>58</v>
      </c>
      <c r="L249" s="32" t="str">
        <f aca="false">IF(J249="VALID","ADJUDICATE","OPEN")</f>
        <v>OPEN</v>
      </c>
    </row>
    <row r="250" customFormat="false" ht="15" hidden="false" customHeight="false" outlineLevel="0" collapsed="false">
      <c r="A250" s="9" t="s">
        <v>1042</v>
      </c>
      <c r="B250" s="9" t="s">
        <v>1039</v>
      </c>
      <c r="C250" s="9" t="s">
        <v>418</v>
      </c>
      <c r="D250" s="9" t="s">
        <v>419</v>
      </c>
      <c r="E250" s="9" t="s">
        <v>743</v>
      </c>
      <c r="F250" s="9" t="s">
        <v>322</v>
      </c>
      <c r="G250" s="9" t="s">
        <v>744</v>
      </c>
      <c r="H250" s="9" t="s">
        <v>751</v>
      </c>
      <c r="I250" s="11" t="s">
        <v>58</v>
      </c>
      <c r="J250" s="11" t="s">
        <v>58</v>
      </c>
      <c r="K250" s="11" t="s">
        <v>58</v>
      </c>
      <c r="L250" s="32" t="str">
        <f aca="false">IF(J250="VALID","ADJUDICATE","OPEN")</f>
        <v>OPEN</v>
      </c>
    </row>
    <row r="251" customFormat="false" ht="15" hidden="false" customHeight="false" outlineLevel="0" collapsed="false">
      <c r="A251" s="9" t="s">
        <v>1043</v>
      </c>
      <c r="B251" s="9" t="s">
        <v>1039</v>
      </c>
      <c r="C251" s="9" t="s">
        <v>418</v>
      </c>
      <c r="D251" s="9" t="s">
        <v>419</v>
      </c>
      <c r="E251" s="9" t="s">
        <v>743</v>
      </c>
      <c r="F251" s="9" t="s">
        <v>322</v>
      </c>
      <c r="G251" s="9" t="s">
        <v>744</v>
      </c>
      <c r="H251" s="9" t="s">
        <v>753</v>
      </c>
      <c r="I251" s="11" t="s">
        <v>58</v>
      </c>
      <c r="J251" s="11" t="s">
        <v>58</v>
      </c>
      <c r="K251" s="11" t="s">
        <v>58</v>
      </c>
      <c r="L251" s="32" t="str">
        <f aca="false">IF(J251="VALID","ADJUDICATE","OPEN")</f>
        <v>OPEN</v>
      </c>
    </row>
    <row r="252" customFormat="false" ht="15" hidden="false" customHeight="false" outlineLevel="0" collapsed="false">
      <c r="A252" s="9" t="s">
        <v>1044</v>
      </c>
      <c r="B252" s="9" t="s">
        <v>1045</v>
      </c>
      <c r="C252" s="9" t="s">
        <v>418</v>
      </c>
      <c r="D252" s="9" t="s">
        <v>419</v>
      </c>
      <c r="E252" s="9" t="s">
        <v>743</v>
      </c>
      <c r="F252" s="9" t="s">
        <v>322</v>
      </c>
      <c r="G252" s="9" t="s">
        <v>756</v>
      </c>
      <c r="H252" s="9" t="s">
        <v>745</v>
      </c>
      <c r="I252" s="11" t="s">
        <v>58</v>
      </c>
      <c r="J252" s="11" t="s">
        <v>58</v>
      </c>
      <c r="K252" s="11" t="s">
        <v>58</v>
      </c>
      <c r="L252" s="32" t="str">
        <f aca="false">IF(J252="VALID","ADJUDICATE","OPEN")</f>
        <v>OPEN</v>
      </c>
    </row>
    <row r="253" customFormat="false" ht="15" hidden="false" customHeight="false" outlineLevel="0" collapsed="false">
      <c r="A253" s="9" t="s">
        <v>1046</v>
      </c>
      <c r="B253" s="9" t="s">
        <v>1045</v>
      </c>
      <c r="C253" s="9" t="s">
        <v>418</v>
      </c>
      <c r="D253" s="9" t="s">
        <v>419</v>
      </c>
      <c r="E253" s="9" t="s">
        <v>743</v>
      </c>
      <c r="F253" s="9" t="s">
        <v>322</v>
      </c>
      <c r="G253" s="9" t="s">
        <v>756</v>
      </c>
      <c r="H253" s="9" t="s">
        <v>747</v>
      </c>
      <c r="I253" s="11" t="s">
        <v>58</v>
      </c>
      <c r="J253" s="11" t="s">
        <v>58</v>
      </c>
      <c r="K253" s="11" t="s">
        <v>58</v>
      </c>
      <c r="L253" s="32" t="str">
        <f aca="false">IF(J253="VALID","ADJUDICATE","OPEN")</f>
        <v>OPEN</v>
      </c>
    </row>
    <row r="254" customFormat="false" ht="15" hidden="false" customHeight="false" outlineLevel="0" collapsed="false">
      <c r="A254" s="9" t="s">
        <v>1047</v>
      </c>
      <c r="B254" s="9" t="s">
        <v>1045</v>
      </c>
      <c r="C254" s="9" t="s">
        <v>418</v>
      </c>
      <c r="D254" s="9" t="s">
        <v>419</v>
      </c>
      <c r="E254" s="9" t="s">
        <v>743</v>
      </c>
      <c r="F254" s="9" t="s">
        <v>322</v>
      </c>
      <c r="G254" s="9" t="s">
        <v>756</v>
      </c>
      <c r="H254" s="9" t="s">
        <v>749</v>
      </c>
      <c r="I254" s="11" t="s">
        <v>58</v>
      </c>
      <c r="J254" s="11" t="s">
        <v>58</v>
      </c>
      <c r="K254" s="11" t="s">
        <v>58</v>
      </c>
      <c r="L254" s="32" t="str">
        <f aca="false">IF(J254="VALID","ADJUDICATE","OPEN")</f>
        <v>OPEN</v>
      </c>
    </row>
    <row r="255" customFormat="false" ht="15" hidden="false" customHeight="false" outlineLevel="0" collapsed="false">
      <c r="A255" s="9" t="s">
        <v>1048</v>
      </c>
      <c r="B255" s="9" t="s">
        <v>1045</v>
      </c>
      <c r="C255" s="9" t="s">
        <v>418</v>
      </c>
      <c r="D255" s="9" t="s">
        <v>419</v>
      </c>
      <c r="E255" s="9" t="s">
        <v>743</v>
      </c>
      <c r="F255" s="9" t="s">
        <v>322</v>
      </c>
      <c r="G255" s="9" t="s">
        <v>756</v>
      </c>
      <c r="H255" s="9" t="s">
        <v>751</v>
      </c>
      <c r="I255" s="11" t="s">
        <v>58</v>
      </c>
      <c r="J255" s="11" t="s">
        <v>58</v>
      </c>
      <c r="K255" s="11" t="s">
        <v>58</v>
      </c>
      <c r="L255" s="32" t="str">
        <f aca="false">IF(J255="VALID","ADJUDICATE","OPEN")</f>
        <v>OPEN</v>
      </c>
    </row>
    <row r="256" customFormat="false" ht="15" hidden="false" customHeight="false" outlineLevel="0" collapsed="false">
      <c r="A256" s="9" t="s">
        <v>1049</v>
      </c>
      <c r="B256" s="9" t="s">
        <v>1045</v>
      </c>
      <c r="C256" s="9" t="s">
        <v>418</v>
      </c>
      <c r="D256" s="9" t="s">
        <v>419</v>
      </c>
      <c r="E256" s="9" t="s">
        <v>743</v>
      </c>
      <c r="F256" s="9" t="s">
        <v>322</v>
      </c>
      <c r="G256" s="9" t="s">
        <v>756</v>
      </c>
      <c r="H256" s="9" t="s">
        <v>753</v>
      </c>
      <c r="I256" s="11" t="s">
        <v>58</v>
      </c>
      <c r="J256" s="11" t="s">
        <v>58</v>
      </c>
      <c r="K256" s="11" t="s">
        <v>58</v>
      </c>
      <c r="L256" s="32" t="str">
        <f aca="false">IF(J256="VALID","ADJUDICATE","OPEN")</f>
        <v>OPEN</v>
      </c>
    </row>
    <row r="257" customFormat="false" ht="15" hidden="false" customHeight="false" outlineLevel="0" collapsed="false">
      <c r="A257" s="9" t="s">
        <v>1050</v>
      </c>
      <c r="B257" s="9" t="s">
        <v>1051</v>
      </c>
      <c r="C257" s="9" t="s">
        <v>418</v>
      </c>
      <c r="D257" s="9" t="s">
        <v>419</v>
      </c>
      <c r="E257" s="9" t="s">
        <v>743</v>
      </c>
      <c r="F257" s="9" t="s">
        <v>333</v>
      </c>
      <c r="G257" s="9" t="s">
        <v>744</v>
      </c>
      <c r="H257" s="9" t="s">
        <v>745</v>
      </c>
      <c r="I257" s="11" t="s">
        <v>58</v>
      </c>
      <c r="J257" s="11" t="s">
        <v>58</v>
      </c>
      <c r="K257" s="11" t="s">
        <v>58</v>
      </c>
      <c r="L257" s="32" t="str">
        <f aca="false">IF(J257="VALID","ADJUDICATE","OPEN")</f>
        <v>OPEN</v>
      </c>
    </row>
    <row r="258" customFormat="false" ht="15" hidden="false" customHeight="false" outlineLevel="0" collapsed="false">
      <c r="A258" s="9" t="s">
        <v>1052</v>
      </c>
      <c r="B258" s="9" t="s">
        <v>1051</v>
      </c>
      <c r="C258" s="9" t="s">
        <v>418</v>
      </c>
      <c r="D258" s="9" t="s">
        <v>419</v>
      </c>
      <c r="E258" s="9" t="s">
        <v>743</v>
      </c>
      <c r="F258" s="9" t="s">
        <v>333</v>
      </c>
      <c r="G258" s="9" t="s">
        <v>744</v>
      </c>
      <c r="H258" s="9" t="s">
        <v>747</v>
      </c>
      <c r="I258" s="11" t="s">
        <v>58</v>
      </c>
      <c r="J258" s="11" t="s">
        <v>58</v>
      </c>
      <c r="K258" s="11" t="s">
        <v>58</v>
      </c>
      <c r="L258" s="32" t="str">
        <f aca="false">IF(J258="VALID","ADJUDICATE","OPEN")</f>
        <v>OPEN</v>
      </c>
    </row>
    <row r="259" customFormat="false" ht="15" hidden="false" customHeight="false" outlineLevel="0" collapsed="false">
      <c r="A259" s="9" t="s">
        <v>1053</v>
      </c>
      <c r="B259" s="9" t="s">
        <v>1051</v>
      </c>
      <c r="C259" s="9" t="s">
        <v>418</v>
      </c>
      <c r="D259" s="9" t="s">
        <v>419</v>
      </c>
      <c r="E259" s="9" t="s">
        <v>743</v>
      </c>
      <c r="F259" s="9" t="s">
        <v>333</v>
      </c>
      <c r="G259" s="9" t="s">
        <v>744</v>
      </c>
      <c r="H259" s="9" t="s">
        <v>749</v>
      </c>
      <c r="I259" s="11" t="s">
        <v>58</v>
      </c>
      <c r="J259" s="11" t="s">
        <v>58</v>
      </c>
      <c r="K259" s="11" t="s">
        <v>58</v>
      </c>
      <c r="L259" s="32" t="str">
        <f aca="false">IF(J259="VALID","ADJUDICATE","OPEN")</f>
        <v>OPEN</v>
      </c>
    </row>
    <row r="260" customFormat="false" ht="15" hidden="false" customHeight="false" outlineLevel="0" collapsed="false">
      <c r="A260" s="9" t="s">
        <v>1054</v>
      </c>
      <c r="B260" s="9" t="s">
        <v>1051</v>
      </c>
      <c r="C260" s="9" t="s">
        <v>418</v>
      </c>
      <c r="D260" s="9" t="s">
        <v>419</v>
      </c>
      <c r="E260" s="9" t="s">
        <v>743</v>
      </c>
      <c r="F260" s="9" t="s">
        <v>333</v>
      </c>
      <c r="G260" s="9" t="s">
        <v>744</v>
      </c>
      <c r="H260" s="9" t="s">
        <v>751</v>
      </c>
      <c r="I260" s="11" t="s">
        <v>58</v>
      </c>
      <c r="J260" s="11" t="s">
        <v>58</v>
      </c>
      <c r="K260" s="11" t="s">
        <v>58</v>
      </c>
      <c r="L260" s="32" t="str">
        <f aca="false">IF(J260="VALID","ADJUDICATE","OPEN")</f>
        <v>OPEN</v>
      </c>
    </row>
    <row r="261" customFormat="false" ht="15" hidden="false" customHeight="false" outlineLevel="0" collapsed="false">
      <c r="A261" s="9" t="s">
        <v>1055</v>
      </c>
      <c r="B261" s="9" t="s">
        <v>1051</v>
      </c>
      <c r="C261" s="9" t="s">
        <v>418</v>
      </c>
      <c r="D261" s="9" t="s">
        <v>419</v>
      </c>
      <c r="E261" s="9" t="s">
        <v>743</v>
      </c>
      <c r="F261" s="9" t="s">
        <v>333</v>
      </c>
      <c r="G261" s="9" t="s">
        <v>744</v>
      </c>
      <c r="H261" s="9" t="s">
        <v>753</v>
      </c>
      <c r="I261" s="11" t="s">
        <v>58</v>
      </c>
      <c r="J261" s="11" t="s">
        <v>58</v>
      </c>
      <c r="K261" s="11" t="s">
        <v>58</v>
      </c>
      <c r="L261" s="32" t="str">
        <f aca="false">IF(J261="VALID","ADJUDICATE","OPEN")</f>
        <v>OPEN</v>
      </c>
    </row>
    <row r="262" customFormat="false" ht="15" hidden="false" customHeight="false" outlineLevel="0" collapsed="false">
      <c r="A262" s="9" t="s">
        <v>1056</v>
      </c>
      <c r="B262" s="9" t="s">
        <v>1057</v>
      </c>
      <c r="C262" s="9" t="s">
        <v>418</v>
      </c>
      <c r="D262" s="9" t="s">
        <v>419</v>
      </c>
      <c r="E262" s="9" t="s">
        <v>743</v>
      </c>
      <c r="F262" s="9" t="s">
        <v>333</v>
      </c>
      <c r="G262" s="9" t="s">
        <v>756</v>
      </c>
      <c r="H262" s="9" t="s">
        <v>745</v>
      </c>
      <c r="I262" s="11" t="s">
        <v>58</v>
      </c>
      <c r="J262" s="11" t="s">
        <v>58</v>
      </c>
      <c r="K262" s="11" t="s">
        <v>58</v>
      </c>
      <c r="L262" s="32" t="str">
        <f aca="false">IF(J262="VALID","ADJUDICATE","OPEN")</f>
        <v>OPEN</v>
      </c>
    </row>
    <row r="263" customFormat="false" ht="15" hidden="false" customHeight="false" outlineLevel="0" collapsed="false">
      <c r="A263" s="9" t="s">
        <v>1058</v>
      </c>
      <c r="B263" s="9" t="s">
        <v>1057</v>
      </c>
      <c r="C263" s="9" t="s">
        <v>418</v>
      </c>
      <c r="D263" s="9" t="s">
        <v>419</v>
      </c>
      <c r="E263" s="9" t="s">
        <v>743</v>
      </c>
      <c r="F263" s="9" t="s">
        <v>333</v>
      </c>
      <c r="G263" s="9" t="s">
        <v>756</v>
      </c>
      <c r="H263" s="9" t="s">
        <v>747</v>
      </c>
      <c r="I263" s="11" t="s">
        <v>58</v>
      </c>
      <c r="J263" s="11" t="s">
        <v>58</v>
      </c>
      <c r="K263" s="11" t="s">
        <v>58</v>
      </c>
      <c r="L263" s="32" t="str">
        <f aca="false">IF(J263="VALID","ADJUDICATE","OPEN")</f>
        <v>OPEN</v>
      </c>
    </row>
    <row r="264" customFormat="false" ht="15" hidden="false" customHeight="false" outlineLevel="0" collapsed="false">
      <c r="A264" s="9" t="s">
        <v>1059</v>
      </c>
      <c r="B264" s="9" t="s">
        <v>1057</v>
      </c>
      <c r="C264" s="9" t="s">
        <v>418</v>
      </c>
      <c r="D264" s="9" t="s">
        <v>419</v>
      </c>
      <c r="E264" s="9" t="s">
        <v>743</v>
      </c>
      <c r="F264" s="9" t="s">
        <v>333</v>
      </c>
      <c r="G264" s="9" t="s">
        <v>756</v>
      </c>
      <c r="H264" s="9" t="s">
        <v>749</v>
      </c>
      <c r="I264" s="11" t="s">
        <v>58</v>
      </c>
      <c r="J264" s="11" t="s">
        <v>58</v>
      </c>
      <c r="K264" s="11" t="s">
        <v>58</v>
      </c>
      <c r="L264" s="32" t="str">
        <f aca="false">IF(J264="VALID","ADJUDICATE","OPEN")</f>
        <v>OPEN</v>
      </c>
    </row>
    <row r="265" customFormat="false" ht="15" hidden="false" customHeight="false" outlineLevel="0" collapsed="false">
      <c r="A265" s="9" t="s">
        <v>1060</v>
      </c>
      <c r="B265" s="9" t="s">
        <v>1057</v>
      </c>
      <c r="C265" s="9" t="s">
        <v>418</v>
      </c>
      <c r="D265" s="9" t="s">
        <v>419</v>
      </c>
      <c r="E265" s="9" t="s">
        <v>743</v>
      </c>
      <c r="F265" s="9" t="s">
        <v>333</v>
      </c>
      <c r="G265" s="9" t="s">
        <v>756</v>
      </c>
      <c r="H265" s="9" t="s">
        <v>751</v>
      </c>
      <c r="I265" s="11" t="s">
        <v>58</v>
      </c>
      <c r="J265" s="11" t="s">
        <v>58</v>
      </c>
      <c r="K265" s="11" t="s">
        <v>58</v>
      </c>
      <c r="L265" s="32" t="str">
        <f aca="false">IF(J265="VALID","ADJUDICATE","OPEN")</f>
        <v>OPEN</v>
      </c>
    </row>
    <row r="266" customFormat="false" ht="15" hidden="false" customHeight="false" outlineLevel="0" collapsed="false">
      <c r="A266" s="9" t="s">
        <v>1061</v>
      </c>
      <c r="B266" s="9" t="s">
        <v>1057</v>
      </c>
      <c r="C266" s="9" t="s">
        <v>418</v>
      </c>
      <c r="D266" s="9" t="s">
        <v>419</v>
      </c>
      <c r="E266" s="9" t="s">
        <v>743</v>
      </c>
      <c r="F266" s="9" t="s">
        <v>333</v>
      </c>
      <c r="G266" s="9" t="s">
        <v>756</v>
      </c>
      <c r="H266" s="9" t="s">
        <v>753</v>
      </c>
      <c r="I266" s="11" t="s">
        <v>58</v>
      </c>
      <c r="J266" s="11" t="s">
        <v>58</v>
      </c>
      <c r="K266" s="11" t="s">
        <v>58</v>
      </c>
      <c r="L266" s="32" t="str">
        <f aca="false">IF(J266="VALID","ADJUDICATE","OPEN")</f>
        <v>OPEN</v>
      </c>
    </row>
    <row r="267" customFormat="false" ht="15" hidden="false" customHeight="false" outlineLevel="0" collapsed="false">
      <c r="A267" s="9" t="s">
        <v>1062</v>
      </c>
      <c r="B267" s="9" t="s">
        <v>1063</v>
      </c>
      <c r="C267" s="9" t="s">
        <v>418</v>
      </c>
      <c r="D267" s="9" t="s">
        <v>419</v>
      </c>
      <c r="E267" s="9" t="s">
        <v>743</v>
      </c>
      <c r="F267" s="9" t="s">
        <v>341</v>
      </c>
      <c r="G267" s="9" t="s">
        <v>744</v>
      </c>
      <c r="H267" s="9" t="s">
        <v>745</v>
      </c>
      <c r="I267" s="11" t="s">
        <v>58</v>
      </c>
      <c r="J267" s="11" t="s">
        <v>58</v>
      </c>
      <c r="K267" s="11" t="s">
        <v>58</v>
      </c>
      <c r="L267" s="32" t="str">
        <f aca="false">IF(J267="VALID","ADJUDICATE","OPEN")</f>
        <v>OPEN</v>
      </c>
    </row>
    <row r="268" customFormat="false" ht="15" hidden="false" customHeight="false" outlineLevel="0" collapsed="false">
      <c r="A268" s="9" t="s">
        <v>1064</v>
      </c>
      <c r="B268" s="9" t="s">
        <v>1063</v>
      </c>
      <c r="C268" s="9" t="s">
        <v>418</v>
      </c>
      <c r="D268" s="9" t="s">
        <v>419</v>
      </c>
      <c r="E268" s="9" t="s">
        <v>743</v>
      </c>
      <c r="F268" s="9" t="s">
        <v>341</v>
      </c>
      <c r="G268" s="9" t="s">
        <v>744</v>
      </c>
      <c r="H268" s="9" t="s">
        <v>747</v>
      </c>
      <c r="I268" s="11" t="s">
        <v>58</v>
      </c>
      <c r="J268" s="11" t="s">
        <v>58</v>
      </c>
      <c r="K268" s="11" t="s">
        <v>58</v>
      </c>
      <c r="L268" s="32" t="str">
        <f aca="false">IF(J268="VALID","ADJUDICATE","OPEN")</f>
        <v>OPEN</v>
      </c>
    </row>
    <row r="269" customFormat="false" ht="15" hidden="false" customHeight="false" outlineLevel="0" collapsed="false">
      <c r="A269" s="9" t="s">
        <v>1065</v>
      </c>
      <c r="B269" s="9" t="s">
        <v>1063</v>
      </c>
      <c r="C269" s="9" t="s">
        <v>418</v>
      </c>
      <c r="D269" s="9" t="s">
        <v>419</v>
      </c>
      <c r="E269" s="9" t="s">
        <v>743</v>
      </c>
      <c r="F269" s="9" t="s">
        <v>341</v>
      </c>
      <c r="G269" s="9" t="s">
        <v>744</v>
      </c>
      <c r="H269" s="9" t="s">
        <v>749</v>
      </c>
      <c r="I269" s="11" t="s">
        <v>58</v>
      </c>
      <c r="J269" s="11" t="s">
        <v>58</v>
      </c>
      <c r="K269" s="11" t="s">
        <v>58</v>
      </c>
      <c r="L269" s="32" t="str">
        <f aca="false">IF(J269="VALID","ADJUDICATE","OPEN")</f>
        <v>OPEN</v>
      </c>
    </row>
    <row r="270" customFormat="false" ht="15" hidden="false" customHeight="false" outlineLevel="0" collapsed="false">
      <c r="A270" s="9" t="s">
        <v>1066</v>
      </c>
      <c r="B270" s="9" t="s">
        <v>1063</v>
      </c>
      <c r="C270" s="9" t="s">
        <v>418</v>
      </c>
      <c r="D270" s="9" t="s">
        <v>419</v>
      </c>
      <c r="E270" s="9" t="s">
        <v>743</v>
      </c>
      <c r="F270" s="9" t="s">
        <v>341</v>
      </c>
      <c r="G270" s="9" t="s">
        <v>744</v>
      </c>
      <c r="H270" s="9" t="s">
        <v>751</v>
      </c>
      <c r="I270" s="11" t="s">
        <v>58</v>
      </c>
      <c r="J270" s="11" t="s">
        <v>58</v>
      </c>
      <c r="K270" s="11" t="s">
        <v>58</v>
      </c>
      <c r="L270" s="32" t="str">
        <f aca="false">IF(J270="VALID","ADJUDICATE","OPEN")</f>
        <v>OPEN</v>
      </c>
    </row>
    <row r="271" customFormat="false" ht="15" hidden="false" customHeight="false" outlineLevel="0" collapsed="false">
      <c r="A271" s="9" t="s">
        <v>1067</v>
      </c>
      <c r="B271" s="9" t="s">
        <v>1063</v>
      </c>
      <c r="C271" s="9" t="s">
        <v>418</v>
      </c>
      <c r="D271" s="9" t="s">
        <v>419</v>
      </c>
      <c r="E271" s="9" t="s">
        <v>743</v>
      </c>
      <c r="F271" s="9" t="s">
        <v>341</v>
      </c>
      <c r="G271" s="9" t="s">
        <v>744</v>
      </c>
      <c r="H271" s="9" t="s">
        <v>753</v>
      </c>
      <c r="I271" s="11" t="s">
        <v>58</v>
      </c>
      <c r="J271" s="11" t="s">
        <v>58</v>
      </c>
      <c r="K271" s="11" t="s">
        <v>58</v>
      </c>
      <c r="L271" s="32" t="str">
        <f aca="false">IF(J271="VALID","ADJUDICATE","OPEN")</f>
        <v>OPEN</v>
      </c>
    </row>
    <row r="272" customFormat="false" ht="15" hidden="false" customHeight="false" outlineLevel="0" collapsed="false">
      <c r="A272" s="9" t="s">
        <v>1068</v>
      </c>
      <c r="B272" s="9" t="s">
        <v>1069</v>
      </c>
      <c r="C272" s="9" t="s">
        <v>418</v>
      </c>
      <c r="D272" s="9" t="s">
        <v>419</v>
      </c>
      <c r="E272" s="9" t="s">
        <v>743</v>
      </c>
      <c r="F272" s="9" t="s">
        <v>341</v>
      </c>
      <c r="G272" s="9" t="s">
        <v>756</v>
      </c>
      <c r="H272" s="9" t="s">
        <v>745</v>
      </c>
      <c r="I272" s="11" t="s">
        <v>58</v>
      </c>
      <c r="J272" s="11" t="s">
        <v>58</v>
      </c>
      <c r="K272" s="11" t="s">
        <v>58</v>
      </c>
      <c r="L272" s="32" t="str">
        <f aca="false">IF(J272="VALID","ADJUDICATE","OPEN")</f>
        <v>OPEN</v>
      </c>
    </row>
    <row r="273" customFormat="false" ht="15" hidden="false" customHeight="false" outlineLevel="0" collapsed="false">
      <c r="A273" s="9" t="s">
        <v>1070</v>
      </c>
      <c r="B273" s="9" t="s">
        <v>1069</v>
      </c>
      <c r="C273" s="9" t="s">
        <v>418</v>
      </c>
      <c r="D273" s="9" t="s">
        <v>419</v>
      </c>
      <c r="E273" s="9" t="s">
        <v>743</v>
      </c>
      <c r="F273" s="9" t="s">
        <v>341</v>
      </c>
      <c r="G273" s="9" t="s">
        <v>756</v>
      </c>
      <c r="H273" s="9" t="s">
        <v>747</v>
      </c>
      <c r="I273" s="11" t="s">
        <v>58</v>
      </c>
      <c r="J273" s="11" t="s">
        <v>58</v>
      </c>
      <c r="K273" s="11" t="s">
        <v>58</v>
      </c>
      <c r="L273" s="32" t="str">
        <f aca="false">IF(J273="VALID","ADJUDICATE","OPEN")</f>
        <v>OPEN</v>
      </c>
    </row>
    <row r="274" customFormat="false" ht="15" hidden="false" customHeight="false" outlineLevel="0" collapsed="false">
      <c r="A274" s="9" t="s">
        <v>1071</v>
      </c>
      <c r="B274" s="9" t="s">
        <v>1069</v>
      </c>
      <c r="C274" s="9" t="s">
        <v>418</v>
      </c>
      <c r="D274" s="9" t="s">
        <v>419</v>
      </c>
      <c r="E274" s="9" t="s">
        <v>743</v>
      </c>
      <c r="F274" s="9" t="s">
        <v>341</v>
      </c>
      <c r="G274" s="9" t="s">
        <v>756</v>
      </c>
      <c r="H274" s="9" t="s">
        <v>749</v>
      </c>
      <c r="I274" s="11" t="s">
        <v>58</v>
      </c>
      <c r="J274" s="11" t="s">
        <v>58</v>
      </c>
      <c r="K274" s="11" t="s">
        <v>58</v>
      </c>
      <c r="L274" s="32" t="str">
        <f aca="false">IF(J274="VALID","ADJUDICATE","OPEN")</f>
        <v>OPEN</v>
      </c>
    </row>
    <row r="275" customFormat="false" ht="15" hidden="false" customHeight="false" outlineLevel="0" collapsed="false">
      <c r="A275" s="9" t="s">
        <v>1072</v>
      </c>
      <c r="B275" s="9" t="s">
        <v>1069</v>
      </c>
      <c r="C275" s="9" t="s">
        <v>418</v>
      </c>
      <c r="D275" s="9" t="s">
        <v>419</v>
      </c>
      <c r="E275" s="9" t="s">
        <v>743</v>
      </c>
      <c r="F275" s="9" t="s">
        <v>341</v>
      </c>
      <c r="G275" s="9" t="s">
        <v>756</v>
      </c>
      <c r="H275" s="9" t="s">
        <v>751</v>
      </c>
      <c r="I275" s="11" t="s">
        <v>58</v>
      </c>
      <c r="J275" s="11" t="s">
        <v>58</v>
      </c>
      <c r="K275" s="11" t="s">
        <v>58</v>
      </c>
      <c r="L275" s="32" t="str">
        <f aca="false">IF(J275="VALID","ADJUDICATE","OPEN")</f>
        <v>OPEN</v>
      </c>
    </row>
    <row r="276" customFormat="false" ht="15" hidden="false" customHeight="false" outlineLevel="0" collapsed="false">
      <c r="A276" s="9" t="s">
        <v>1073</v>
      </c>
      <c r="B276" s="9" t="s">
        <v>1069</v>
      </c>
      <c r="C276" s="9" t="s">
        <v>418</v>
      </c>
      <c r="D276" s="9" t="s">
        <v>419</v>
      </c>
      <c r="E276" s="9" t="s">
        <v>743</v>
      </c>
      <c r="F276" s="9" t="s">
        <v>341</v>
      </c>
      <c r="G276" s="9" t="s">
        <v>756</v>
      </c>
      <c r="H276" s="9" t="s">
        <v>753</v>
      </c>
      <c r="I276" s="11" t="s">
        <v>58</v>
      </c>
      <c r="J276" s="11" t="s">
        <v>58</v>
      </c>
      <c r="K276" s="11" t="s">
        <v>58</v>
      </c>
      <c r="L276" s="32" t="str">
        <f aca="false">IF(J276="VALID","ADJUDICATE","OPEN")</f>
        <v>OPEN</v>
      </c>
    </row>
    <row r="277" customFormat="false" ht="15" hidden="false" customHeight="false" outlineLevel="0" collapsed="false">
      <c r="A277" s="9" t="s">
        <v>1074</v>
      </c>
      <c r="B277" s="9" t="s">
        <v>1075</v>
      </c>
      <c r="C277" s="9" t="s">
        <v>418</v>
      </c>
      <c r="D277" s="9" t="s">
        <v>419</v>
      </c>
      <c r="E277" s="9" t="s">
        <v>787</v>
      </c>
      <c r="F277" s="9" t="s">
        <v>322</v>
      </c>
      <c r="G277" s="9" t="s">
        <v>744</v>
      </c>
      <c r="H277" s="9" t="s">
        <v>745</v>
      </c>
      <c r="I277" s="11" t="s">
        <v>58</v>
      </c>
      <c r="J277" s="11" t="s">
        <v>58</v>
      </c>
      <c r="K277" s="11" t="s">
        <v>58</v>
      </c>
      <c r="L277" s="32" t="str">
        <f aca="false">IF(J277="VALID","ADJUDICATE","OPEN")</f>
        <v>OPEN</v>
      </c>
    </row>
    <row r="278" customFormat="false" ht="15" hidden="false" customHeight="false" outlineLevel="0" collapsed="false">
      <c r="A278" s="9" t="s">
        <v>1076</v>
      </c>
      <c r="B278" s="9" t="s">
        <v>1075</v>
      </c>
      <c r="C278" s="9" t="s">
        <v>418</v>
      </c>
      <c r="D278" s="9" t="s">
        <v>419</v>
      </c>
      <c r="E278" s="9" t="s">
        <v>787</v>
      </c>
      <c r="F278" s="9" t="s">
        <v>322</v>
      </c>
      <c r="G278" s="9" t="s">
        <v>744</v>
      </c>
      <c r="H278" s="9" t="s">
        <v>747</v>
      </c>
      <c r="I278" s="11" t="s">
        <v>58</v>
      </c>
      <c r="J278" s="11" t="s">
        <v>58</v>
      </c>
      <c r="K278" s="11" t="s">
        <v>58</v>
      </c>
      <c r="L278" s="32" t="str">
        <f aca="false">IF(J278="VALID","ADJUDICATE","OPEN")</f>
        <v>OPEN</v>
      </c>
    </row>
    <row r="279" customFormat="false" ht="15" hidden="false" customHeight="false" outlineLevel="0" collapsed="false">
      <c r="A279" s="9" t="s">
        <v>1077</v>
      </c>
      <c r="B279" s="9" t="s">
        <v>1075</v>
      </c>
      <c r="C279" s="9" t="s">
        <v>418</v>
      </c>
      <c r="D279" s="9" t="s">
        <v>419</v>
      </c>
      <c r="E279" s="9" t="s">
        <v>787</v>
      </c>
      <c r="F279" s="9" t="s">
        <v>322</v>
      </c>
      <c r="G279" s="9" t="s">
        <v>744</v>
      </c>
      <c r="H279" s="9" t="s">
        <v>749</v>
      </c>
      <c r="I279" s="11" t="s">
        <v>58</v>
      </c>
      <c r="J279" s="11" t="s">
        <v>58</v>
      </c>
      <c r="K279" s="11" t="s">
        <v>58</v>
      </c>
      <c r="L279" s="32" t="str">
        <f aca="false">IF(J279="VALID","ADJUDICATE","OPEN")</f>
        <v>OPEN</v>
      </c>
    </row>
    <row r="280" customFormat="false" ht="15" hidden="false" customHeight="false" outlineLevel="0" collapsed="false">
      <c r="A280" s="9" t="s">
        <v>1078</v>
      </c>
      <c r="B280" s="9" t="s">
        <v>1075</v>
      </c>
      <c r="C280" s="9" t="s">
        <v>418</v>
      </c>
      <c r="D280" s="9" t="s">
        <v>419</v>
      </c>
      <c r="E280" s="9" t="s">
        <v>787</v>
      </c>
      <c r="F280" s="9" t="s">
        <v>322</v>
      </c>
      <c r="G280" s="9" t="s">
        <v>744</v>
      </c>
      <c r="H280" s="9" t="s">
        <v>751</v>
      </c>
      <c r="I280" s="11" t="s">
        <v>58</v>
      </c>
      <c r="J280" s="11" t="s">
        <v>58</v>
      </c>
      <c r="K280" s="11" t="s">
        <v>58</v>
      </c>
      <c r="L280" s="32" t="str">
        <f aca="false">IF(J280="VALID","ADJUDICATE","OPEN")</f>
        <v>OPEN</v>
      </c>
    </row>
    <row r="281" customFormat="false" ht="15" hidden="false" customHeight="false" outlineLevel="0" collapsed="false">
      <c r="A281" s="9" t="s">
        <v>1079</v>
      </c>
      <c r="B281" s="9" t="s">
        <v>1075</v>
      </c>
      <c r="C281" s="9" t="s">
        <v>418</v>
      </c>
      <c r="D281" s="9" t="s">
        <v>419</v>
      </c>
      <c r="E281" s="9" t="s">
        <v>787</v>
      </c>
      <c r="F281" s="9" t="s">
        <v>322</v>
      </c>
      <c r="G281" s="9" t="s">
        <v>744</v>
      </c>
      <c r="H281" s="9" t="s">
        <v>753</v>
      </c>
      <c r="I281" s="11" t="s">
        <v>58</v>
      </c>
      <c r="J281" s="11" t="s">
        <v>58</v>
      </c>
      <c r="K281" s="11" t="s">
        <v>58</v>
      </c>
      <c r="L281" s="32" t="str">
        <f aca="false">IF(J281="VALID","ADJUDICATE","OPEN")</f>
        <v>OPEN</v>
      </c>
    </row>
    <row r="282" customFormat="false" ht="15" hidden="false" customHeight="false" outlineLevel="0" collapsed="false">
      <c r="A282" s="9" t="s">
        <v>1080</v>
      </c>
      <c r="B282" s="9" t="s">
        <v>1081</v>
      </c>
      <c r="C282" s="9" t="s">
        <v>418</v>
      </c>
      <c r="D282" s="9" t="s">
        <v>419</v>
      </c>
      <c r="E282" s="9" t="s">
        <v>787</v>
      </c>
      <c r="F282" s="9" t="s">
        <v>322</v>
      </c>
      <c r="G282" s="9" t="s">
        <v>756</v>
      </c>
      <c r="H282" s="9" t="s">
        <v>745</v>
      </c>
      <c r="I282" s="11" t="s">
        <v>58</v>
      </c>
      <c r="J282" s="11" t="s">
        <v>58</v>
      </c>
      <c r="K282" s="11" t="s">
        <v>58</v>
      </c>
      <c r="L282" s="32" t="str">
        <f aca="false">IF(J282="VALID","ADJUDICATE","OPEN")</f>
        <v>OPEN</v>
      </c>
    </row>
    <row r="283" customFormat="false" ht="15" hidden="false" customHeight="false" outlineLevel="0" collapsed="false">
      <c r="A283" s="9" t="s">
        <v>1082</v>
      </c>
      <c r="B283" s="9" t="s">
        <v>1081</v>
      </c>
      <c r="C283" s="9" t="s">
        <v>418</v>
      </c>
      <c r="D283" s="9" t="s">
        <v>419</v>
      </c>
      <c r="E283" s="9" t="s">
        <v>787</v>
      </c>
      <c r="F283" s="9" t="s">
        <v>322</v>
      </c>
      <c r="G283" s="9" t="s">
        <v>756</v>
      </c>
      <c r="H283" s="9" t="s">
        <v>747</v>
      </c>
      <c r="I283" s="11" t="s">
        <v>58</v>
      </c>
      <c r="J283" s="11" t="s">
        <v>58</v>
      </c>
      <c r="K283" s="11" t="s">
        <v>58</v>
      </c>
      <c r="L283" s="32" t="str">
        <f aca="false">IF(J283="VALID","ADJUDICATE","OPEN")</f>
        <v>OPEN</v>
      </c>
    </row>
    <row r="284" customFormat="false" ht="15" hidden="false" customHeight="false" outlineLevel="0" collapsed="false">
      <c r="A284" s="9" t="s">
        <v>1083</v>
      </c>
      <c r="B284" s="9" t="s">
        <v>1081</v>
      </c>
      <c r="C284" s="9" t="s">
        <v>418</v>
      </c>
      <c r="D284" s="9" t="s">
        <v>419</v>
      </c>
      <c r="E284" s="9" t="s">
        <v>787</v>
      </c>
      <c r="F284" s="9" t="s">
        <v>322</v>
      </c>
      <c r="G284" s="9" t="s">
        <v>756</v>
      </c>
      <c r="H284" s="9" t="s">
        <v>749</v>
      </c>
      <c r="I284" s="11" t="s">
        <v>58</v>
      </c>
      <c r="J284" s="11" t="s">
        <v>58</v>
      </c>
      <c r="K284" s="11" t="s">
        <v>58</v>
      </c>
      <c r="L284" s="32" t="str">
        <f aca="false">IF(J284="VALID","ADJUDICATE","OPEN")</f>
        <v>OPEN</v>
      </c>
    </row>
    <row r="285" customFormat="false" ht="15" hidden="false" customHeight="false" outlineLevel="0" collapsed="false">
      <c r="A285" s="9" t="s">
        <v>1084</v>
      </c>
      <c r="B285" s="9" t="s">
        <v>1081</v>
      </c>
      <c r="C285" s="9" t="s">
        <v>418</v>
      </c>
      <c r="D285" s="9" t="s">
        <v>419</v>
      </c>
      <c r="E285" s="9" t="s">
        <v>787</v>
      </c>
      <c r="F285" s="9" t="s">
        <v>322</v>
      </c>
      <c r="G285" s="9" t="s">
        <v>756</v>
      </c>
      <c r="H285" s="9" t="s">
        <v>751</v>
      </c>
      <c r="I285" s="11" t="s">
        <v>58</v>
      </c>
      <c r="J285" s="11" t="s">
        <v>58</v>
      </c>
      <c r="K285" s="11" t="s">
        <v>58</v>
      </c>
      <c r="L285" s="32" t="str">
        <f aca="false">IF(J285="VALID","ADJUDICATE","OPEN")</f>
        <v>OPEN</v>
      </c>
    </row>
    <row r="286" customFormat="false" ht="15" hidden="false" customHeight="false" outlineLevel="0" collapsed="false">
      <c r="A286" s="9" t="s">
        <v>1085</v>
      </c>
      <c r="B286" s="9" t="s">
        <v>1081</v>
      </c>
      <c r="C286" s="9" t="s">
        <v>418</v>
      </c>
      <c r="D286" s="9" t="s">
        <v>419</v>
      </c>
      <c r="E286" s="9" t="s">
        <v>787</v>
      </c>
      <c r="F286" s="9" t="s">
        <v>322</v>
      </c>
      <c r="G286" s="9" t="s">
        <v>756</v>
      </c>
      <c r="H286" s="9" t="s">
        <v>753</v>
      </c>
      <c r="I286" s="11" t="s">
        <v>58</v>
      </c>
      <c r="J286" s="11" t="s">
        <v>58</v>
      </c>
      <c r="K286" s="11" t="s">
        <v>58</v>
      </c>
      <c r="L286" s="32" t="str">
        <f aca="false">IF(J286="VALID","ADJUDICATE","OPEN")</f>
        <v>OPEN</v>
      </c>
    </row>
    <row r="287" customFormat="false" ht="15" hidden="false" customHeight="false" outlineLevel="0" collapsed="false">
      <c r="A287" s="9" t="s">
        <v>1086</v>
      </c>
      <c r="B287" s="9" t="s">
        <v>1087</v>
      </c>
      <c r="C287" s="9" t="s">
        <v>418</v>
      </c>
      <c r="D287" s="9" t="s">
        <v>419</v>
      </c>
      <c r="E287" s="9" t="s">
        <v>787</v>
      </c>
      <c r="F287" s="9" t="s">
        <v>333</v>
      </c>
      <c r="G287" s="9" t="s">
        <v>744</v>
      </c>
      <c r="H287" s="9" t="s">
        <v>745</v>
      </c>
      <c r="I287" s="11" t="s">
        <v>58</v>
      </c>
      <c r="J287" s="11" t="s">
        <v>58</v>
      </c>
      <c r="K287" s="11" t="s">
        <v>58</v>
      </c>
      <c r="L287" s="32" t="str">
        <f aca="false">IF(J287="VALID","ADJUDICATE","OPEN")</f>
        <v>OPEN</v>
      </c>
    </row>
    <row r="288" customFormat="false" ht="15" hidden="false" customHeight="false" outlineLevel="0" collapsed="false">
      <c r="A288" s="9" t="s">
        <v>1088</v>
      </c>
      <c r="B288" s="9" t="s">
        <v>1087</v>
      </c>
      <c r="C288" s="9" t="s">
        <v>418</v>
      </c>
      <c r="D288" s="9" t="s">
        <v>419</v>
      </c>
      <c r="E288" s="9" t="s">
        <v>787</v>
      </c>
      <c r="F288" s="9" t="s">
        <v>333</v>
      </c>
      <c r="G288" s="9" t="s">
        <v>744</v>
      </c>
      <c r="H288" s="9" t="s">
        <v>747</v>
      </c>
      <c r="I288" s="11" t="s">
        <v>58</v>
      </c>
      <c r="J288" s="11" t="s">
        <v>58</v>
      </c>
      <c r="K288" s="11" t="s">
        <v>58</v>
      </c>
      <c r="L288" s="32" t="str">
        <f aca="false">IF(J288="VALID","ADJUDICATE","OPEN")</f>
        <v>OPEN</v>
      </c>
    </row>
    <row r="289" customFormat="false" ht="15" hidden="false" customHeight="false" outlineLevel="0" collapsed="false">
      <c r="A289" s="9" t="s">
        <v>1089</v>
      </c>
      <c r="B289" s="9" t="s">
        <v>1087</v>
      </c>
      <c r="C289" s="9" t="s">
        <v>418</v>
      </c>
      <c r="D289" s="9" t="s">
        <v>419</v>
      </c>
      <c r="E289" s="9" t="s">
        <v>787</v>
      </c>
      <c r="F289" s="9" t="s">
        <v>333</v>
      </c>
      <c r="G289" s="9" t="s">
        <v>744</v>
      </c>
      <c r="H289" s="9" t="s">
        <v>749</v>
      </c>
      <c r="I289" s="11" t="s">
        <v>58</v>
      </c>
      <c r="J289" s="11" t="s">
        <v>58</v>
      </c>
      <c r="K289" s="11" t="s">
        <v>58</v>
      </c>
      <c r="L289" s="32" t="str">
        <f aca="false">IF(J289="VALID","ADJUDICATE","OPEN")</f>
        <v>OPEN</v>
      </c>
    </row>
    <row r="290" customFormat="false" ht="15" hidden="false" customHeight="false" outlineLevel="0" collapsed="false">
      <c r="A290" s="9" t="s">
        <v>1090</v>
      </c>
      <c r="B290" s="9" t="s">
        <v>1087</v>
      </c>
      <c r="C290" s="9" t="s">
        <v>418</v>
      </c>
      <c r="D290" s="9" t="s">
        <v>419</v>
      </c>
      <c r="E290" s="9" t="s">
        <v>787</v>
      </c>
      <c r="F290" s="9" t="s">
        <v>333</v>
      </c>
      <c r="G290" s="9" t="s">
        <v>744</v>
      </c>
      <c r="H290" s="9" t="s">
        <v>751</v>
      </c>
      <c r="I290" s="11" t="s">
        <v>58</v>
      </c>
      <c r="J290" s="11" t="s">
        <v>58</v>
      </c>
      <c r="K290" s="11" t="s">
        <v>58</v>
      </c>
      <c r="L290" s="32" t="str">
        <f aca="false">IF(J290="VALID","ADJUDICATE","OPEN")</f>
        <v>OPEN</v>
      </c>
    </row>
    <row r="291" customFormat="false" ht="15" hidden="false" customHeight="false" outlineLevel="0" collapsed="false">
      <c r="A291" s="9" t="s">
        <v>1091</v>
      </c>
      <c r="B291" s="9" t="s">
        <v>1087</v>
      </c>
      <c r="C291" s="9" t="s">
        <v>418</v>
      </c>
      <c r="D291" s="9" t="s">
        <v>419</v>
      </c>
      <c r="E291" s="9" t="s">
        <v>787</v>
      </c>
      <c r="F291" s="9" t="s">
        <v>333</v>
      </c>
      <c r="G291" s="9" t="s">
        <v>744</v>
      </c>
      <c r="H291" s="9" t="s">
        <v>753</v>
      </c>
      <c r="I291" s="11" t="s">
        <v>58</v>
      </c>
      <c r="J291" s="11" t="s">
        <v>58</v>
      </c>
      <c r="K291" s="11" t="s">
        <v>58</v>
      </c>
      <c r="L291" s="32" t="str">
        <f aca="false">IF(J291="VALID","ADJUDICATE","OPEN")</f>
        <v>OPEN</v>
      </c>
    </row>
    <row r="292" customFormat="false" ht="15" hidden="false" customHeight="false" outlineLevel="0" collapsed="false">
      <c r="A292" s="9" t="s">
        <v>1092</v>
      </c>
      <c r="B292" s="9" t="s">
        <v>1093</v>
      </c>
      <c r="C292" s="9" t="s">
        <v>418</v>
      </c>
      <c r="D292" s="9" t="s">
        <v>419</v>
      </c>
      <c r="E292" s="9" t="s">
        <v>787</v>
      </c>
      <c r="F292" s="9" t="s">
        <v>333</v>
      </c>
      <c r="G292" s="9" t="s">
        <v>756</v>
      </c>
      <c r="H292" s="9" t="s">
        <v>745</v>
      </c>
      <c r="I292" s="11" t="s">
        <v>58</v>
      </c>
      <c r="J292" s="11" t="s">
        <v>58</v>
      </c>
      <c r="K292" s="11" t="s">
        <v>58</v>
      </c>
      <c r="L292" s="32" t="str">
        <f aca="false">IF(J292="VALID","ADJUDICATE","OPEN")</f>
        <v>OPEN</v>
      </c>
    </row>
    <row r="293" customFormat="false" ht="15" hidden="false" customHeight="false" outlineLevel="0" collapsed="false">
      <c r="A293" s="9" t="s">
        <v>1094</v>
      </c>
      <c r="B293" s="9" t="s">
        <v>1093</v>
      </c>
      <c r="C293" s="9" t="s">
        <v>418</v>
      </c>
      <c r="D293" s="9" t="s">
        <v>419</v>
      </c>
      <c r="E293" s="9" t="s">
        <v>787</v>
      </c>
      <c r="F293" s="9" t="s">
        <v>333</v>
      </c>
      <c r="G293" s="9" t="s">
        <v>756</v>
      </c>
      <c r="H293" s="9" t="s">
        <v>747</v>
      </c>
      <c r="I293" s="11" t="s">
        <v>58</v>
      </c>
      <c r="J293" s="11" t="s">
        <v>58</v>
      </c>
      <c r="K293" s="11" t="s">
        <v>58</v>
      </c>
      <c r="L293" s="32" t="str">
        <f aca="false">IF(J293="VALID","ADJUDICATE","OPEN")</f>
        <v>OPEN</v>
      </c>
    </row>
    <row r="294" customFormat="false" ht="15" hidden="false" customHeight="false" outlineLevel="0" collapsed="false">
      <c r="A294" s="9" t="s">
        <v>1095</v>
      </c>
      <c r="B294" s="9" t="s">
        <v>1093</v>
      </c>
      <c r="C294" s="9" t="s">
        <v>418</v>
      </c>
      <c r="D294" s="9" t="s">
        <v>419</v>
      </c>
      <c r="E294" s="9" t="s">
        <v>787</v>
      </c>
      <c r="F294" s="9" t="s">
        <v>333</v>
      </c>
      <c r="G294" s="9" t="s">
        <v>756</v>
      </c>
      <c r="H294" s="9" t="s">
        <v>749</v>
      </c>
      <c r="I294" s="11" t="s">
        <v>58</v>
      </c>
      <c r="J294" s="11" t="s">
        <v>58</v>
      </c>
      <c r="K294" s="11" t="s">
        <v>58</v>
      </c>
      <c r="L294" s="32" t="str">
        <f aca="false">IF(J294="VALID","ADJUDICATE","OPEN")</f>
        <v>OPEN</v>
      </c>
    </row>
    <row r="295" customFormat="false" ht="15" hidden="false" customHeight="false" outlineLevel="0" collapsed="false">
      <c r="A295" s="9" t="s">
        <v>1096</v>
      </c>
      <c r="B295" s="9" t="s">
        <v>1093</v>
      </c>
      <c r="C295" s="9" t="s">
        <v>418</v>
      </c>
      <c r="D295" s="9" t="s">
        <v>419</v>
      </c>
      <c r="E295" s="9" t="s">
        <v>787</v>
      </c>
      <c r="F295" s="9" t="s">
        <v>333</v>
      </c>
      <c r="G295" s="9" t="s">
        <v>756</v>
      </c>
      <c r="H295" s="9" t="s">
        <v>751</v>
      </c>
      <c r="I295" s="11" t="s">
        <v>58</v>
      </c>
      <c r="J295" s="11" t="s">
        <v>58</v>
      </c>
      <c r="K295" s="11" t="s">
        <v>58</v>
      </c>
      <c r="L295" s="32" t="str">
        <f aca="false">IF(J295="VALID","ADJUDICATE","OPEN")</f>
        <v>OPEN</v>
      </c>
    </row>
    <row r="296" customFormat="false" ht="15" hidden="false" customHeight="false" outlineLevel="0" collapsed="false">
      <c r="A296" s="9" t="s">
        <v>1097</v>
      </c>
      <c r="B296" s="9" t="s">
        <v>1093</v>
      </c>
      <c r="C296" s="9" t="s">
        <v>418</v>
      </c>
      <c r="D296" s="9" t="s">
        <v>419</v>
      </c>
      <c r="E296" s="9" t="s">
        <v>787</v>
      </c>
      <c r="F296" s="9" t="s">
        <v>333</v>
      </c>
      <c r="G296" s="9" t="s">
        <v>756</v>
      </c>
      <c r="H296" s="9" t="s">
        <v>753</v>
      </c>
      <c r="I296" s="11" t="s">
        <v>58</v>
      </c>
      <c r="J296" s="11" t="s">
        <v>58</v>
      </c>
      <c r="K296" s="11" t="s">
        <v>58</v>
      </c>
      <c r="L296" s="32" t="str">
        <f aca="false">IF(J296="VALID","ADJUDICATE","OPEN")</f>
        <v>OPEN</v>
      </c>
    </row>
    <row r="297" customFormat="false" ht="15" hidden="false" customHeight="false" outlineLevel="0" collapsed="false">
      <c r="A297" s="9" t="s">
        <v>1098</v>
      </c>
      <c r="B297" s="9" t="s">
        <v>1099</v>
      </c>
      <c r="C297" s="9" t="s">
        <v>418</v>
      </c>
      <c r="D297" s="9" t="s">
        <v>419</v>
      </c>
      <c r="E297" s="9" t="s">
        <v>787</v>
      </c>
      <c r="F297" s="9" t="s">
        <v>341</v>
      </c>
      <c r="G297" s="9" t="s">
        <v>744</v>
      </c>
      <c r="H297" s="9" t="s">
        <v>745</v>
      </c>
      <c r="I297" s="11" t="s">
        <v>58</v>
      </c>
      <c r="J297" s="11" t="s">
        <v>58</v>
      </c>
      <c r="K297" s="11" t="s">
        <v>58</v>
      </c>
      <c r="L297" s="32" t="str">
        <f aca="false">IF(J297="VALID","ADJUDICATE","OPEN")</f>
        <v>OPEN</v>
      </c>
    </row>
    <row r="298" customFormat="false" ht="15" hidden="false" customHeight="false" outlineLevel="0" collapsed="false">
      <c r="A298" s="9" t="s">
        <v>1100</v>
      </c>
      <c r="B298" s="9" t="s">
        <v>1099</v>
      </c>
      <c r="C298" s="9" t="s">
        <v>418</v>
      </c>
      <c r="D298" s="9" t="s">
        <v>419</v>
      </c>
      <c r="E298" s="9" t="s">
        <v>787</v>
      </c>
      <c r="F298" s="9" t="s">
        <v>341</v>
      </c>
      <c r="G298" s="9" t="s">
        <v>744</v>
      </c>
      <c r="H298" s="9" t="s">
        <v>747</v>
      </c>
      <c r="I298" s="11" t="s">
        <v>58</v>
      </c>
      <c r="J298" s="11" t="s">
        <v>58</v>
      </c>
      <c r="K298" s="11" t="s">
        <v>58</v>
      </c>
      <c r="L298" s="32" t="str">
        <f aca="false">IF(J298="VALID","ADJUDICATE","OPEN")</f>
        <v>OPEN</v>
      </c>
    </row>
    <row r="299" customFormat="false" ht="15" hidden="false" customHeight="false" outlineLevel="0" collapsed="false">
      <c r="A299" s="9" t="s">
        <v>1101</v>
      </c>
      <c r="B299" s="9" t="s">
        <v>1099</v>
      </c>
      <c r="C299" s="9" t="s">
        <v>418</v>
      </c>
      <c r="D299" s="9" t="s">
        <v>419</v>
      </c>
      <c r="E299" s="9" t="s">
        <v>787</v>
      </c>
      <c r="F299" s="9" t="s">
        <v>341</v>
      </c>
      <c r="G299" s="9" t="s">
        <v>744</v>
      </c>
      <c r="H299" s="9" t="s">
        <v>749</v>
      </c>
      <c r="I299" s="11" t="s">
        <v>58</v>
      </c>
      <c r="J299" s="11" t="s">
        <v>58</v>
      </c>
      <c r="K299" s="11" t="s">
        <v>58</v>
      </c>
      <c r="L299" s="32" t="str">
        <f aca="false">IF(J299="VALID","ADJUDICATE","OPEN")</f>
        <v>OPEN</v>
      </c>
    </row>
    <row r="300" customFormat="false" ht="15" hidden="false" customHeight="false" outlineLevel="0" collapsed="false">
      <c r="A300" s="9" t="s">
        <v>1102</v>
      </c>
      <c r="B300" s="9" t="s">
        <v>1099</v>
      </c>
      <c r="C300" s="9" t="s">
        <v>418</v>
      </c>
      <c r="D300" s="9" t="s">
        <v>419</v>
      </c>
      <c r="E300" s="9" t="s">
        <v>787</v>
      </c>
      <c r="F300" s="9" t="s">
        <v>341</v>
      </c>
      <c r="G300" s="9" t="s">
        <v>744</v>
      </c>
      <c r="H300" s="9" t="s">
        <v>751</v>
      </c>
      <c r="I300" s="11" t="s">
        <v>58</v>
      </c>
      <c r="J300" s="11" t="s">
        <v>58</v>
      </c>
      <c r="K300" s="11" t="s">
        <v>58</v>
      </c>
      <c r="L300" s="32" t="str">
        <f aca="false">IF(J300="VALID","ADJUDICATE","OPEN")</f>
        <v>OPEN</v>
      </c>
    </row>
    <row r="301" customFormat="false" ht="15" hidden="false" customHeight="false" outlineLevel="0" collapsed="false">
      <c r="A301" s="9" t="s">
        <v>1103</v>
      </c>
      <c r="B301" s="9" t="s">
        <v>1099</v>
      </c>
      <c r="C301" s="9" t="s">
        <v>418</v>
      </c>
      <c r="D301" s="9" t="s">
        <v>419</v>
      </c>
      <c r="E301" s="9" t="s">
        <v>787</v>
      </c>
      <c r="F301" s="9" t="s">
        <v>341</v>
      </c>
      <c r="G301" s="9" t="s">
        <v>744</v>
      </c>
      <c r="H301" s="9" t="s">
        <v>753</v>
      </c>
      <c r="I301" s="11" t="s">
        <v>58</v>
      </c>
      <c r="J301" s="11" t="s">
        <v>58</v>
      </c>
      <c r="K301" s="11" t="s">
        <v>58</v>
      </c>
      <c r="L301" s="32" t="str">
        <f aca="false">IF(J301="VALID","ADJUDICATE","OPEN")</f>
        <v>OPEN</v>
      </c>
    </row>
    <row r="302" customFormat="false" ht="15" hidden="false" customHeight="false" outlineLevel="0" collapsed="false">
      <c r="A302" s="9" t="s">
        <v>1104</v>
      </c>
      <c r="B302" s="9" t="s">
        <v>1105</v>
      </c>
      <c r="C302" s="9" t="s">
        <v>418</v>
      </c>
      <c r="D302" s="9" t="s">
        <v>419</v>
      </c>
      <c r="E302" s="9" t="s">
        <v>787</v>
      </c>
      <c r="F302" s="9" t="s">
        <v>341</v>
      </c>
      <c r="G302" s="9" t="s">
        <v>756</v>
      </c>
      <c r="H302" s="9" t="s">
        <v>745</v>
      </c>
      <c r="I302" s="11" t="s">
        <v>58</v>
      </c>
      <c r="J302" s="11" t="s">
        <v>58</v>
      </c>
      <c r="K302" s="11" t="s">
        <v>58</v>
      </c>
      <c r="L302" s="32" t="str">
        <f aca="false">IF(J302="VALID","ADJUDICATE","OPEN")</f>
        <v>OPEN</v>
      </c>
    </row>
    <row r="303" customFormat="false" ht="15" hidden="false" customHeight="false" outlineLevel="0" collapsed="false">
      <c r="A303" s="9" t="s">
        <v>1106</v>
      </c>
      <c r="B303" s="9" t="s">
        <v>1105</v>
      </c>
      <c r="C303" s="9" t="s">
        <v>418</v>
      </c>
      <c r="D303" s="9" t="s">
        <v>419</v>
      </c>
      <c r="E303" s="9" t="s">
        <v>787</v>
      </c>
      <c r="F303" s="9" t="s">
        <v>341</v>
      </c>
      <c r="G303" s="9" t="s">
        <v>756</v>
      </c>
      <c r="H303" s="9" t="s">
        <v>747</v>
      </c>
      <c r="I303" s="11" t="s">
        <v>58</v>
      </c>
      <c r="J303" s="11" t="s">
        <v>58</v>
      </c>
      <c r="K303" s="11" t="s">
        <v>58</v>
      </c>
      <c r="L303" s="32" t="str">
        <f aca="false">IF(J303="VALID","ADJUDICATE","OPEN")</f>
        <v>OPEN</v>
      </c>
    </row>
    <row r="304" customFormat="false" ht="15" hidden="false" customHeight="false" outlineLevel="0" collapsed="false">
      <c r="A304" s="9" t="s">
        <v>1107</v>
      </c>
      <c r="B304" s="9" t="s">
        <v>1105</v>
      </c>
      <c r="C304" s="9" t="s">
        <v>418</v>
      </c>
      <c r="D304" s="9" t="s">
        <v>419</v>
      </c>
      <c r="E304" s="9" t="s">
        <v>787</v>
      </c>
      <c r="F304" s="9" t="s">
        <v>341</v>
      </c>
      <c r="G304" s="9" t="s">
        <v>756</v>
      </c>
      <c r="H304" s="9" t="s">
        <v>749</v>
      </c>
      <c r="I304" s="11" t="s">
        <v>58</v>
      </c>
      <c r="J304" s="11" t="s">
        <v>58</v>
      </c>
      <c r="K304" s="11" t="s">
        <v>58</v>
      </c>
      <c r="L304" s="32" t="str">
        <f aca="false">IF(J304="VALID","ADJUDICATE","OPEN")</f>
        <v>OPEN</v>
      </c>
    </row>
    <row r="305" customFormat="false" ht="15" hidden="false" customHeight="false" outlineLevel="0" collapsed="false">
      <c r="A305" s="9" t="s">
        <v>1108</v>
      </c>
      <c r="B305" s="9" t="s">
        <v>1105</v>
      </c>
      <c r="C305" s="9" t="s">
        <v>418</v>
      </c>
      <c r="D305" s="9" t="s">
        <v>419</v>
      </c>
      <c r="E305" s="9" t="s">
        <v>787</v>
      </c>
      <c r="F305" s="9" t="s">
        <v>341</v>
      </c>
      <c r="G305" s="9" t="s">
        <v>756</v>
      </c>
      <c r="H305" s="9" t="s">
        <v>751</v>
      </c>
      <c r="I305" s="11" t="s">
        <v>58</v>
      </c>
      <c r="J305" s="11" t="s">
        <v>58</v>
      </c>
      <c r="K305" s="11" t="s">
        <v>58</v>
      </c>
      <c r="L305" s="32" t="str">
        <f aca="false">IF(J305="VALID","ADJUDICATE","OPEN")</f>
        <v>OPEN</v>
      </c>
    </row>
    <row r="306" customFormat="false" ht="15" hidden="false" customHeight="false" outlineLevel="0" collapsed="false">
      <c r="A306" s="9" t="s">
        <v>1109</v>
      </c>
      <c r="B306" s="9" t="s">
        <v>1105</v>
      </c>
      <c r="C306" s="9" t="s">
        <v>418</v>
      </c>
      <c r="D306" s="9" t="s">
        <v>419</v>
      </c>
      <c r="E306" s="9" t="s">
        <v>787</v>
      </c>
      <c r="F306" s="9" t="s">
        <v>341</v>
      </c>
      <c r="G306" s="9" t="s">
        <v>756</v>
      </c>
      <c r="H306" s="9" t="s">
        <v>753</v>
      </c>
      <c r="I306" s="11" t="s">
        <v>58</v>
      </c>
      <c r="J306" s="11" t="s">
        <v>58</v>
      </c>
      <c r="K306" s="11" t="s">
        <v>58</v>
      </c>
      <c r="L306" s="32" t="str">
        <f aca="false">IF(J306="VALID","ADJUDICATE","OPEN")</f>
        <v>OPEN</v>
      </c>
    </row>
    <row r="307" customFormat="false" ht="15" hidden="false" customHeight="false" outlineLevel="0" collapsed="false">
      <c r="A307" s="9" t="s">
        <v>1110</v>
      </c>
      <c r="B307" s="9" t="s">
        <v>1111</v>
      </c>
      <c r="C307" s="9" t="s">
        <v>441</v>
      </c>
      <c r="D307" s="9" t="s">
        <v>442</v>
      </c>
      <c r="E307" s="9" t="s">
        <v>743</v>
      </c>
      <c r="F307" s="9" t="s">
        <v>322</v>
      </c>
      <c r="G307" s="9" t="s">
        <v>744</v>
      </c>
      <c r="H307" s="9" t="s">
        <v>745</v>
      </c>
      <c r="I307" s="11" t="s">
        <v>58</v>
      </c>
      <c r="J307" s="11" t="s">
        <v>58</v>
      </c>
      <c r="K307" s="11" t="s">
        <v>58</v>
      </c>
      <c r="L307" s="32" t="str">
        <f aca="false">IF(J307="VALID","ADJUDICATE","OPEN")</f>
        <v>OPEN</v>
      </c>
    </row>
    <row r="308" customFormat="false" ht="15" hidden="false" customHeight="false" outlineLevel="0" collapsed="false">
      <c r="A308" s="9" t="s">
        <v>1112</v>
      </c>
      <c r="B308" s="9" t="s">
        <v>1111</v>
      </c>
      <c r="C308" s="9" t="s">
        <v>441</v>
      </c>
      <c r="D308" s="9" t="s">
        <v>442</v>
      </c>
      <c r="E308" s="9" t="s">
        <v>743</v>
      </c>
      <c r="F308" s="9" t="s">
        <v>322</v>
      </c>
      <c r="G308" s="9" t="s">
        <v>744</v>
      </c>
      <c r="H308" s="9" t="s">
        <v>747</v>
      </c>
      <c r="I308" s="11" t="s">
        <v>58</v>
      </c>
      <c r="J308" s="11" t="s">
        <v>58</v>
      </c>
      <c r="K308" s="11" t="s">
        <v>58</v>
      </c>
      <c r="L308" s="32" t="str">
        <f aca="false">IF(J308="VALID","ADJUDICATE","OPEN")</f>
        <v>OPEN</v>
      </c>
    </row>
    <row r="309" customFormat="false" ht="15" hidden="false" customHeight="false" outlineLevel="0" collapsed="false">
      <c r="A309" s="9" t="s">
        <v>1113</v>
      </c>
      <c r="B309" s="9" t="s">
        <v>1111</v>
      </c>
      <c r="C309" s="9" t="s">
        <v>441</v>
      </c>
      <c r="D309" s="9" t="s">
        <v>442</v>
      </c>
      <c r="E309" s="9" t="s">
        <v>743</v>
      </c>
      <c r="F309" s="9" t="s">
        <v>322</v>
      </c>
      <c r="G309" s="9" t="s">
        <v>744</v>
      </c>
      <c r="H309" s="9" t="s">
        <v>749</v>
      </c>
      <c r="I309" s="11" t="s">
        <v>58</v>
      </c>
      <c r="J309" s="11" t="s">
        <v>58</v>
      </c>
      <c r="K309" s="11" t="s">
        <v>58</v>
      </c>
      <c r="L309" s="32" t="str">
        <f aca="false">IF(J309="VALID","ADJUDICATE","OPEN")</f>
        <v>OPEN</v>
      </c>
    </row>
    <row r="310" customFormat="false" ht="15" hidden="false" customHeight="false" outlineLevel="0" collapsed="false">
      <c r="A310" s="9" t="s">
        <v>1114</v>
      </c>
      <c r="B310" s="9" t="s">
        <v>1111</v>
      </c>
      <c r="C310" s="9" t="s">
        <v>441</v>
      </c>
      <c r="D310" s="9" t="s">
        <v>442</v>
      </c>
      <c r="E310" s="9" t="s">
        <v>743</v>
      </c>
      <c r="F310" s="9" t="s">
        <v>322</v>
      </c>
      <c r="G310" s="9" t="s">
        <v>744</v>
      </c>
      <c r="H310" s="9" t="s">
        <v>751</v>
      </c>
      <c r="I310" s="11" t="s">
        <v>58</v>
      </c>
      <c r="J310" s="11" t="s">
        <v>58</v>
      </c>
      <c r="K310" s="11" t="s">
        <v>58</v>
      </c>
      <c r="L310" s="32" t="str">
        <f aca="false">IF(J310="VALID","ADJUDICATE","OPEN")</f>
        <v>OPEN</v>
      </c>
    </row>
    <row r="311" customFormat="false" ht="15" hidden="false" customHeight="false" outlineLevel="0" collapsed="false">
      <c r="A311" s="9" t="s">
        <v>1115</v>
      </c>
      <c r="B311" s="9" t="s">
        <v>1111</v>
      </c>
      <c r="C311" s="9" t="s">
        <v>441</v>
      </c>
      <c r="D311" s="9" t="s">
        <v>442</v>
      </c>
      <c r="E311" s="9" t="s">
        <v>743</v>
      </c>
      <c r="F311" s="9" t="s">
        <v>322</v>
      </c>
      <c r="G311" s="9" t="s">
        <v>744</v>
      </c>
      <c r="H311" s="9" t="s">
        <v>753</v>
      </c>
      <c r="I311" s="11" t="s">
        <v>58</v>
      </c>
      <c r="J311" s="11" t="s">
        <v>58</v>
      </c>
      <c r="K311" s="11" t="s">
        <v>58</v>
      </c>
      <c r="L311" s="32" t="str">
        <f aca="false">IF(J311="VALID","ADJUDICATE","OPEN")</f>
        <v>OPEN</v>
      </c>
    </row>
    <row r="312" customFormat="false" ht="15" hidden="false" customHeight="false" outlineLevel="0" collapsed="false">
      <c r="A312" s="9" t="s">
        <v>1116</v>
      </c>
      <c r="B312" s="9" t="s">
        <v>1117</v>
      </c>
      <c r="C312" s="9" t="s">
        <v>441</v>
      </c>
      <c r="D312" s="9" t="s">
        <v>442</v>
      </c>
      <c r="E312" s="9" t="s">
        <v>743</v>
      </c>
      <c r="F312" s="9" t="s">
        <v>322</v>
      </c>
      <c r="G312" s="9" t="s">
        <v>756</v>
      </c>
      <c r="H312" s="9" t="s">
        <v>745</v>
      </c>
      <c r="I312" s="11" t="s">
        <v>58</v>
      </c>
      <c r="J312" s="11" t="s">
        <v>58</v>
      </c>
      <c r="K312" s="11" t="s">
        <v>58</v>
      </c>
      <c r="L312" s="32" t="str">
        <f aca="false">IF(J312="VALID","ADJUDICATE","OPEN")</f>
        <v>OPEN</v>
      </c>
    </row>
    <row r="313" customFormat="false" ht="15" hidden="false" customHeight="false" outlineLevel="0" collapsed="false">
      <c r="A313" s="9" t="s">
        <v>1118</v>
      </c>
      <c r="B313" s="9" t="s">
        <v>1117</v>
      </c>
      <c r="C313" s="9" t="s">
        <v>441</v>
      </c>
      <c r="D313" s="9" t="s">
        <v>442</v>
      </c>
      <c r="E313" s="9" t="s">
        <v>743</v>
      </c>
      <c r="F313" s="9" t="s">
        <v>322</v>
      </c>
      <c r="G313" s="9" t="s">
        <v>756</v>
      </c>
      <c r="H313" s="9" t="s">
        <v>747</v>
      </c>
      <c r="I313" s="11" t="s">
        <v>58</v>
      </c>
      <c r="J313" s="11" t="s">
        <v>58</v>
      </c>
      <c r="K313" s="11" t="s">
        <v>58</v>
      </c>
      <c r="L313" s="32" t="str">
        <f aca="false">IF(J313="VALID","ADJUDICATE","OPEN")</f>
        <v>OPEN</v>
      </c>
    </row>
    <row r="314" customFormat="false" ht="15" hidden="false" customHeight="false" outlineLevel="0" collapsed="false">
      <c r="A314" s="9" t="s">
        <v>1119</v>
      </c>
      <c r="B314" s="9" t="s">
        <v>1117</v>
      </c>
      <c r="C314" s="9" t="s">
        <v>441</v>
      </c>
      <c r="D314" s="9" t="s">
        <v>442</v>
      </c>
      <c r="E314" s="9" t="s">
        <v>743</v>
      </c>
      <c r="F314" s="9" t="s">
        <v>322</v>
      </c>
      <c r="G314" s="9" t="s">
        <v>756</v>
      </c>
      <c r="H314" s="9" t="s">
        <v>749</v>
      </c>
      <c r="I314" s="11" t="s">
        <v>58</v>
      </c>
      <c r="J314" s="11" t="s">
        <v>58</v>
      </c>
      <c r="K314" s="11" t="s">
        <v>58</v>
      </c>
      <c r="L314" s="32" t="str">
        <f aca="false">IF(J314="VALID","ADJUDICATE","OPEN")</f>
        <v>OPEN</v>
      </c>
    </row>
    <row r="315" customFormat="false" ht="15" hidden="false" customHeight="false" outlineLevel="0" collapsed="false">
      <c r="A315" s="9" t="s">
        <v>1120</v>
      </c>
      <c r="B315" s="9" t="s">
        <v>1117</v>
      </c>
      <c r="C315" s="9" t="s">
        <v>441</v>
      </c>
      <c r="D315" s="9" t="s">
        <v>442</v>
      </c>
      <c r="E315" s="9" t="s">
        <v>743</v>
      </c>
      <c r="F315" s="9" t="s">
        <v>322</v>
      </c>
      <c r="G315" s="9" t="s">
        <v>756</v>
      </c>
      <c r="H315" s="9" t="s">
        <v>751</v>
      </c>
      <c r="I315" s="11" t="s">
        <v>58</v>
      </c>
      <c r="J315" s="11" t="s">
        <v>58</v>
      </c>
      <c r="K315" s="11" t="s">
        <v>58</v>
      </c>
      <c r="L315" s="32" t="str">
        <f aca="false">IF(J315="VALID","ADJUDICATE","OPEN")</f>
        <v>OPEN</v>
      </c>
    </row>
    <row r="316" customFormat="false" ht="15" hidden="false" customHeight="false" outlineLevel="0" collapsed="false">
      <c r="A316" s="9" t="s">
        <v>1121</v>
      </c>
      <c r="B316" s="9" t="s">
        <v>1117</v>
      </c>
      <c r="C316" s="9" t="s">
        <v>441</v>
      </c>
      <c r="D316" s="9" t="s">
        <v>442</v>
      </c>
      <c r="E316" s="9" t="s">
        <v>743</v>
      </c>
      <c r="F316" s="9" t="s">
        <v>322</v>
      </c>
      <c r="G316" s="9" t="s">
        <v>756</v>
      </c>
      <c r="H316" s="9" t="s">
        <v>753</v>
      </c>
      <c r="I316" s="11" t="s">
        <v>58</v>
      </c>
      <c r="J316" s="11" t="s">
        <v>58</v>
      </c>
      <c r="K316" s="11" t="s">
        <v>58</v>
      </c>
      <c r="L316" s="32" t="str">
        <f aca="false">IF(J316="VALID","ADJUDICATE","OPEN")</f>
        <v>OPEN</v>
      </c>
    </row>
    <row r="317" customFormat="false" ht="15" hidden="false" customHeight="false" outlineLevel="0" collapsed="false">
      <c r="A317" s="9" t="s">
        <v>1122</v>
      </c>
      <c r="B317" s="9" t="s">
        <v>1123</v>
      </c>
      <c r="C317" s="9" t="s">
        <v>441</v>
      </c>
      <c r="D317" s="9" t="s">
        <v>442</v>
      </c>
      <c r="E317" s="9" t="s">
        <v>743</v>
      </c>
      <c r="F317" s="9" t="s">
        <v>333</v>
      </c>
      <c r="G317" s="9" t="s">
        <v>744</v>
      </c>
      <c r="H317" s="9" t="s">
        <v>745</v>
      </c>
      <c r="I317" s="11" t="s">
        <v>58</v>
      </c>
      <c r="J317" s="11" t="s">
        <v>58</v>
      </c>
      <c r="K317" s="11" t="s">
        <v>58</v>
      </c>
      <c r="L317" s="32" t="str">
        <f aca="false">IF(J317="VALID","ADJUDICATE","OPEN")</f>
        <v>OPEN</v>
      </c>
    </row>
    <row r="318" customFormat="false" ht="15" hidden="false" customHeight="false" outlineLevel="0" collapsed="false">
      <c r="A318" s="9" t="s">
        <v>1124</v>
      </c>
      <c r="B318" s="9" t="s">
        <v>1123</v>
      </c>
      <c r="C318" s="9" t="s">
        <v>441</v>
      </c>
      <c r="D318" s="9" t="s">
        <v>442</v>
      </c>
      <c r="E318" s="9" t="s">
        <v>743</v>
      </c>
      <c r="F318" s="9" t="s">
        <v>333</v>
      </c>
      <c r="G318" s="9" t="s">
        <v>744</v>
      </c>
      <c r="H318" s="9" t="s">
        <v>747</v>
      </c>
      <c r="I318" s="11" t="s">
        <v>58</v>
      </c>
      <c r="J318" s="11" t="s">
        <v>58</v>
      </c>
      <c r="K318" s="11" t="s">
        <v>58</v>
      </c>
      <c r="L318" s="32" t="str">
        <f aca="false">IF(J318="VALID","ADJUDICATE","OPEN")</f>
        <v>OPEN</v>
      </c>
    </row>
    <row r="319" customFormat="false" ht="15" hidden="false" customHeight="false" outlineLevel="0" collapsed="false">
      <c r="A319" s="9" t="s">
        <v>1125</v>
      </c>
      <c r="B319" s="9" t="s">
        <v>1123</v>
      </c>
      <c r="C319" s="9" t="s">
        <v>441</v>
      </c>
      <c r="D319" s="9" t="s">
        <v>442</v>
      </c>
      <c r="E319" s="9" t="s">
        <v>743</v>
      </c>
      <c r="F319" s="9" t="s">
        <v>333</v>
      </c>
      <c r="G319" s="9" t="s">
        <v>744</v>
      </c>
      <c r="H319" s="9" t="s">
        <v>749</v>
      </c>
      <c r="I319" s="11" t="s">
        <v>58</v>
      </c>
      <c r="J319" s="11" t="s">
        <v>58</v>
      </c>
      <c r="K319" s="11" t="s">
        <v>58</v>
      </c>
      <c r="L319" s="32" t="str">
        <f aca="false">IF(J319="VALID","ADJUDICATE","OPEN")</f>
        <v>OPEN</v>
      </c>
    </row>
    <row r="320" customFormat="false" ht="15" hidden="false" customHeight="false" outlineLevel="0" collapsed="false">
      <c r="A320" s="9" t="s">
        <v>1126</v>
      </c>
      <c r="B320" s="9" t="s">
        <v>1123</v>
      </c>
      <c r="C320" s="9" t="s">
        <v>441</v>
      </c>
      <c r="D320" s="9" t="s">
        <v>442</v>
      </c>
      <c r="E320" s="9" t="s">
        <v>743</v>
      </c>
      <c r="F320" s="9" t="s">
        <v>333</v>
      </c>
      <c r="G320" s="9" t="s">
        <v>744</v>
      </c>
      <c r="H320" s="9" t="s">
        <v>751</v>
      </c>
      <c r="I320" s="11" t="s">
        <v>58</v>
      </c>
      <c r="J320" s="11" t="s">
        <v>58</v>
      </c>
      <c r="K320" s="11" t="s">
        <v>58</v>
      </c>
      <c r="L320" s="32" t="str">
        <f aca="false">IF(J320="VALID","ADJUDICATE","OPEN")</f>
        <v>OPEN</v>
      </c>
    </row>
    <row r="321" customFormat="false" ht="15" hidden="false" customHeight="false" outlineLevel="0" collapsed="false">
      <c r="A321" s="9" t="s">
        <v>1127</v>
      </c>
      <c r="B321" s="9" t="s">
        <v>1123</v>
      </c>
      <c r="C321" s="9" t="s">
        <v>441</v>
      </c>
      <c r="D321" s="9" t="s">
        <v>442</v>
      </c>
      <c r="E321" s="9" t="s">
        <v>743</v>
      </c>
      <c r="F321" s="9" t="s">
        <v>333</v>
      </c>
      <c r="G321" s="9" t="s">
        <v>744</v>
      </c>
      <c r="H321" s="9" t="s">
        <v>753</v>
      </c>
      <c r="I321" s="11" t="s">
        <v>58</v>
      </c>
      <c r="J321" s="11" t="s">
        <v>58</v>
      </c>
      <c r="K321" s="11" t="s">
        <v>58</v>
      </c>
      <c r="L321" s="32" t="str">
        <f aca="false">IF(J321="VALID","ADJUDICATE","OPEN")</f>
        <v>OPEN</v>
      </c>
    </row>
    <row r="322" customFormat="false" ht="15" hidden="false" customHeight="false" outlineLevel="0" collapsed="false">
      <c r="A322" s="9" t="s">
        <v>1128</v>
      </c>
      <c r="B322" s="9" t="s">
        <v>1129</v>
      </c>
      <c r="C322" s="9" t="s">
        <v>441</v>
      </c>
      <c r="D322" s="9" t="s">
        <v>442</v>
      </c>
      <c r="E322" s="9" t="s">
        <v>743</v>
      </c>
      <c r="F322" s="9" t="s">
        <v>333</v>
      </c>
      <c r="G322" s="9" t="s">
        <v>756</v>
      </c>
      <c r="H322" s="9" t="s">
        <v>745</v>
      </c>
      <c r="I322" s="11" t="s">
        <v>58</v>
      </c>
      <c r="J322" s="11" t="s">
        <v>58</v>
      </c>
      <c r="K322" s="11" t="s">
        <v>58</v>
      </c>
      <c r="L322" s="32" t="str">
        <f aca="false">IF(J322="VALID","ADJUDICATE","OPEN")</f>
        <v>OPEN</v>
      </c>
    </row>
    <row r="323" customFormat="false" ht="15" hidden="false" customHeight="false" outlineLevel="0" collapsed="false">
      <c r="A323" s="9" t="s">
        <v>1130</v>
      </c>
      <c r="B323" s="9" t="s">
        <v>1129</v>
      </c>
      <c r="C323" s="9" t="s">
        <v>441</v>
      </c>
      <c r="D323" s="9" t="s">
        <v>442</v>
      </c>
      <c r="E323" s="9" t="s">
        <v>743</v>
      </c>
      <c r="F323" s="9" t="s">
        <v>333</v>
      </c>
      <c r="G323" s="9" t="s">
        <v>756</v>
      </c>
      <c r="H323" s="9" t="s">
        <v>747</v>
      </c>
      <c r="I323" s="11" t="s">
        <v>58</v>
      </c>
      <c r="J323" s="11" t="s">
        <v>58</v>
      </c>
      <c r="K323" s="11" t="s">
        <v>58</v>
      </c>
      <c r="L323" s="32" t="str">
        <f aca="false">IF(J323="VALID","ADJUDICATE","OPEN")</f>
        <v>OPEN</v>
      </c>
    </row>
    <row r="324" customFormat="false" ht="15" hidden="false" customHeight="false" outlineLevel="0" collapsed="false">
      <c r="A324" s="9" t="s">
        <v>1131</v>
      </c>
      <c r="B324" s="9" t="s">
        <v>1129</v>
      </c>
      <c r="C324" s="9" t="s">
        <v>441</v>
      </c>
      <c r="D324" s="9" t="s">
        <v>442</v>
      </c>
      <c r="E324" s="9" t="s">
        <v>743</v>
      </c>
      <c r="F324" s="9" t="s">
        <v>333</v>
      </c>
      <c r="G324" s="9" t="s">
        <v>756</v>
      </c>
      <c r="H324" s="9" t="s">
        <v>749</v>
      </c>
      <c r="I324" s="11" t="s">
        <v>58</v>
      </c>
      <c r="J324" s="11" t="s">
        <v>58</v>
      </c>
      <c r="K324" s="11" t="s">
        <v>58</v>
      </c>
      <c r="L324" s="32" t="str">
        <f aca="false">IF(J324="VALID","ADJUDICATE","OPEN")</f>
        <v>OPEN</v>
      </c>
    </row>
    <row r="325" customFormat="false" ht="15" hidden="false" customHeight="false" outlineLevel="0" collapsed="false">
      <c r="A325" s="9" t="s">
        <v>1132</v>
      </c>
      <c r="B325" s="9" t="s">
        <v>1129</v>
      </c>
      <c r="C325" s="9" t="s">
        <v>441</v>
      </c>
      <c r="D325" s="9" t="s">
        <v>442</v>
      </c>
      <c r="E325" s="9" t="s">
        <v>743</v>
      </c>
      <c r="F325" s="9" t="s">
        <v>333</v>
      </c>
      <c r="G325" s="9" t="s">
        <v>756</v>
      </c>
      <c r="H325" s="9" t="s">
        <v>751</v>
      </c>
      <c r="I325" s="11" t="s">
        <v>58</v>
      </c>
      <c r="J325" s="11" t="s">
        <v>58</v>
      </c>
      <c r="K325" s="11" t="s">
        <v>58</v>
      </c>
      <c r="L325" s="32" t="str">
        <f aca="false">IF(J325="VALID","ADJUDICATE","OPEN")</f>
        <v>OPEN</v>
      </c>
    </row>
    <row r="326" customFormat="false" ht="15" hidden="false" customHeight="false" outlineLevel="0" collapsed="false">
      <c r="A326" s="9" t="s">
        <v>1133</v>
      </c>
      <c r="B326" s="9" t="s">
        <v>1129</v>
      </c>
      <c r="C326" s="9" t="s">
        <v>441</v>
      </c>
      <c r="D326" s="9" t="s">
        <v>442</v>
      </c>
      <c r="E326" s="9" t="s">
        <v>743</v>
      </c>
      <c r="F326" s="9" t="s">
        <v>333</v>
      </c>
      <c r="G326" s="9" t="s">
        <v>756</v>
      </c>
      <c r="H326" s="9" t="s">
        <v>753</v>
      </c>
      <c r="I326" s="11" t="s">
        <v>58</v>
      </c>
      <c r="J326" s="11" t="s">
        <v>58</v>
      </c>
      <c r="K326" s="11" t="s">
        <v>58</v>
      </c>
      <c r="L326" s="32" t="str">
        <f aca="false">IF(J326="VALID","ADJUDICATE","OPEN")</f>
        <v>OPEN</v>
      </c>
    </row>
    <row r="327" customFormat="false" ht="15" hidden="false" customHeight="false" outlineLevel="0" collapsed="false">
      <c r="A327" s="9" t="s">
        <v>1134</v>
      </c>
      <c r="B327" s="9" t="s">
        <v>1135</v>
      </c>
      <c r="C327" s="9" t="s">
        <v>441</v>
      </c>
      <c r="D327" s="9" t="s">
        <v>442</v>
      </c>
      <c r="E327" s="9" t="s">
        <v>743</v>
      </c>
      <c r="F327" s="9" t="s">
        <v>341</v>
      </c>
      <c r="G327" s="9" t="s">
        <v>744</v>
      </c>
      <c r="H327" s="9" t="s">
        <v>745</v>
      </c>
      <c r="I327" s="11" t="s">
        <v>58</v>
      </c>
      <c r="J327" s="11" t="s">
        <v>58</v>
      </c>
      <c r="K327" s="11" t="s">
        <v>58</v>
      </c>
      <c r="L327" s="32" t="str">
        <f aca="false">IF(J327="VALID","ADJUDICATE","OPEN")</f>
        <v>OPEN</v>
      </c>
    </row>
    <row r="328" customFormat="false" ht="15" hidden="false" customHeight="false" outlineLevel="0" collapsed="false">
      <c r="A328" s="9" t="s">
        <v>1136</v>
      </c>
      <c r="B328" s="9" t="s">
        <v>1135</v>
      </c>
      <c r="C328" s="9" t="s">
        <v>441</v>
      </c>
      <c r="D328" s="9" t="s">
        <v>442</v>
      </c>
      <c r="E328" s="9" t="s">
        <v>743</v>
      </c>
      <c r="F328" s="9" t="s">
        <v>341</v>
      </c>
      <c r="G328" s="9" t="s">
        <v>744</v>
      </c>
      <c r="H328" s="9" t="s">
        <v>747</v>
      </c>
      <c r="I328" s="11" t="s">
        <v>58</v>
      </c>
      <c r="J328" s="11" t="s">
        <v>58</v>
      </c>
      <c r="K328" s="11" t="s">
        <v>58</v>
      </c>
      <c r="L328" s="32" t="str">
        <f aca="false">IF(J328="VALID","ADJUDICATE","OPEN")</f>
        <v>OPEN</v>
      </c>
    </row>
    <row r="329" customFormat="false" ht="15" hidden="false" customHeight="false" outlineLevel="0" collapsed="false">
      <c r="A329" s="9" t="s">
        <v>1137</v>
      </c>
      <c r="B329" s="9" t="s">
        <v>1135</v>
      </c>
      <c r="C329" s="9" t="s">
        <v>441</v>
      </c>
      <c r="D329" s="9" t="s">
        <v>442</v>
      </c>
      <c r="E329" s="9" t="s">
        <v>743</v>
      </c>
      <c r="F329" s="9" t="s">
        <v>341</v>
      </c>
      <c r="G329" s="9" t="s">
        <v>744</v>
      </c>
      <c r="H329" s="9" t="s">
        <v>749</v>
      </c>
      <c r="I329" s="11" t="s">
        <v>58</v>
      </c>
      <c r="J329" s="11" t="s">
        <v>58</v>
      </c>
      <c r="K329" s="11" t="s">
        <v>58</v>
      </c>
      <c r="L329" s="32" t="str">
        <f aca="false">IF(J329="VALID","ADJUDICATE","OPEN")</f>
        <v>OPEN</v>
      </c>
    </row>
    <row r="330" customFormat="false" ht="15" hidden="false" customHeight="false" outlineLevel="0" collapsed="false">
      <c r="A330" s="9" t="s">
        <v>1138</v>
      </c>
      <c r="B330" s="9" t="s">
        <v>1135</v>
      </c>
      <c r="C330" s="9" t="s">
        <v>441</v>
      </c>
      <c r="D330" s="9" t="s">
        <v>442</v>
      </c>
      <c r="E330" s="9" t="s">
        <v>743</v>
      </c>
      <c r="F330" s="9" t="s">
        <v>341</v>
      </c>
      <c r="G330" s="9" t="s">
        <v>744</v>
      </c>
      <c r="H330" s="9" t="s">
        <v>751</v>
      </c>
      <c r="I330" s="11" t="s">
        <v>58</v>
      </c>
      <c r="J330" s="11" t="s">
        <v>58</v>
      </c>
      <c r="K330" s="11" t="s">
        <v>58</v>
      </c>
      <c r="L330" s="32" t="str">
        <f aca="false">IF(J330="VALID","ADJUDICATE","OPEN")</f>
        <v>OPEN</v>
      </c>
    </row>
    <row r="331" customFormat="false" ht="15" hidden="false" customHeight="false" outlineLevel="0" collapsed="false">
      <c r="A331" s="9" t="s">
        <v>1139</v>
      </c>
      <c r="B331" s="9" t="s">
        <v>1135</v>
      </c>
      <c r="C331" s="9" t="s">
        <v>441</v>
      </c>
      <c r="D331" s="9" t="s">
        <v>442</v>
      </c>
      <c r="E331" s="9" t="s">
        <v>743</v>
      </c>
      <c r="F331" s="9" t="s">
        <v>341</v>
      </c>
      <c r="G331" s="9" t="s">
        <v>744</v>
      </c>
      <c r="H331" s="9" t="s">
        <v>753</v>
      </c>
      <c r="I331" s="11" t="s">
        <v>58</v>
      </c>
      <c r="J331" s="11" t="s">
        <v>58</v>
      </c>
      <c r="K331" s="11" t="s">
        <v>58</v>
      </c>
      <c r="L331" s="32" t="str">
        <f aca="false">IF(J331="VALID","ADJUDICATE","OPEN")</f>
        <v>OPEN</v>
      </c>
    </row>
    <row r="332" customFormat="false" ht="15" hidden="false" customHeight="false" outlineLevel="0" collapsed="false">
      <c r="A332" s="9" t="s">
        <v>1140</v>
      </c>
      <c r="B332" s="9" t="s">
        <v>1141</v>
      </c>
      <c r="C332" s="9" t="s">
        <v>441</v>
      </c>
      <c r="D332" s="9" t="s">
        <v>442</v>
      </c>
      <c r="E332" s="9" t="s">
        <v>743</v>
      </c>
      <c r="F332" s="9" t="s">
        <v>341</v>
      </c>
      <c r="G332" s="9" t="s">
        <v>756</v>
      </c>
      <c r="H332" s="9" t="s">
        <v>745</v>
      </c>
      <c r="I332" s="11" t="s">
        <v>58</v>
      </c>
      <c r="J332" s="11" t="s">
        <v>58</v>
      </c>
      <c r="K332" s="11" t="s">
        <v>58</v>
      </c>
      <c r="L332" s="32" t="str">
        <f aca="false">IF(J332="VALID","ADJUDICATE","OPEN")</f>
        <v>OPEN</v>
      </c>
    </row>
    <row r="333" customFormat="false" ht="15" hidden="false" customHeight="false" outlineLevel="0" collapsed="false">
      <c r="A333" s="9" t="s">
        <v>1142</v>
      </c>
      <c r="B333" s="9" t="s">
        <v>1141</v>
      </c>
      <c r="C333" s="9" t="s">
        <v>441</v>
      </c>
      <c r="D333" s="9" t="s">
        <v>442</v>
      </c>
      <c r="E333" s="9" t="s">
        <v>743</v>
      </c>
      <c r="F333" s="9" t="s">
        <v>341</v>
      </c>
      <c r="G333" s="9" t="s">
        <v>756</v>
      </c>
      <c r="H333" s="9" t="s">
        <v>747</v>
      </c>
      <c r="I333" s="11" t="s">
        <v>58</v>
      </c>
      <c r="J333" s="11" t="s">
        <v>58</v>
      </c>
      <c r="K333" s="11" t="s">
        <v>58</v>
      </c>
      <c r="L333" s="32" t="str">
        <f aca="false">IF(J333="VALID","ADJUDICATE","OPEN")</f>
        <v>OPEN</v>
      </c>
    </row>
    <row r="334" customFormat="false" ht="15" hidden="false" customHeight="false" outlineLevel="0" collapsed="false">
      <c r="A334" s="9" t="s">
        <v>1143</v>
      </c>
      <c r="B334" s="9" t="s">
        <v>1141</v>
      </c>
      <c r="C334" s="9" t="s">
        <v>441</v>
      </c>
      <c r="D334" s="9" t="s">
        <v>442</v>
      </c>
      <c r="E334" s="9" t="s">
        <v>743</v>
      </c>
      <c r="F334" s="9" t="s">
        <v>341</v>
      </c>
      <c r="G334" s="9" t="s">
        <v>756</v>
      </c>
      <c r="H334" s="9" t="s">
        <v>749</v>
      </c>
      <c r="I334" s="11" t="s">
        <v>58</v>
      </c>
      <c r="J334" s="11" t="s">
        <v>58</v>
      </c>
      <c r="K334" s="11" t="s">
        <v>58</v>
      </c>
      <c r="L334" s="32" t="str">
        <f aca="false">IF(J334="VALID","ADJUDICATE","OPEN")</f>
        <v>OPEN</v>
      </c>
    </row>
    <row r="335" customFormat="false" ht="15" hidden="false" customHeight="false" outlineLevel="0" collapsed="false">
      <c r="A335" s="9" t="s">
        <v>1144</v>
      </c>
      <c r="B335" s="9" t="s">
        <v>1141</v>
      </c>
      <c r="C335" s="9" t="s">
        <v>441</v>
      </c>
      <c r="D335" s="9" t="s">
        <v>442</v>
      </c>
      <c r="E335" s="9" t="s">
        <v>743</v>
      </c>
      <c r="F335" s="9" t="s">
        <v>341</v>
      </c>
      <c r="G335" s="9" t="s">
        <v>756</v>
      </c>
      <c r="H335" s="9" t="s">
        <v>751</v>
      </c>
      <c r="I335" s="11" t="s">
        <v>58</v>
      </c>
      <c r="J335" s="11" t="s">
        <v>58</v>
      </c>
      <c r="K335" s="11" t="s">
        <v>58</v>
      </c>
      <c r="L335" s="32" t="str">
        <f aca="false">IF(J335="VALID","ADJUDICATE","OPEN")</f>
        <v>OPEN</v>
      </c>
    </row>
    <row r="336" customFormat="false" ht="15" hidden="false" customHeight="false" outlineLevel="0" collapsed="false">
      <c r="A336" s="9" t="s">
        <v>1145</v>
      </c>
      <c r="B336" s="9" t="s">
        <v>1141</v>
      </c>
      <c r="C336" s="9" t="s">
        <v>441</v>
      </c>
      <c r="D336" s="9" t="s">
        <v>442</v>
      </c>
      <c r="E336" s="9" t="s">
        <v>743</v>
      </c>
      <c r="F336" s="9" t="s">
        <v>341</v>
      </c>
      <c r="G336" s="9" t="s">
        <v>756</v>
      </c>
      <c r="H336" s="9" t="s">
        <v>753</v>
      </c>
      <c r="I336" s="11" t="s">
        <v>58</v>
      </c>
      <c r="J336" s="11" t="s">
        <v>58</v>
      </c>
      <c r="K336" s="11" t="s">
        <v>58</v>
      </c>
      <c r="L336" s="32" t="str">
        <f aca="false">IF(J336="VALID","ADJUDICATE","OPEN")</f>
        <v>OPEN</v>
      </c>
    </row>
    <row r="337" customFormat="false" ht="15" hidden="false" customHeight="false" outlineLevel="0" collapsed="false">
      <c r="A337" s="9" t="s">
        <v>1146</v>
      </c>
      <c r="B337" s="9" t="s">
        <v>1147</v>
      </c>
      <c r="C337" s="9" t="s">
        <v>441</v>
      </c>
      <c r="D337" s="9" t="s">
        <v>442</v>
      </c>
      <c r="E337" s="9" t="s">
        <v>787</v>
      </c>
      <c r="F337" s="9" t="s">
        <v>322</v>
      </c>
      <c r="G337" s="9" t="s">
        <v>744</v>
      </c>
      <c r="H337" s="9" t="s">
        <v>745</v>
      </c>
      <c r="I337" s="11" t="s">
        <v>58</v>
      </c>
      <c r="J337" s="11" t="s">
        <v>58</v>
      </c>
      <c r="K337" s="11" t="s">
        <v>58</v>
      </c>
      <c r="L337" s="32" t="str">
        <f aca="false">IF(J337="VALID","ADJUDICATE","OPEN")</f>
        <v>OPEN</v>
      </c>
    </row>
    <row r="338" customFormat="false" ht="15" hidden="false" customHeight="false" outlineLevel="0" collapsed="false">
      <c r="A338" s="9" t="s">
        <v>1148</v>
      </c>
      <c r="B338" s="9" t="s">
        <v>1147</v>
      </c>
      <c r="C338" s="9" t="s">
        <v>441</v>
      </c>
      <c r="D338" s="9" t="s">
        <v>442</v>
      </c>
      <c r="E338" s="9" t="s">
        <v>787</v>
      </c>
      <c r="F338" s="9" t="s">
        <v>322</v>
      </c>
      <c r="G338" s="9" t="s">
        <v>744</v>
      </c>
      <c r="H338" s="9" t="s">
        <v>747</v>
      </c>
      <c r="I338" s="11" t="s">
        <v>58</v>
      </c>
      <c r="J338" s="11" t="s">
        <v>58</v>
      </c>
      <c r="K338" s="11" t="s">
        <v>58</v>
      </c>
      <c r="L338" s="32" t="str">
        <f aca="false">IF(J338="VALID","ADJUDICATE","OPEN")</f>
        <v>OPEN</v>
      </c>
    </row>
    <row r="339" customFormat="false" ht="15" hidden="false" customHeight="false" outlineLevel="0" collapsed="false">
      <c r="A339" s="9" t="s">
        <v>1149</v>
      </c>
      <c r="B339" s="9" t="s">
        <v>1147</v>
      </c>
      <c r="C339" s="9" t="s">
        <v>441</v>
      </c>
      <c r="D339" s="9" t="s">
        <v>442</v>
      </c>
      <c r="E339" s="9" t="s">
        <v>787</v>
      </c>
      <c r="F339" s="9" t="s">
        <v>322</v>
      </c>
      <c r="G339" s="9" t="s">
        <v>744</v>
      </c>
      <c r="H339" s="9" t="s">
        <v>749</v>
      </c>
      <c r="I339" s="11" t="s">
        <v>58</v>
      </c>
      <c r="J339" s="11" t="s">
        <v>58</v>
      </c>
      <c r="K339" s="11" t="s">
        <v>58</v>
      </c>
      <c r="L339" s="32" t="str">
        <f aca="false">IF(J339="VALID","ADJUDICATE","OPEN")</f>
        <v>OPEN</v>
      </c>
    </row>
    <row r="340" customFormat="false" ht="15" hidden="false" customHeight="false" outlineLevel="0" collapsed="false">
      <c r="A340" s="9" t="s">
        <v>1150</v>
      </c>
      <c r="B340" s="9" t="s">
        <v>1147</v>
      </c>
      <c r="C340" s="9" t="s">
        <v>441</v>
      </c>
      <c r="D340" s="9" t="s">
        <v>442</v>
      </c>
      <c r="E340" s="9" t="s">
        <v>787</v>
      </c>
      <c r="F340" s="9" t="s">
        <v>322</v>
      </c>
      <c r="G340" s="9" t="s">
        <v>744</v>
      </c>
      <c r="H340" s="9" t="s">
        <v>751</v>
      </c>
      <c r="I340" s="11" t="s">
        <v>58</v>
      </c>
      <c r="J340" s="11" t="s">
        <v>58</v>
      </c>
      <c r="K340" s="11" t="s">
        <v>58</v>
      </c>
      <c r="L340" s="32" t="str">
        <f aca="false">IF(J340="VALID","ADJUDICATE","OPEN")</f>
        <v>OPEN</v>
      </c>
    </row>
    <row r="341" customFormat="false" ht="15" hidden="false" customHeight="false" outlineLevel="0" collapsed="false">
      <c r="A341" s="9" t="s">
        <v>1151</v>
      </c>
      <c r="B341" s="9" t="s">
        <v>1147</v>
      </c>
      <c r="C341" s="9" t="s">
        <v>441</v>
      </c>
      <c r="D341" s="9" t="s">
        <v>442</v>
      </c>
      <c r="E341" s="9" t="s">
        <v>787</v>
      </c>
      <c r="F341" s="9" t="s">
        <v>322</v>
      </c>
      <c r="G341" s="9" t="s">
        <v>744</v>
      </c>
      <c r="H341" s="9" t="s">
        <v>753</v>
      </c>
      <c r="I341" s="11" t="s">
        <v>58</v>
      </c>
      <c r="J341" s="11" t="s">
        <v>58</v>
      </c>
      <c r="K341" s="11" t="s">
        <v>58</v>
      </c>
      <c r="L341" s="32" t="str">
        <f aca="false">IF(J341="VALID","ADJUDICATE","OPEN")</f>
        <v>OPEN</v>
      </c>
    </row>
    <row r="342" customFormat="false" ht="15" hidden="false" customHeight="false" outlineLevel="0" collapsed="false">
      <c r="A342" s="9" t="s">
        <v>1152</v>
      </c>
      <c r="B342" s="9" t="s">
        <v>1153</v>
      </c>
      <c r="C342" s="9" t="s">
        <v>441</v>
      </c>
      <c r="D342" s="9" t="s">
        <v>442</v>
      </c>
      <c r="E342" s="9" t="s">
        <v>787</v>
      </c>
      <c r="F342" s="9" t="s">
        <v>322</v>
      </c>
      <c r="G342" s="9" t="s">
        <v>756</v>
      </c>
      <c r="H342" s="9" t="s">
        <v>745</v>
      </c>
      <c r="I342" s="11" t="s">
        <v>58</v>
      </c>
      <c r="J342" s="11" t="s">
        <v>58</v>
      </c>
      <c r="K342" s="11" t="s">
        <v>58</v>
      </c>
      <c r="L342" s="32" t="str">
        <f aca="false">IF(J342="VALID","ADJUDICATE","OPEN")</f>
        <v>OPEN</v>
      </c>
    </row>
    <row r="343" customFormat="false" ht="15" hidden="false" customHeight="false" outlineLevel="0" collapsed="false">
      <c r="A343" s="9" t="s">
        <v>1154</v>
      </c>
      <c r="B343" s="9" t="s">
        <v>1153</v>
      </c>
      <c r="C343" s="9" t="s">
        <v>441</v>
      </c>
      <c r="D343" s="9" t="s">
        <v>442</v>
      </c>
      <c r="E343" s="9" t="s">
        <v>787</v>
      </c>
      <c r="F343" s="9" t="s">
        <v>322</v>
      </c>
      <c r="G343" s="9" t="s">
        <v>756</v>
      </c>
      <c r="H343" s="9" t="s">
        <v>747</v>
      </c>
      <c r="I343" s="11" t="s">
        <v>58</v>
      </c>
      <c r="J343" s="11" t="s">
        <v>58</v>
      </c>
      <c r="K343" s="11" t="s">
        <v>58</v>
      </c>
      <c r="L343" s="32" t="str">
        <f aca="false">IF(J343="VALID","ADJUDICATE","OPEN")</f>
        <v>OPEN</v>
      </c>
    </row>
    <row r="344" customFormat="false" ht="15" hidden="false" customHeight="false" outlineLevel="0" collapsed="false">
      <c r="A344" s="9" t="s">
        <v>1155</v>
      </c>
      <c r="B344" s="9" t="s">
        <v>1153</v>
      </c>
      <c r="C344" s="9" t="s">
        <v>441</v>
      </c>
      <c r="D344" s="9" t="s">
        <v>442</v>
      </c>
      <c r="E344" s="9" t="s">
        <v>787</v>
      </c>
      <c r="F344" s="9" t="s">
        <v>322</v>
      </c>
      <c r="G344" s="9" t="s">
        <v>756</v>
      </c>
      <c r="H344" s="9" t="s">
        <v>749</v>
      </c>
      <c r="I344" s="11" t="s">
        <v>58</v>
      </c>
      <c r="J344" s="11" t="s">
        <v>58</v>
      </c>
      <c r="K344" s="11" t="s">
        <v>58</v>
      </c>
      <c r="L344" s="32" t="str">
        <f aca="false">IF(J344="VALID","ADJUDICATE","OPEN")</f>
        <v>OPEN</v>
      </c>
    </row>
    <row r="345" customFormat="false" ht="15" hidden="false" customHeight="false" outlineLevel="0" collapsed="false">
      <c r="A345" s="9" t="s">
        <v>1156</v>
      </c>
      <c r="B345" s="9" t="s">
        <v>1153</v>
      </c>
      <c r="C345" s="9" t="s">
        <v>441</v>
      </c>
      <c r="D345" s="9" t="s">
        <v>442</v>
      </c>
      <c r="E345" s="9" t="s">
        <v>787</v>
      </c>
      <c r="F345" s="9" t="s">
        <v>322</v>
      </c>
      <c r="G345" s="9" t="s">
        <v>756</v>
      </c>
      <c r="H345" s="9" t="s">
        <v>751</v>
      </c>
      <c r="I345" s="11" t="s">
        <v>58</v>
      </c>
      <c r="J345" s="11" t="s">
        <v>58</v>
      </c>
      <c r="K345" s="11" t="s">
        <v>58</v>
      </c>
      <c r="L345" s="32" t="str">
        <f aca="false">IF(J345="VALID","ADJUDICATE","OPEN")</f>
        <v>OPEN</v>
      </c>
    </row>
    <row r="346" customFormat="false" ht="15" hidden="false" customHeight="false" outlineLevel="0" collapsed="false">
      <c r="A346" s="9" t="s">
        <v>1157</v>
      </c>
      <c r="B346" s="9" t="s">
        <v>1153</v>
      </c>
      <c r="C346" s="9" t="s">
        <v>441</v>
      </c>
      <c r="D346" s="9" t="s">
        <v>442</v>
      </c>
      <c r="E346" s="9" t="s">
        <v>787</v>
      </c>
      <c r="F346" s="9" t="s">
        <v>322</v>
      </c>
      <c r="G346" s="9" t="s">
        <v>756</v>
      </c>
      <c r="H346" s="9" t="s">
        <v>753</v>
      </c>
      <c r="I346" s="11" t="s">
        <v>58</v>
      </c>
      <c r="J346" s="11" t="s">
        <v>58</v>
      </c>
      <c r="K346" s="11" t="s">
        <v>58</v>
      </c>
      <c r="L346" s="32" t="str">
        <f aca="false">IF(J346="VALID","ADJUDICATE","OPEN")</f>
        <v>OPEN</v>
      </c>
    </row>
    <row r="347" customFormat="false" ht="15" hidden="false" customHeight="false" outlineLevel="0" collapsed="false">
      <c r="A347" s="9" t="s">
        <v>1158</v>
      </c>
      <c r="B347" s="9" t="s">
        <v>1159</v>
      </c>
      <c r="C347" s="9" t="s">
        <v>441</v>
      </c>
      <c r="D347" s="9" t="s">
        <v>442</v>
      </c>
      <c r="E347" s="9" t="s">
        <v>787</v>
      </c>
      <c r="F347" s="9" t="s">
        <v>333</v>
      </c>
      <c r="G347" s="9" t="s">
        <v>744</v>
      </c>
      <c r="H347" s="9" t="s">
        <v>745</v>
      </c>
      <c r="I347" s="11" t="s">
        <v>58</v>
      </c>
      <c r="J347" s="11" t="s">
        <v>58</v>
      </c>
      <c r="K347" s="11" t="s">
        <v>58</v>
      </c>
      <c r="L347" s="32" t="str">
        <f aca="false">IF(J347="VALID","ADJUDICATE","OPEN")</f>
        <v>OPEN</v>
      </c>
    </row>
    <row r="348" customFormat="false" ht="15" hidden="false" customHeight="false" outlineLevel="0" collapsed="false">
      <c r="A348" s="9" t="s">
        <v>1160</v>
      </c>
      <c r="B348" s="9" t="s">
        <v>1159</v>
      </c>
      <c r="C348" s="9" t="s">
        <v>441</v>
      </c>
      <c r="D348" s="9" t="s">
        <v>442</v>
      </c>
      <c r="E348" s="9" t="s">
        <v>787</v>
      </c>
      <c r="F348" s="9" t="s">
        <v>333</v>
      </c>
      <c r="G348" s="9" t="s">
        <v>744</v>
      </c>
      <c r="H348" s="9" t="s">
        <v>747</v>
      </c>
      <c r="I348" s="11" t="s">
        <v>58</v>
      </c>
      <c r="J348" s="11" t="s">
        <v>58</v>
      </c>
      <c r="K348" s="11" t="s">
        <v>58</v>
      </c>
      <c r="L348" s="32" t="str">
        <f aca="false">IF(J348="VALID","ADJUDICATE","OPEN")</f>
        <v>OPEN</v>
      </c>
    </row>
    <row r="349" customFormat="false" ht="15" hidden="false" customHeight="false" outlineLevel="0" collapsed="false">
      <c r="A349" s="9" t="s">
        <v>1161</v>
      </c>
      <c r="B349" s="9" t="s">
        <v>1159</v>
      </c>
      <c r="C349" s="9" t="s">
        <v>441</v>
      </c>
      <c r="D349" s="9" t="s">
        <v>442</v>
      </c>
      <c r="E349" s="9" t="s">
        <v>787</v>
      </c>
      <c r="F349" s="9" t="s">
        <v>333</v>
      </c>
      <c r="G349" s="9" t="s">
        <v>744</v>
      </c>
      <c r="H349" s="9" t="s">
        <v>749</v>
      </c>
      <c r="I349" s="11" t="s">
        <v>58</v>
      </c>
      <c r="J349" s="11" t="s">
        <v>58</v>
      </c>
      <c r="K349" s="11" t="s">
        <v>58</v>
      </c>
      <c r="L349" s="32" t="str">
        <f aca="false">IF(J349="VALID","ADJUDICATE","OPEN")</f>
        <v>OPEN</v>
      </c>
    </row>
    <row r="350" customFormat="false" ht="15" hidden="false" customHeight="false" outlineLevel="0" collapsed="false">
      <c r="A350" s="9" t="s">
        <v>1162</v>
      </c>
      <c r="B350" s="9" t="s">
        <v>1159</v>
      </c>
      <c r="C350" s="9" t="s">
        <v>441</v>
      </c>
      <c r="D350" s="9" t="s">
        <v>442</v>
      </c>
      <c r="E350" s="9" t="s">
        <v>787</v>
      </c>
      <c r="F350" s="9" t="s">
        <v>333</v>
      </c>
      <c r="G350" s="9" t="s">
        <v>744</v>
      </c>
      <c r="H350" s="9" t="s">
        <v>751</v>
      </c>
      <c r="I350" s="11" t="s">
        <v>58</v>
      </c>
      <c r="J350" s="11" t="s">
        <v>58</v>
      </c>
      <c r="K350" s="11" t="s">
        <v>58</v>
      </c>
      <c r="L350" s="32" t="str">
        <f aca="false">IF(J350="VALID","ADJUDICATE","OPEN")</f>
        <v>OPEN</v>
      </c>
    </row>
    <row r="351" customFormat="false" ht="15" hidden="false" customHeight="false" outlineLevel="0" collapsed="false">
      <c r="A351" s="9" t="s">
        <v>1163</v>
      </c>
      <c r="B351" s="9" t="s">
        <v>1159</v>
      </c>
      <c r="C351" s="9" t="s">
        <v>441</v>
      </c>
      <c r="D351" s="9" t="s">
        <v>442</v>
      </c>
      <c r="E351" s="9" t="s">
        <v>787</v>
      </c>
      <c r="F351" s="9" t="s">
        <v>333</v>
      </c>
      <c r="G351" s="9" t="s">
        <v>744</v>
      </c>
      <c r="H351" s="9" t="s">
        <v>753</v>
      </c>
      <c r="I351" s="11" t="s">
        <v>58</v>
      </c>
      <c r="J351" s="11" t="s">
        <v>58</v>
      </c>
      <c r="K351" s="11" t="s">
        <v>58</v>
      </c>
      <c r="L351" s="32" t="str">
        <f aca="false">IF(J351="VALID","ADJUDICATE","OPEN")</f>
        <v>OPEN</v>
      </c>
    </row>
    <row r="352" customFormat="false" ht="15" hidden="false" customHeight="false" outlineLevel="0" collapsed="false">
      <c r="A352" s="9" t="s">
        <v>1164</v>
      </c>
      <c r="B352" s="9" t="s">
        <v>1165</v>
      </c>
      <c r="C352" s="9" t="s">
        <v>441</v>
      </c>
      <c r="D352" s="9" t="s">
        <v>442</v>
      </c>
      <c r="E352" s="9" t="s">
        <v>787</v>
      </c>
      <c r="F352" s="9" t="s">
        <v>333</v>
      </c>
      <c r="G352" s="9" t="s">
        <v>756</v>
      </c>
      <c r="H352" s="9" t="s">
        <v>745</v>
      </c>
      <c r="I352" s="11" t="s">
        <v>58</v>
      </c>
      <c r="J352" s="11" t="s">
        <v>58</v>
      </c>
      <c r="K352" s="11" t="s">
        <v>58</v>
      </c>
      <c r="L352" s="32" t="str">
        <f aca="false">IF(J352="VALID","ADJUDICATE","OPEN")</f>
        <v>OPEN</v>
      </c>
    </row>
    <row r="353" customFormat="false" ht="15" hidden="false" customHeight="false" outlineLevel="0" collapsed="false">
      <c r="A353" s="9" t="s">
        <v>1166</v>
      </c>
      <c r="B353" s="9" t="s">
        <v>1165</v>
      </c>
      <c r="C353" s="9" t="s">
        <v>441</v>
      </c>
      <c r="D353" s="9" t="s">
        <v>442</v>
      </c>
      <c r="E353" s="9" t="s">
        <v>787</v>
      </c>
      <c r="F353" s="9" t="s">
        <v>333</v>
      </c>
      <c r="G353" s="9" t="s">
        <v>756</v>
      </c>
      <c r="H353" s="9" t="s">
        <v>747</v>
      </c>
      <c r="I353" s="11" t="s">
        <v>58</v>
      </c>
      <c r="J353" s="11" t="s">
        <v>58</v>
      </c>
      <c r="K353" s="11" t="s">
        <v>58</v>
      </c>
      <c r="L353" s="32" t="str">
        <f aca="false">IF(J353="VALID","ADJUDICATE","OPEN")</f>
        <v>OPEN</v>
      </c>
    </row>
    <row r="354" customFormat="false" ht="15" hidden="false" customHeight="false" outlineLevel="0" collapsed="false">
      <c r="A354" s="9" t="s">
        <v>1167</v>
      </c>
      <c r="B354" s="9" t="s">
        <v>1165</v>
      </c>
      <c r="C354" s="9" t="s">
        <v>441</v>
      </c>
      <c r="D354" s="9" t="s">
        <v>442</v>
      </c>
      <c r="E354" s="9" t="s">
        <v>787</v>
      </c>
      <c r="F354" s="9" t="s">
        <v>333</v>
      </c>
      <c r="G354" s="9" t="s">
        <v>756</v>
      </c>
      <c r="H354" s="9" t="s">
        <v>749</v>
      </c>
      <c r="I354" s="11" t="s">
        <v>58</v>
      </c>
      <c r="J354" s="11" t="s">
        <v>58</v>
      </c>
      <c r="K354" s="11" t="s">
        <v>58</v>
      </c>
      <c r="L354" s="32" t="str">
        <f aca="false">IF(J354="VALID","ADJUDICATE","OPEN")</f>
        <v>OPEN</v>
      </c>
    </row>
    <row r="355" customFormat="false" ht="15" hidden="false" customHeight="false" outlineLevel="0" collapsed="false">
      <c r="A355" s="9" t="s">
        <v>1168</v>
      </c>
      <c r="B355" s="9" t="s">
        <v>1165</v>
      </c>
      <c r="C355" s="9" t="s">
        <v>441</v>
      </c>
      <c r="D355" s="9" t="s">
        <v>442</v>
      </c>
      <c r="E355" s="9" t="s">
        <v>787</v>
      </c>
      <c r="F355" s="9" t="s">
        <v>333</v>
      </c>
      <c r="G355" s="9" t="s">
        <v>756</v>
      </c>
      <c r="H355" s="9" t="s">
        <v>751</v>
      </c>
      <c r="I355" s="11" t="s">
        <v>58</v>
      </c>
      <c r="J355" s="11" t="s">
        <v>58</v>
      </c>
      <c r="K355" s="11" t="s">
        <v>58</v>
      </c>
      <c r="L355" s="32" t="str">
        <f aca="false">IF(J355="VALID","ADJUDICATE","OPEN")</f>
        <v>OPEN</v>
      </c>
    </row>
    <row r="356" customFormat="false" ht="15" hidden="false" customHeight="false" outlineLevel="0" collapsed="false">
      <c r="A356" s="9" t="s">
        <v>1169</v>
      </c>
      <c r="B356" s="9" t="s">
        <v>1165</v>
      </c>
      <c r="C356" s="9" t="s">
        <v>441</v>
      </c>
      <c r="D356" s="9" t="s">
        <v>442</v>
      </c>
      <c r="E356" s="9" t="s">
        <v>787</v>
      </c>
      <c r="F356" s="9" t="s">
        <v>333</v>
      </c>
      <c r="G356" s="9" t="s">
        <v>756</v>
      </c>
      <c r="H356" s="9" t="s">
        <v>753</v>
      </c>
      <c r="I356" s="11" t="s">
        <v>58</v>
      </c>
      <c r="J356" s="11" t="s">
        <v>58</v>
      </c>
      <c r="K356" s="11" t="s">
        <v>58</v>
      </c>
      <c r="L356" s="32" t="str">
        <f aca="false">IF(J356="VALID","ADJUDICATE","OPEN")</f>
        <v>OPEN</v>
      </c>
    </row>
    <row r="357" customFormat="false" ht="15" hidden="false" customHeight="false" outlineLevel="0" collapsed="false">
      <c r="A357" s="9" t="s">
        <v>1170</v>
      </c>
      <c r="B357" s="9" t="s">
        <v>1171</v>
      </c>
      <c r="C357" s="9" t="s">
        <v>441</v>
      </c>
      <c r="D357" s="9" t="s">
        <v>442</v>
      </c>
      <c r="E357" s="9" t="s">
        <v>787</v>
      </c>
      <c r="F357" s="9" t="s">
        <v>341</v>
      </c>
      <c r="G357" s="9" t="s">
        <v>744</v>
      </c>
      <c r="H357" s="9" t="s">
        <v>745</v>
      </c>
      <c r="I357" s="11" t="s">
        <v>58</v>
      </c>
      <c r="J357" s="11" t="s">
        <v>58</v>
      </c>
      <c r="K357" s="11" t="s">
        <v>58</v>
      </c>
      <c r="L357" s="32" t="str">
        <f aca="false">IF(J357="VALID","ADJUDICATE","OPEN")</f>
        <v>OPEN</v>
      </c>
    </row>
    <row r="358" customFormat="false" ht="15" hidden="false" customHeight="false" outlineLevel="0" collapsed="false">
      <c r="A358" s="9" t="s">
        <v>1172</v>
      </c>
      <c r="B358" s="9" t="s">
        <v>1171</v>
      </c>
      <c r="C358" s="9" t="s">
        <v>441</v>
      </c>
      <c r="D358" s="9" t="s">
        <v>442</v>
      </c>
      <c r="E358" s="9" t="s">
        <v>787</v>
      </c>
      <c r="F358" s="9" t="s">
        <v>341</v>
      </c>
      <c r="G358" s="9" t="s">
        <v>744</v>
      </c>
      <c r="H358" s="9" t="s">
        <v>747</v>
      </c>
      <c r="I358" s="11" t="s">
        <v>58</v>
      </c>
      <c r="J358" s="11" t="s">
        <v>58</v>
      </c>
      <c r="K358" s="11" t="s">
        <v>58</v>
      </c>
      <c r="L358" s="32" t="str">
        <f aca="false">IF(J358="VALID","ADJUDICATE","OPEN")</f>
        <v>OPEN</v>
      </c>
    </row>
    <row r="359" customFormat="false" ht="15" hidden="false" customHeight="false" outlineLevel="0" collapsed="false">
      <c r="A359" s="9" t="s">
        <v>1173</v>
      </c>
      <c r="B359" s="9" t="s">
        <v>1171</v>
      </c>
      <c r="C359" s="9" t="s">
        <v>441</v>
      </c>
      <c r="D359" s="9" t="s">
        <v>442</v>
      </c>
      <c r="E359" s="9" t="s">
        <v>787</v>
      </c>
      <c r="F359" s="9" t="s">
        <v>341</v>
      </c>
      <c r="G359" s="9" t="s">
        <v>744</v>
      </c>
      <c r="H359" s="9" t="s">
        <v>749</v>
      </c>
      <c r="I359" s="11" t="s">
        <v>58</v>
      </c>
      <c r="J359" s="11" t="s">
        <v>58</v>
      </c>
      <c r="K359" s="11" t="s">
        <v>58</v>
      </c>
      <c r="L359" s="32" t="str">
        <f aca="false">IF(J359="VALID","ADJUDICATE","OPEN")</f>
        <v>OPEN</v>
      </c>
    </row>
    <row r="360" customFormat="false" ht="15" hidden="false" customHeight="false" outlineLevel="0" collapsed="false">
      <c r="A360" s="9" t="s">
        <v>1174</v>
      </c>
      <c r="B360" s="9" t="s">
        <v>1171</v>
      </c>
      <c r="C360" s="9" t="s">
        <v>441</v>
      </c>
      <c r="D360" s="9" t="s">
        <v>442</v>
      </c>
      <c r="E360" s="9" t="s">
        <v>787</v>
      </c>
      <c r="F360" s="9" t="s">
        <v>341</v>
      </c>
      <c r="G360" s="9" t="s">
        <v>744</v>
      </c>
      <c r="H360" s="9" t="s">
        <v>751</v>
      </c>
      <c r="I360" s="11" t="s">
        <v>58</v>
      </c>
      <c r="J360" s="11" t="s">
        <v>58</v>
      </c>
      <c r="K360" s="11" t="s">
        <v>58</v>
      </c>
      <c r="L360" s="32" t="str">
        <f aca="false">IF(J360="VALID","ADJUDICATE","OPEN")</f>
        <v>OPEN</v>
      </c>
    </row>
    <row r="361" customFormat="false" ht="15" hidden="false" customHeight="false" outlineLevel="0" collapsed="false">
      <c r="A361" s="9" t="s">
        <v>1175</v>
      </c>
      <c r="B361" s="9" t="s">
        <v>1171</v>
      </c>
      <c r="C361" s="9" t="s">
        <v>441</v>
      </c>
      <c r="D361" s="9" t="s">
        <v>442</v>
      </c>
      <c r="E361" s="9" t="s">
        <v>787</v>
      </c>
      <c r="F361" s="9" t="s">
        <v>341</v>
      </c>
      <c r="G361" s="9" t="s">
        <v>744</v>
      </c>
      <c r="H361" s="9" t="s">
        <v>753</v>
      </c>
      <c r="I361" s="11" t="s">
        <v>58</v>
      </c>
      <c r="J361" s="11" t="s">
        <v>58</v>
      </c>
      <c r="K361" s="11" t="s">
        <v>58</v>
      </c>
      <c r="L361" s="32" t="str">
        <f aca="false">IF(J361="VALID","ADJUDICATE","OPEN")</f>
        <v>OPEN</v>
      </c>
    </row>
    <row r="362" customFormat="false" ht="15" hidden="false" customHeight="false" outlineLevel="0" collapsed="false">
      <c r="A362" s="9" t="s">
        <v>1176</v>
      </c>
      <c r="B362" s="9" t="s">
        <v>1177</v>
      </c>
      <c r="C362" s="9" t="s">
        <v>441</v>
      </c>
      <c r="D362" s="9" t="s">
        <v>442</v>
      </c>
      <c r="E362" s="9" t="s">
        <v>787</v>
      </c>
      <c r="F362" s="9" t="s">
        <v>341</v>
      </c>
      <c r="G362" s="9" t="s">
        <v>756</v>
      </c>
      <c r="H362" s="9" t="s">
        <v>745</v>
      </c>
      <c r="I362" s="11" t="s">
        <v>58</v>
      </c>
      <c r="J362" s="11" t="s">
        <v>58</v>
      </c>
      <c r="K362" s="11" t="s">
        <v>58</v>
      </c>
      <c r="L362" s="32" t="str">
        <f aca="false">IF(J362="VALID","ADJUDICATE","OPEN")</f>
        <v>OPEN</v>
      </c>
    </row>
    <row r="363" customFormat="false" ht="15" hidden="false" customHeight="false" outlineLevel="0" collapsed="false">
      <c r="A363" s="9" t="s">
        <v>1178</v>
      </c>
      <c r="B363" s="9" t="s">
        <v>1177</v>
      </c>
      <c r="C363" s="9" t="s">
        <v>441</v>
      </c>
      <c r="D363" s="9" t="s">
        <v>442</v>
      </c>
      <c r="E363" s="9" t="s">
        <v>787</v>
      </c>
      <c r="F363" s="9" t="s">
        <v>341</v>
      </c>
      <c r="G363" s="9" t="s">
        <v>756</v>
      </c>
      <c r="H363" s="9" t="s">
        <v>747</v>
      </c>
      <c r="I363" s="11" t="s">
        <v>58</v>
      </c>
      <c r="J363" s="11" t="s">
        <v>58</v>
      </c>
      <c r="K363" s="11" t="s">
        <v>58</v>
      </c>
      <c r="L363" s="32" t="str">
        <f aca="false">IF(J363="VALID","ADJUDICATE","OPEN")</f>
        <v>OPEN</v>
      </c>
    </row>
    <row r="364" customFormat="false" ht="15" hidden="false" customHeight="false" outlineLevel="0" collapsed="false">
      <c r="A364" s="9" t="s">
        <v>1179</v>
      </c>
      <c r="B364" s="9" t="s">
        <v>1177</v>
      </c>
      <c r="C364" s="9" t="s">
        <v>441</v>
      </c>
      <c r="D364" s="9" t="s">
        <v>442</v>
      </c>
      <c r="E364" s="9" t="s">
        <v>787</v>
      </c>
      <c r="F364" s="9" t="s">
        <v>341</v>
      </c>
      <c r="G364" s="9" t="s">
        <v>756</v>
      </c>
      <c r="H364" s="9" t="s">
        <v>749</v>
      </c>
      <c r="I364" s="11" t="s">
        <v>58</v>
      </c>
      <c r="J364" s="11" t="s">
        <v>58</v>
      </c>
      <c r="K364" s="11" t="s">
        <v>58</v>
      </c>
      <c r="L364" s="32" t="str">
        <f aca="false">IF(J364="VALID","ADJUDICATE","OPEN")</f>
        <v>OPEN</v>
      </c>
    </row>
    <row r="365" customFormat="false" ht="15" hidden="false" customHeight="false" outlineLevel="0" collapsed="false">
      <c r="A365" s="9" t="s">
        <v>1180</v>
      </c>
      <c r="B365" s="9" t="s">
        <v>1177</v>
      </c>
      <c r="C365" s="9" t="s">
        <v>441</v>
      </c>
      <c r="D365" s="9" t="s">
        <v>442</v>
      </c>
      <c r="E365" s="9" t="s">
        <v>787</v>
      </c>
      <c r="F365" s="9" t="s">
        <v>341</v>
      </c>
      <c r="G365" s="9" t="s">
        <v>756</v>
      </c>
      <c r="H365" s="9" t="s">
        <v>751</v>
      </c>
      <c r="I365" s="11" t="s">
        <v>58</v>
      </c>
      <c r="J365" s="11" t="s">
        <v>58</v>
      </c>
      <c r="K365" s="11" t="s">
        <v>58</v>
      </c>
      <c r="L365" s="32" t="str">
        <f aca="false">IF(J365="VALID","ADJUDICATE","OPEN")</f>
        <v>OPEN</v>
      </c>
    </row>
    <row r="366" customFormat="false" ht="15" hidden="false" customHeight="false" outlineLevel="0" collapsed="false">
      <c r="A366" s="12" t="s">
        <v>1181</v>
      </c>
      <c r="B366" s="12" t="s">
        <v>1177</v>
      </c>
      <c r="C366" s="12" t="s">
        <v>441</v>
      </c>
      <c r="D366" s="12" t="s">
        <v>442</v>
      </c>
      <c r="E366" s="12" t="s">
        <v>787</v>
      </c>
      <c r="F366" s="12" t="s">
        <v>341</v>
      </c>
      <c r="G366" s="12" t="s">
        <v>756</v>
      </c>
      <c r="H366" s="12" t="s">
        <v>753</v>
      </c>
      <c r="I366" s="14" t="s">
        <v>58</v>
      </c>
      <c r="J366" s="14" t="s">
        <v>58</v>
      </c>
      <c r="K366" s="14" t="s">
        <v>58</v>
      </c>
      <c r="L366" s="35" t="str">
        <f aca="false">IF(J366="VALID","ADJUDICATE","OPEN")</f>
        <v>OPEN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8" min="6" style="0" width="14"/>
    <col collapsed="false" customWidth="true" hidden="false" outlineLevel="0" max="9" min="9" style="0" width="17"/>
    <col collapsed="false" customWidth="true" hidden="false" outlineLevel="0" max="10" min="10" style="0" width="24"/>
    <col collapsed="false" customWidth="true" hidden="false" outlineLevel="0" max="12" min="11" style="0" width="25"/>
  </cols>
  <sheetData>
    <row r="2" customFormat="false" ht="24" hidden="false" customHeight="true" outlineLevel="0" collapsed="false">
      <c r="A2" s="1" t="s">
        <v>1182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1183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1184</v>
      </c>
      <c r="B6" s="6" t="s">
        <v>287</v>
      </c>
      <c r="C6" s="6" t="s">
        <v>288</v>
      </c>
      <c r="D6" s="6" t="s">
        <v>1185</v>
      </c>
      <c r="E6" s="6" t="s">
        <v>1186</v>
      </c>
      <c r="F6" s="6" t="s">
        <v>1187</v>
      </c>
      <c r="G6" s="6" t="s">
        <v>1188</v>
      </c>
      <c r="H6" s="6" t="s">
        <v>1189</v>
      </c>
      <c r="I6" s="6" t="s">
        <v>1190</v>
      </c>
      <c r="J6" s="6" t="s">
        <v>1191</v>
      </c>
      <c r="K6" s="6" t="s">
        <v>1192</v>
      </c>
      <c r="L6" s="7" t="s">
        <v>1193</v>
      </c>
    </row>
    <row r="7" customFormat="false" ht="15" hidden="false" customHeight="false" outlineLevel="0" collapsed="false">
      <c r="A7" s="8" t="s">
        <v>1194</v>
      </c>
      <c r="B7" s="8" t="s">
        <v>306</v>
      </c>
      <c r="C7" s="8" t="s">
        <v>307</v>
      </c>
      <c r="D7" s="8" t="n">
        <v>6</v>
      </c>
      <c r="E7" s="37" t="n">
        <v>0.72</v>
      </c>
      <c r="F7" s="38" t="n">
        <v>0.25</v>
      </c>
      <c r="G7" s="38" t="n">
        <v>0.5</v>
      </c>
      <c r="H7" s="38" t="n">
        <v>0</v>
      </c>
      <c r="I7" s="38" t="n">
        <v>0.25</v>
      </c>
      <c r="J7" s="39" t="n">
        <f aca="false">E7*(F7+G7)</f>
        <v>0.54</v>
      </c>
      <c r="K7" s="39" t="n">
        <f aca="false">E7*(F7+G7+H7)</f>
        <v>0.54</v>
      </c>
      <c r="L7" s="39" t="n">
        <f aca="false">E7-K7</f>
        <v>0.18</v>
      </c>
    </row>
    <row r="8" customFormat="false" ht="15" hidden="false" customHeight="false" outlineLevel="0" collapsed="false">
      <c r="A8" s="9" t="s">
        <v>502</v>
      </c>
      <c r="B8" s="9" t="s">
        <v>319</v>
      </c>
      <c r="C8" s="9" t="s">
        <v>307</v>
      </c>
      <c r="D8" s="9" t="n">
        <v>18</v>
      </c>
      <c r="E8" s="40" t="n">
        <v>5.7</v>
      </c>
      <c r="F8" s="41" t="n">
        <v>0.25</v>
      </c>
      <c r="G8" s="41" t="n">
        <v>0.5</v>
      </c>
      <c r="H8" s="41" t="n">
        <v>0</v>
      </c>
      <c r="I8" s="41" t="n">
        <v>0.25</v>
      </c>
      <c r="J8" s="42" t="n">
        <f aca="false">E8*(F8+G8)</f>
        <v>4.275</v>
      </c>
      <c r="K8" s="42" t="n">
        <f aca="false">E8*(F8+G8+H8)</f>
        <v>4.275</v>
      </c>
      <c r="L8" s="42" t="n">
        <f aca="false">E8-K8</f>
        <v>1.425</v>
      </c>
    </row>
    <row r="9" customFormat="false" ht="15" hidden="false" customHeight="false" outlineLevel="0" collapsed="false">
      <c r="A9" s="9" t="s">
        <v>1195</v>
      </c>
      <c r="B9" s="9" t="s">
        <v>326</v>
      </c>
      <c r="C9" s="9" t="s">
        <v>307</v>
      </c>
      <c r="D9" s="9" t="n">
        <v>36</v>
      </c>
      <c r="E9" s="40" t="n">
        <v>3.24</v>
      </c>
      <c r="F9" s="41" t="n">
        <v>0.25</v>
      </c>
      <c r="G9" s="41" t="n">
        <v>0.5</v>
      </c>
      <c r="H9" s="41" t="n">
        <v>0</v>
      </c>
      <c r="I9" s="41" t="n">
        <v>0.25</v>
      </c>
      <c r="J9" s="42" t="n">
        <f aca="false">E9*(F9+G9)</f>
        <v>2.43</v>
      </c>
      <c r="K9" s="42" t="n">
        <f aca="false">E9*(F9+G9+H9)</f>
        <v>2.43</v>
      </c>
      <c r="L9" s="42" t="n">
        <f aca="false">E9-K9</f>
        <v>0.81</v>
      </c>
    </row>
    <row r="10" customFormat="false" ht="15" hidden="false" customHeight="false" outlineLevel="0" collapsed="false">
      <c r="A10" s="9" t="s">
        <v>1196</v>
      </c>
      <c r="B10" s="9" t="s">
        <v>329</v>
      </c>
      <c r="C10" s="9" t="s">
        <v>307</v>
      </c>
      <c r="D10" s="9" t="n">
        <v>18</v>
      </c>
      <c r="E10" s="40" t="n">
        <v>1.2</v>
      </c>
      <c r="F10" s="41" t="n">
        <v>0.25</v>
      </c>
      <c r="G10" s="41" t="n">
        <v>0.5</v>
      </c>
      <c r="H10" s="41" t="n">
        <v>0</v>
      </c>
      <c r="I10" s="41" t="n">
        <v>0.25</v>
      </c>
      <c r="J10" s="42" t="n">
        <f aca="false">E10*(F10+G10)</f>
        <v>0.9</v>
      </c>
      <c r="K10" s="42" t="n">
        <f aca="false">E10*(F10+G10+H10)</f>
        <v>0.9</v>
      </c>
      <c r="L10" s="42" t="n">
        <f aca="false">E10-K10</f>
        <v>0.3</v>
      </c>
    </row>
    <row r="11" customFormat="false" ht="15" hidden="false" customHeight="false" outlineLevel="0" collapsed="false">
      <c r="A11" s="9" t="s">
        <v>1197</v>
      </c>
      <c r="B11" s="9" t="s">
        <v>331</v>
      </c>
      <c r="C11" s="9" t="s">
        <v>307</v>
      </c>
      <c r="D11" s="9" t="n">
        <v>18</v>
      </c>
      <c r="E11" s="40" t="n">
        <v>1.14</v>
      </c>
      <c r="F11" s="41" t="n">
        <v>0.25</v>
      </c>
      <c r="G11" s="41" t="n">
        <v>0.5</v>
      </c>
      <c r="H11" s="41" t="n">
        <v>0</v>
      </c>
      <c r="I11" s="41" t="n">
        <v>0.25</v>
      </c>
      <c r="J11" s="42" t="n">
        <f aca="false">E11*(F11+G11)</f>
        <v>0.855</v>
      </c>
      <c r="K11" s="42" t="n">
        <f aca="false">E11*(F11+G11+H11)</f>
        <v>0.855</v>
      </c>
      <c r="L11" s="42" t="n">
        <f aca="false">E11-K11</f>
        <v>0.285</v>
      </c>
    </row>
    <row r="12" customFormat="false" ht="15" hidden="false" customHeight="false" outlineLevel="0" collapsed="false">
      <c r="A12" s="12" t="s">
        <v>1198</v>
      </c>
      <c r="B12" s="12" t="s">
        <v>464</v>
      </c>
      <c r="C12" s="12" t="s">
        <v>465</v>
      </c>
      <c r="D12" s="12" t="n">
        <v>6</v>
      </c>
      <c r="E12" s="43" t="n">
        <v>3.58691281932057</v>
      </c>
      <c r="F12" s="44" t="n">
        <v>0.15</v>
      </c>
      <c r="G12" s="44" t="n">
        <v>0.35</v>
      </c>
      <c r="H12" s="44" t="n">
        <v>0.35</v>
      </c>
      <c r="I12" s="44" t="n">
        <v>0.15</v>
      </c>
      <c r="J12" s="45" t="n">
        <f aca="false">E12*(F12+G12)</f>
        <v>1.79345640966028</v>
      </c>
      <c r="K12" s="45" t="n">
        <f aca="false">E12*(F12+G12+H12)</f>
        <v>3.04887589642248</v>
      </c>
      <c r="L12" s="45" t="n">
        <f aca="false">E12-K12</f>
        <v>0.538036922898085</v>
      </c>
    </row>
    <row r="13" customFormat="false" ht="23" hidden="false" customHeight="true" outlineLevel="0" collapsed="false">
      <c r="A13" s="15" t="s">
        <v>1199</v>
      </c>
      <c r="B13" s="16" t="s">
        <v>1200</v>
      </c>
      <c r="C13" s="16" t="s">
        <v>1201</v>
      </c>
      <c r="D13" s="46" t="n">
        <f aca="false">SUM(D7:D12)</f>
        <v>102</v>
      </c>
      <c r="E13" s="47" t="n">
        <f aca="false">SUM(E7:E12)</f>
        <v>15.5869128193206</v>
      </c>
      <c r="F13" s="16"/>
      <c r="G13" s="16"/>
      <c r="H13" s="16"/>
      <c r="I13" s="16"/>
      <c r="J13" s="47" t="n">
        <f aca="false">SUM(J7:J12)</f>
        <v>10.7934564096603</v>
      </c>
      <c r="K13" s="47" t="n">
        <f aca="false">SUM(K7:K12)</f>
        <v>12.0488758964225</v>
      </c>
      <c r="L13" s="48" t="n">
        <f aca="false">SUM(L7:L12)</f>
        <v>3.53803692289809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9"/>
    <col collapsed="false" customWidth="true" hidden="false" outlineLevel="0" max="13" min="13" style="0" width="17"/>
    <col collapsed="false" customWidth="true" hidden="false" outlineLevel="0" max="14" min="14" style="0" width="14"/>
  </cols>
  <sheetData>
    <row r="2" customFormat="false" ht="24" hidden="false" customHeight="true" outlineLevel="0" collapsed="false">
      <c r="A2" s="1" t="s">
        <v>1202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1203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3" hidden="false" customHeight="true" outlineLevel="0" collapsed="false">
      <c r="A6" s="5" t="s">
        <v>1204</v>
      </c>
      <c r="B6" s="6" t="s">
        <v>286</v>
      </c>
      <c r="C6" s="6" t="s">
        <v>287</v>
      </c>
      <c r="D6" s="6" t="s">
        <v>288</v>
      </c>
      <c r="E6" s="6" t="s">
        <v>289</v>
      </c>
      <c r="F6" s="6" t="s">
        <v>290</v>
      </c>
      <c r="G6" s="6" t="s">
        <v>1205</v>
      </c>
      <c r="H6" s="6" t="s">
        <v>1206</v>
      </c>
      <c r="I6" s="6" t="s">
        <v>1207</v>
      </c>
      <c r="J6" s="6" t="s">
        <v>1208</v>
      </c>
      <c r="K6" s="6" t="s">
        <v>726</v>
      </c>
      <c r="L6" s="6" t="s">
        <v>302</v>
      </c>
      <c r="M6" s="6" t="s">
        <v>303</v>
      </c>
      <c r="N6" s="7" t="s">
        <v>5</v>
      </c>
    </row>
    <row r="7" customFormat="false" ht="15" hidden="false" customHeight="false" outlineLevel="0" collapsed="false">
      <c r="A7" s="18" t="str">
        <f aca="false">"PAY-"&amp;B7&amp;"-FRAME"</f>
        <v>PAY-SUB-01-FRAME</v>
      </c>
      <c r="B7" s="18" t="str">
        <f aca="false">'Object Crosswalk'!A7</f>
        <v>SUB-01</v>
      </c>
      <c r="C7" s="18" t="str">
        <f aca="false">'Object Crosswalk'!B7</f>
        <v>Civil substrate</v>
      </c>
      <c r="D7" s="18" t="str">
        <f aca="false">'Object Crosswalk'!C7</f>
        <v>Public</v>
      </c>
      <c r="E7" s="18" t="str">
        <f aca="false">'Object Crosswalk'!D7</f>
        <v>MULTI</v>
      </c>
      <c r="F7" s="18" t="str">
        <f aca="false">'Object Crosswalk'!E7</f>
        <v>—</v>
      </c>
      <c r="G7" s="8" t="s">
        <v>543</v>
      </c>
      <c r="H7" s="38" t="n">
        <v>0.25</v>
      </c>
      <c r="I7" s="49" t="n">
        <f aca="false">'Object Crosswalk'!I7</f>
        <v>0.12</v>
      </c>
      <c r="J7" s="49" t="n">
        <f aca="false">H7*I7</f>
        <v>0.03</v>
      </c>
      <c r="K7" s="29" t="n">
        <f aca="false">0</f>
        <v>0</v>
      </c>
      <c r="L7" s="30" t="n">
        <f aca="false">Controls!B35</f>
        <v>0</v>
      </c>
      <c r="M7" s="30" t="n">
        <f aca="false">Controls!B36</f>
        <v>0</v>
      </c>
      <c r="N7" s="29" t="str">
        <f aca="false">IF(M7&gt;0,"PAID","HELD")</f>
        <v>HELD</v>
      </c>
    </row>
    <row r="8" customFormat="false" ht="15" hidden="false" customHeight="false" outlineLevel="0" collapsed="false">
      <c r="A8" s="19" t="str">
        <f aca="false">"PAY-"&amp;B8&amp;"-MAKE"</f>
        <v>PAY-SUB-01-MAKE</v>
      </c>
      <c r="B8" s="19" t="str">
        <f aca="false">'Object Crosswalk'!A7</f>
        <v>SUB-01</v>
      </c>
      <c r="C8" s="19" t="str">
        <f aca="false">'Object Crosswalk'!B7</f>
        <v>Civil substrate</v>
      </c>
      <c r="D8" s="19" t="str">
        <f aca="false">'Object Crosswalk'!C7</f>
        <v>Public</v>
      </c>
      <c r="E8" s="19" t="str">
        <f aca="false">'Object Crosswalk'!D7</f>
        <v>MULTI</v>
      </c>
      <c r="F8" s="19" t="str">
        <f aca="false">'Object Crosswalk'!E7</f>
        <v>—</v>
      </c>
      <c r="G8" s="9" t="s">
        <v>546</v>
      </c>
      <c r="H8" s="41" t="n">
        <v>0.5</v>
      </c>
      <c r="I8" s="50" t="n">
        <f aca="false">'Object Crosswalk'!I7</f>
        <v>0.12</v>
      </c>
      <c r="J8" s="50" t="n">
        <f aca="false">H8*I8</f>
        <v>0.06</v>
      </c>
      <c r="K8" s="32" t="n">
        <f aca="false">0</f>
        <v>0</v>
      </c>
      <c r="L8" s="33" t="n">
        <f aca="false">Controls!B35</f>
        <v>0</v>
      </c>
      <c r="M8" s="33" t="n">
        <f aca="false">Controls!B36</f>
        <v>0</v>
      </c>
      <c r="N8" s="32" t="str">
        <f aca="false">IF(M8&gt;0,"PAID","HELD")</f>
        <v>HELD</v>
      </c>
    </row>
    <row r="9" customFormat="false" ht="15" hidden="false" customHeight="false" outlineLevel="0" collapsed="false">
      <c r="A9" s="19" t="str">
        <f aca="false">"PAY-"&amp;B9&amp;"-BREAK"</f>
        <v>PAY-SUB-01-BREAK</v>
      </c>
      <c r="B9" s="19" t="str">
        <f aca="false">'Object Crosswalk'!A7</f>
        <v>SUB-01</v>
      </c>
      <c r="C9" s="19" t="str">
        <f aca="false">'Object Crosswalk'!B7</f>
        <v>Civil substrate</v>
      </c>
      <c r="D9" s="19" t="str">
        <f aca="false">'Object Crosswalk'!C7</f>
        <v>Public</v>
      </c>
      <c r="E9" s="19" t="str">
        <f aca="false">'Object Crosswalk'!D7</f>
        <v>MULTI</v>
      </c>
      <c r="F9" s="19" t="str">
        <f aca="false">'Object Crosswalk'!E7</f>
        <v>—</v>
      </c>
      <c r="G9" s="9" t="s">
        <v>1209</v>
      </c>
      <c r="H9" s="41" t="n">
        <v>0</v>
      </c>
      <c r="I9" s="50" t="n">
        <f aca="false">'Object Crosswalk'!I7</f>
        <v>0.12</v>
      </c>
      <c r="J9" s="50" t="n">
        <f aca="false">H9*I9</f>
        <v>0</v>
      </c>
      <c r="K9" s="32" t="n">
        <f aca="false">0</f>
        <v>0</v>
      </c>
      <c r="L9" s="33" t="n">
        <f aca="false">Controls!B35</f>
        <v>0</v>
      </c>
      <c r="M9" s="33" t="n">
        <f aca="false">Controls!B36</f>
        <v>0</v>
      </c>
      <c r="N9" s="32" t="str">
        <f aca="false">IF(M9&gt;0,"PAID","HELD")</f>
        <v>HELD</v>
      </c>
    </row>
    <row r="10" customFormat="false" ht="15" hidden="false" customHeight="false" outlineLevel="0" collapsed="false">
      <c r="A10" s="19" t="str">
        <f aca="false">"PAY-"&amp;B10&amp;"-TRANSFER"</f>
        <v>PAY-SUB-01-TRANSFER</v>
      </c>
      <c r="B10" s="19" t="str">
        <f aca="false">'Object Crosswalk'!A7</f>
        <v>SUB-01</v>
      </c>
      <c r="C10" s="19" t="str">
        <f aca="false">'Object Crosswalk'!B7</f>
        <v>Civil substrate</v>
      </c>
      <c r="D10" s="19" t="str">
        <f aca="false">'Object Crosswalk'!C7</f>
        <v>Public</v>
      </c>
      <c r="E10" s="19" t="str">
        <f aca="false">'Object Crosswalk'!D7</f>
        <v>MULTI</v>
      </c>
      <c r="F10" s="19" t="str">
        <f aca="false">'Object Crosswalk'!E7</f>
        <v>—</v>
      </c>
      <c r="G10" s="9" t="s">
        <v>1210</v>
      </c>
      <c r="H10" s="41" t="n">
        <v>0.25</v>
      </c>
      <c r="I10" s="50" t="n">
        <f aca="false">'Object Crosswalk'!I7</f>
        <v>0.12</v>
      </c>
      <c r="J10" s="50" t="n">
        <f aca="false">H10*I10</f>
        <v>0.03</v>
      </c>
      <c r="K10" s="32" t="n">
        <f aca="false">0</f>
        <v>0</v>
      </c>
      <c r="L10" s="33" t="n">
        <f aca="false">Controls!B35</f>
        <v>0</v>
      </c>
      <c r="M10" s="33" t="n">
        <f aca="false">Controls!B36</f>
        <v>0</v>
      </c>
      <c r="N10" s="32" t="str">
        <f aca="false">IF(M10&gt;0,"PAID","HELD")</f>
        <v>HELD</v>
      </c>
    </row>
    <row r="11" customFormat="false" ht="15" hidden="false" customHeight="false" outlineLevel="0" collapsed="false">
      <c r="A11" s="19" t="str">
        <f aca="false">"PAY-"&amp;B11&amp;"-FRAME"</f>
        <v>PAY-SUB-02-FRAME</v>
      </c>
      <c r="B11" s="19" t="str">
        <f aca="false">'Object Crosswalk'!A8</f>
        <v>SUB-02</v>
      </c>
      <c r="C11" s="19" t="str">
        <f aca="false">'Object Crosswalk'!B8</f>
        <v>Civil substrate</v>
      </c>
      <c r="D11" s="19" t="str">
        <f aca="false">'Object Crosswalk'!C8</f>
        <v>Public</v>
      </c>
      <c r="E11" s="19" t="str">
        <f aca="false">'Object Crosswalk'!D8</f>
        <v>MULTI</v>
      </c>
      <c r="F11" s="19" t="str">
        <f aca="false">'Object Crosswalk'!E8</f>
        <v>—</v>
      </c>
      <c r="G11" s="9" t="s">
        <v>543</v>
      </c>
      <c r="H11" s="41" t="n">
        <v>0.25</v>
      </c>
      <c r="I11" s="50" t="n">
        <f aca="false">'Object Crosswalk'!I8</f>
        <v>0.12</v>
      </c>
      <c r="J11" s="50" t="n">
        <f aca="false">H11*I11</f>
        <v>0.03</v>
      </c>
      <c r="K11" s="32" t="n">
        <f aca="false">0</f>
        <v>0</v>
      </c>
      <c r="L11" s="33" t="n">
        <f aca="false">Controls!B35</f>
        <v>0</v>
      </c>
      <c r="M11" s="33" t="n">
        <f aca="false">Controls!B36</f>
        <v>0</v>
      </c>
      <c r="N11" s="32" t="str">
        <f aca="false">IF(M11&gt;0,"PAID","HELD")</f>
        <v>HELD</v>
      </c>
    </row>
    <row r="12" customFormat="false" ht="15" hidden="false" customHeight="false" outlineLevel="0" collapsed="false">
      <c r="A12" s="19" t="str">
        <f aca="false">"PAY-"&amp;B12&amp;"-MAKE"</f>
        <v>PAY-SUB-02-MAKE</v>
      </c>
      <c r="B12" s="19" t="str">
        <f aca="false">'Object Crosswalk'!A8</f>
        <v>SUB-02</v>
      </c>
      <c r="C12" s="19" t="str">
        <f aca="false">'Object Crosswalk'!B8</f>
        <v>Civil substrate</v>
      </c>
      <c r="D12" s="19" t="str">
        <f aca="false">'Object Crosswalk'!C8</f>
        <v>Public</v>
      </c>
      <c r="E12" s="19" t="str">
        <f aca="false">'Object Crosswalk'!D8</f>
        <v>MULTI</v>
      </c>
      <c r="F12" s="19" t="str">
        <f aca="false">'Object Crosswalk'!E8</f>
        <v>—</v>
      </c>
      <c r="G12" s="9" t="s">
        <v>546</v>
      </c>
      <c r="H12" s="41" t="n">
        <v>0.5</v>
      </c>
      <c r="I12" s="50" t="n">
        <f aca="false">'Object Crosswalk'!I8</f>
        <v>0.12</v>
      </c>
      <c r="J12" s="50" t="n">
        <f aca="false">H12*I12</f>
        <v>0.06</v>
      </c>
      <c r="K12" s="32" t="n">
        <f aca="false">0</f>
        <v>0</v>
      </c>
      <c r="L12" s="33" t="n">
        <f aca="false">Controls!B35</f>
        <v>0</v>
      </c>
      <c r="M12" s="33" t="n">
        <f aca="false">Controls!B36</f>
        <v>0</v>
      </c>
      <c r="N12" s="32" t="str">
        <f aca="false">IF(M12&gt;0,"PAID","HELD")</f>
        <v>HELD</v>
      </c>
    </row>
    <row r="13" customFormat="false" ht="15" hidden="false" customHeight="false" outlineLevel="0" collapsed="false">
      <c r="A13" s="19" t="str">
        <f aca="false">"PAY-"&amp;B13&amp;"-BREAK"</f>
        <v>PAY-SUB-02-BREAK</v>
      </c>
      <c r="B13" s="19" t="str">
        <f aca="false">'Object Crosswalk'!A8</f>
        <v>SUB-02</v>
      </c>
      <c r="C13" s="19" t="str">
        <f aca="false">'Object Crosswalk'!B8</f>
        <v>Civil substrate</v>
      </c>
      <c r="D13" s="19" t="str">
        <f aca="false">'Object Crosswalk'!C8</f>
        <v>Public</v>
      </c>
      <c r="E13" s="19" t="str">
        <f aca="false">'Object Crosswalk'!D8</f>
        <v>MULTI</v>
      </c>
      <c r="F13" s="19" t="str">
        <f aca="false">'Object Crosswalk'!E8</f>
        <v>—</v>
      </c>
      <c r="G13" s="9" t="s">
        <v>1209</v>
      </c>
      <c r="H13" s="41" t="n">
        <v>0</v>
      </c>
      <c r="I13" s="50" t="n">
        <f aca="false">'Object Crosswalk'!I8</f>
        <v>0.12</v>
      </c>
      <c r="J13" s="50" t="n">
        <f aca="false">H13*I13</f>
        <v>0</v>
      </c>
      <c r="K13" s="32" t="n">
        <f aca="false">0</f>
        <v>0</v>
      </c>
      <c r="L13" s="33" t="n">
        <f aca="false">Controls!B35</f>
        <v>0</v>
      </c>
      <c r="M13" s="33" t="n">
        <f aca="false">Controls!B36</f>
        <v>0</v>
      </c>
      <c r="N13" s="32" t="str">
        <f aca="false">IF(M13&gt;0,"PAID","HELD")</f>
        <v>HELD</v>
      </c>
    </row>
    <row r="14" customFormat="false" ht="15" hidden="false" customHeight="false" outlineLevel="0" collapsed="false">
      <c r="A14" s="19" t="str">
        <f aca="false">"PAY-"&amp;B14&amp;"-TRANSFER"</f>
        <v>PAY-SUB-02-TRANSFER</v>
      </c>
      <c r="B14" s="19" t="str">
        <f aca="false">'Object Crosswalk'!A8</f>
        <v>SUB-02</v>
      </c>
      <c r="C14" s="19" t="str">
        <f aca="false">'Object Crosswalk'!B8</f>
        <v>Civil substrate</v>
      </c>
      <c r="D14" s="19" t="str">
        <f aca="false">'Object Crosswalk'!C8</f>
        <v>Public</v>
      </c>
      <c r="E14" s="19" t="str">
        <f aca="false">'Object Crosswalk'!D8</f>
        <v>MULTI</v>
      </c>
      <c r="F14" s="19" t="str">
        <f aca="false">'Object Crosswalk'!E8</f>
        <v>—</v>
      </c>
      <c r="G14" s="9" t="s">
        <v>1210</v>
      </c>
      <c r="H14" s="41" t="n">
        <v>0.25</v>
      </c>
      <c r="I14" s="50" t="n">
        <f aca="false">'Object Crosswalk'!I8</f>
        <v>0.12</v>
      </c>
      <c r="J14" s="50" t="n">
        <f aca="false">H14*I14</f>
        <v>0.03</v>
      </c>
      <c r="K14" s="32" t="n">
        <f aca="false">0</f>
        <v>0</v>
      </c>
      <c r="L14" s="33" t="n">
        <f aca="false">Controls!B35</f>
        <v>0</v>
      </c>
      <c r="M14" s="33" t="n">
        <f aca="false">Controls!B36</f>
        <v>0</v>
      </c>
      <c r="N14" s="32" t="str">
        <f aca="false">IF(M14&gt;0,"PAID","HELD")</f>
        <v>HELD</v>
      </c>
    </row>
    <row r="15" customFormat="false" ht="15" hidden="false" customHeight="false" outlineLevel="0" collapsed="false">
      <c r="A15" s="19" t="str">
        <f aca="false">"PAY-"&amp;B15&amp;"-FRAME"</f>
        <v>PAY-SUB-03-FRAME</v>
      </c>
      <c r="B15" s="19" t="str">
        <f aca="false">'Object Crosswalk'!A9</f>
        <v>SUB-03</v>
      </c>
      <c r="C15" s="19" t="str">
        <f aca="false">'Object Crosswalk'!B9</f>
        <v>Civil substrate</v>
      </c>
      <c r="D15" s="19" t="str">
        <f aca="false">'Object Crosswalk'!C9</f>
        <v>Public</v>
      </c>
      <c r="E15" s="19" t="str">
        <f aca="false">'Object Crosswalk'!D9</f>
        <v>MULTI</v>
      </c>
      <c r="F15" s="19" t="str">
        <f aca="false">'Object Crosswalk'!E9</f>
        <v>—</v>
      </c>
      <c r="G15" s="9" t="s">
        <v>543</v>
      </c>
      <c r="H15" s="41" t="n">
        <v>0.25</v>
      </c>
      <c r="I15" s="50" t="n">
        <f aca="false">'Object Crosswalk'!I9</f>
        <v>0.12</v>
      </c>
      <c r="J15" s="50" t="n">
        <f aca="false">H15*I15</f>
        <v>0.03</v>
      </c>
      <c r="K15" s="32" t="n">
        <f aca="false">0</f>
        <v>0</v>
      </c>
      <c r="L15" s="33" t="n">
        <f aca="false">Controls!B35</f>
        <v>0</v>
      </c>
      <c r="M15" s="33" t="n">
        <f aca="false">Controls!B36</f>
        <v>0</v>
      </c>
      <c r="N15" s="32" t="str">
        <f aca="false">IF(M15&gt;0,"PAID","HELD")</f>
        <v>HELD</v>
      </c>
    </row>
    <row r="16" customFormat="false" ht="15" hidden="false" customHeight="false" outlineLevel="0" collapsed="false">
      <c r="A16" s="19" t="str">
        <f aca="false">"PAY-"&amp;B16&amp;"-MAKE"</f>
        <v>PAY-SUB-03-MAKE</v>
      </c>
      <c r="B16" s="19" t="str">
        <f aca="false">'Object Crosswalk'!A9</f>
        <v>SUB-03</v>
      </c>
      <c r="C16" s="19" t="str">
        <f aca="false">'Object Crosswalk'!B9</f>
        <v>Civil substrate</v>
      </c>
      <c r="D16" s="19" t="str">
        <f aca="false">'Object Crosswalk'!C9</f>
        <v>Public</v>
      </c>
      <c r="E16" s="19" t="str">
        <f aca="false">'Object Crosswalk'!D9</f>
        <v>MULTI</v>
      </c>
      <c r="F16" s="19" t="str">
        <f aca="false">'Object Crosswalk'!E9</f>
        <v>—</v>
      </c>
      <c r="G16" s="9" t="s">
        <v>546</v>
      </c>
      <c r="H16" s="41" t="n">
        <v>0.5</v>
      </c>
      <c r="I16" s="50" t="n">
        <f aca="false">'Object Crosswalk'!I9</f>
        <v>0.12</v>
      </c>
      <c r="J16" s="50" t="n">
        <f aca="false">H16*I16</f>
        <v>0.06</v>
      </c>
      <c r="K16" s="32" t="n">
        <f aca="false">0</f>
        <v>0</v>
      </c>
      <c r="L16" s="33" t="n">
        <f aca="false">Controls!B35</f>
        <v>0</v>
      </c>
      <c r="M16" s="33" t="n">
        <f aca="false">Controls!B36</f>
        <v>0</v>
      </c>
      <c r="N16" s="32" t="str">
        <f aca="false">IF(M16&gt;0,"PAID","HELD")</f>
        <v>HELD</v>
      </c>
    </row>
    <row r="17" customFormat="false" ht="15" hidden="false" customHeight="false" outlineLevel="0" collapsed="false">
      <c r="A17" s="19" t="str">
        <f aca="false">"PAY-"&amp;B17&amp;"-BREAK"</f>
        <v>PAY-SUB-03-BREAK</v>
      </c>
      <c r="B17" s="19" t="str">
        <f aca="false">'Object Crosswalk'!A9</f>
        <v>SUB-03</v>
      </c>
      <c r="C17" s="19" t="str">
        <f aca="false">'Object Crosswalk'!B9</f>
        <v>Civil substrate</v>
      </c>
      <c r="D17" s="19" t="str">
        <f aca="false">'Object Crosswalk'!C9</f>
        <v>Public</v>
      </c>
      <c r="E17" s="19" t="str">
        <f aca="false">'Object Crosswalk'!D9</f>
        <v>MULTI</v>
      </c>
      <c r="F17" s="19" t="str">
        <f aca="false">'Object Crosswalk'!E9</f>
        <v>—</v>
      </c>
      <c r="G17" s="9" t="s">
        <v>1209</v>
      </c>
      <c r="H17" s="41" t="n">
        <v>0</v>
      </c>
      <c r="I17" s="50" t="n">
        <f aca="false">'Object Crosswalk'!I9</f>
        <v>0.12</v>
      </c>
      <c r="J17" s="50" t="n">
        <f aca="false">H17*I17</f>
        <v>0</v>
      </c>
      <c r="K17" s="32" t="n">
        <f aca="false">0</f>
        <v>0</v>
      </c>
      <c r="L17" s="33" t="n">
        <f aca="false">Controls!B35</f>
        <v>0</v>
      </c>
      <c r="M17" s="33" t="n">
        <f aca="false">Controls!B36</f>
        <v>0</v>
      </c>
      <c r="N17" s="32" t="str">
        <f aca="false">IF(M17&gt;0,"PAID","HELD")</f>
        <v>HELD</v>
      </c>
    </row>
    <row r="18" customFormat="false" ht="15" hidden="false" customHeight="false" outlineLevel="0" collapsed="false">
      <c r="A18" s="19" t="str">
        <f aca="false">"PAY-"&amp;B18&amp;"-TRANSFER"</f>
        <v>PAY-SUB-03-TRANSFER</v>
      </c>
      <c r="B18" s="19" t="str">
        <f aca="false">'Object Crosswalk'!A9</f>
        <v>SUB-03</v>
      </c>
      <c r="C18" s="19" t="str">
        <f aca="false">'Object Crosswalk'!B9</f>
        <v>Civil substrate</v>
      </c>
      <c r="D18" s="19" t="str">
        <f aca="false">'Object Crosswalk'!C9</f>
        <v>Public</v>
      </c>
      <c r="E18" s="19" t="str">
        <f aca="false">'Object Crosswalk'!D9</f>
        <v>MULTI</v>
      </c>
      <c r="F18" s="19" t="str">
        <f aca="false">'Object Crosswalk'!E9</f>
        <v>—</v>
      </c>
      <c r="G18" s="9" t="s">
        <v>1210</v>
      </c>
      <c r="H18" s="41" t="n">
        <v>0.25</v>
      </c>
      <c r="I18" s="50" t="n">
        <f aca="false">'Object Crosswalk'!I9</f>
        <v>0.12</v>
      </c>
      <c r="J18" s="50" t="n">
        <f aca="false">H18*I18</f>
        <v>0.03</v>
      </c>
      <c r="K18" s="32" t="n">
        <f aca="false">0</f>
        <v>0</v>
      </c>
      <c r="L18" s="33" t="n">
        <f aca="false">Controls!B35</f>
        <v>0</v>
      </c>
      <c r="M18" s="33" t="n">
        <f aca="false">Controls!B36</f>
        <v>0</v>
      </c>
      <c r="N18" s="32" t="str">
        <f aca="false">IF(M18&gt;0,"PAID","HELD")</f>
        <v>HELD</v>
      </c>
    </row>
    <row r="19" customFormat="false" ht="15" hidden="false" customHeight="false" outlineLevel="0" collapsed="false">
      <c r="A19" s="19" t="str">
        <f aca="false">"PAY-"&amp;B19&amp;"-FRAME"</f>
        <v>PAY-SUB-04-FRAME</v>
      </c>
      <c r="B19" s="19" t="str">
        <f aca="false">'Object Crosswalk'!A10</f>
        <v>SUB-04</v>
      </c>
      <c r="C19" s="19" t="str">
        <f aca="false">'Object Crosswalk'!B10</f>
        <v>Civil substrate</v>
      </c>
      <c r="D19" s="19" t="str">
        <f aca="false">'Object Crosswalk'!C10</f>
        <v>Public</v>
      </c>
      <c r="E19" s="19" t="str">
        <f aca="false">'Object Crosswalk'!D10</f>
        <v>MULTI</v>
      </c>
      <c r="F19" s="19" t="str">
        <f aca="false">'Object Crosswalk'!E10</f>
        <v>—</v>
      </c>
      <c r="G19" s="9" t="s">
        <v>543</v>
      </c>
      <c r="H19" s="41" t="n">
        <v>0.25</v>
      </c>
      <c r="I19" s="50" t="n">
        <f aca="false">'Object Crosswalk'!I10</f>
        <v>0.12</v>
      </c>
      <c r="J19" s="50" t="n">
        <f aca="false">H19*I19</f>
        <v>0.03</v>
      </c>
      <c r="K19" s="32" t="n">
        <f aca="false">0</f>
        <v>0</v>
      </c>
      <c r="L19" s="33" t="n">
        <f aca="false">Controls!B35</f>
        <v>0</v>
      </c>
      <c r="M19" s="33" t="n">
        <f aca="false">Controls!B36</f>
        <v>0</v>
      </c>
      <c r="N19" s="32" t="str">
        <f aca="false">IF(M19&gt;0,"PAID","HELD")</f>
        <v>HELD</v>
      </c>
    </row>
    <row r="20" customFormat="false" ht="15" hidden="false" customHeight="false" outlineLevel="0" collapsed="false">
      <c r="A20" s="19" t="str">
        <f aca="false">"PAY-"&amp;B20&amp;"-MAKE"</f>
        <v>PAY-SUB-04-MAKE</v>
      </c>
      <c r="B20" s="19" t="str">
        <f aca="false">'Object Crosswalk'!A10</f>
        <v>SUB-04</v>
      </c>
      <c r="C20" s="19" t="str">
        <f aca="false">'Object Crosswalk'!B10</f>
        <v>Civil substrate</v>
      </c>
      <c r="D20" s="19" t="str">
        <f aca="false">'Object Crosswalk'!C10</f>
        <v>Public</v>
      </c>
      <c r="E20" s="19" t="str">
        <f aca="false">'Object Crosswalk'!D10</f>
        <v>MULTI</v>
      </c>
      <c r="F20" s="19" t="str">
        <f aca="false">'Object Crosswalk'!E10</f>
        <v>—</v>
      </c>
      <c r="G20" s="9" t="s">
        <v>546</v>
      </c>
      <c r="H20" s="41" t="n">
        <v>0.5</v>
      </c>
      <c r="I20" s="50" t="n">
        <f aca="false">'Object Crosswalk'!I10</f>
        <v>0.12</v>
      </c>
      <c r="J20" s="50" t="n">
        <f aca="false">H20*I20</f>
        <v>0.06</v>
      </c>
      <c r="K20" s="32" t="n">
        <f aca="false">0</f>
        <v>0</v>
      </c>
      <c r="L20" s="33" t="n">
        <f aca="false">Controls!B35</f>
        <v>0</v>
      </c>
      <c r="M20" s="33" t="n">
        <f aca="false">Controls!B36</f>
        <v>0</v>
      </c>
      <c r="N20" s="32" t="str">
        <f aca="false">IF(M20&gt;0,"PAID","HELD")</f>
        <v>HELD</v>
      </c>
    </row>
    <row r="21" customFormat="false" ht="15" hidden="false" customHeight="false" outlineLevel="0" collapsed="false">
      <c r="A21" s="19" t="str">
        <f aca="false">"PAY-"&amp;B21&amp;"-BREAK"</f>
        <v>PAY-SUB-04-BREAK</v>
      </c>
      <c r="B21" s="19" t="str">
        <f aca="false">'Object Crosswalk'!A10</f>
        <v>SUB-04</v>
      </c>
      <c r="C21" s="19" t="str">
        <f aca="false">'Object Crosswalk'!B10</f>
        <v>Civil substrate</v>
      </c>
      <c r="D21" s="19" t="str">
        <f aca="false">'Object Crosswalk'!C10</f>
        <v>Public</v>
      </c>
      <c r="E21" s="19" t="str">
        <f aca="false">'Object Crosswalk'!D10</f>
        <v>MULTI</v>
      </c>
      <c r="F21" s="19" t="str">
        <f aca="false">'Object Crosswalk'!E10</f>
        <v>—</v>
      </c>
      <c r="G21" s="9" t="s">
        <v>1209</v>
      </c>
      <c r="H21" s="41" t="n">
        <v>0</v>
      </c>
      <c r="I21" s="50" t="n">
        <f aca="false">'Object Crosswalk'!I10</f>
        <v>0.12</v>
      </c>
      <c r="J21" s="50" t="n">
        <f aca="false">H21*I21</f>
        <v>0</v>
      </c>
      <c r="K21" s="32" t="n">
        <f aca="false">0</f>
        <v>0</v>
      </c>
      <c r="L21" s="33" t="n">
        <f aca="false">Controls!B35</f>
        <v>0</v>
      </c>
      <c r="M21" s="33" t="n">
        <f aca="false">Controls!B36</f>
        <v>0</v>
      </c>
      <c r="N21" s="32" t="str">
        <f aca="false">IF(M21&gt;0,"PAID","HELD")</f>
        <v>HELD</v>
      </c>
    </row>
    <row r="22" customFormat="false" ht="15" hidden="false" customHeight="false" outlineLevel="0" collapsed="false">
      <c r="A22" s="19" t="str">
        <f aca="false">"PAY-"&amp;B22&amp;"-TRANSFER"</f>
        <v>PAY-SUB-04-TRANSFER</v>
      </c>
      <c r="B22" s="19" t="str">
        <f aca="false">'Object Crosswalk'!A10</f>
        <v>SUB-04</v>
      </c>
      <c r="C22" s="19" t="str">
        <f aca="false">'Object Crosswalk'!B10</f>
        <v>Civil substrate</v>
      </c>
      <c r="D22" s="19" t="str">
        <f aca="false">'Object Crosswalk'!C10</f>
        <v>Public</v>
      </c>
      <c r="E22" s="19" t="str">
        <f aca="false">'Object Crosswalk'!D10</f>
        <v>MULTI</v>
      </c>
      <c r="F22" s="19" t="str">
        <f aca="false">'Object Crosswalk'!E10</f>
        <v>—</v>
      </c>
      <c r="G22" s="9" t="s">
        <v>1210</v>
      </c>
      <c r="H22" s="41" t="n">
        <v>0.25</v>
      </c>
      <c r="I22" s="50" t="n">
        <f aca="false">'Object Crosswalk'!I10</f>
        <v>0.12</v>
      </c>
      <c r="J22" s="50" t="n">
        <f aca="false">H22*I22</f>
        <v>0.03</v>
      </c>
      <c r="K22" s="32" t="n">
        <f aca="false">0</f>
        <v>0</v>
      </c>
      <c r="L22" s="33" t="n">
        <f aca="false">Controls!B35</f>
        <v>0</v>
      </c>
      <c r="M22" s="33" t="n">
        <f aca="false">Controls!B36</f>
        <v>0</v>
      </c>
      <c r="N22" s="32" t="str">
        <f aca="false">IF(M22&gt;0,"PAID","HELD")</f>
        <v>HELD</v>
      </c>
    </row>
    <row r="23" customFormat="false" ht="15" hidden="false" customHeight="false" outlineLevel="0" collapsed="false">
      <c r="A23" s="19" t="str">
        <f aca="false">"PAY-"&amp;B23&amp;"-FRAME"</f>
        <v>PAY-SUB-05-FRAME</v>
      </c>
      <c r="B23" s="19" t="str">
        <f aca="false">'Object Crosswalk'!A11</f>
        <v>SUB-05</v>
      </c>
      <c r="C23" s="19" t="str">
        <f aca="false">'Object Crosswalk'!B11</f>
        <v>Civil substrate</v>
      </c>
      <c r="D23" s="19" t="str">
        <f aca="false">'Object Crosswalk'!C11</f>
        <v>Public</v>
      </c>
      <c r="E23" s="19" t="str">
        <f aca="false">'Object Crosswalk'!D11</f>
        <v>MULTI</v>
      </c>
      <c r="F23" s="19" t="str">
        <f aca="false">'Object Crosswalk'!E11</f>
        <v>—</v>
      </c>
      <c r="G23" s="9" t="s">
        <v>543</v>
      </c>
      <c r="H23" s="41" t="n">
        <v>0.25</v>
      </c>
      <c r="I23" s="50" t="n">
        <f aca="false">'Object Crosswalk'!I11</f>
        <v>0.12</v>
      </c>
      <c r="J23" s="50" t="n">
        <f aca="false">H23*I23</f>
        <v>0.03</v>
      </c>
      <c r="K23" s="32" t="n">
        <f aca="false">0</f>
        <v>0</v>
      </c>
      <c r="L23" s="33" t="n">
        <f aca="false">Controls!B35</f>
        <v>0</v>
      </c>
      <c r="M23" s="33" t="n">
        <f aca="false">Controls!B36</f>
        <v>0</v>
      </c>
      <c r="N23" s="32" t="str">
        <f aca="false">IF(M23&gt;0,"PAID","HELD")</f>
        <v>HELD</v>
      </c>
    </row>
    <row r="24" customFormat="false" ht="15" hidden="false" customHeight="false" outlineLevel="0" collapsed="false">
      <c r="A24" s="19" t="str">
        <f aca="false">"PAY-"&amp;B24&amp;"-MAKE"</f>
        <v>PAY-SUB-05-MAKE</v>
      </c>
      <c r="B24" s="19" t="str">
        <f aca="false">'Object Crosswalk'!A11</f>
        <v>SUB-05</v>
      </c>
      <c r="C24" s="19" t="str">
        <f aca="false">'Object Crosswalk'!B11</f>
        <v>Civil substrate</v>
      </c>
      <c r="D24" s="19" t="str">
        <f aca="false">'Object Crosswalk'!C11</f>
        <v>Public</v>
      </c>
      <c r="E24" s="19" t="str">
        <f aca="false">'Object Crosswalk'!D11</f>
        <v>MULTI</v>
      </c>
      <c r="F24" s="19" t="str">
        <f aca="false">'Object Crosswalk'!E11</f>
        <v>—</v>
      </c>
      <c r="G24" s="9" t="s">
        <v>546</v>
      </c>
      <c r="H24" s="41" t="n">
        <v>0.5</v>
      </c>
      <c r="I24" s="50" t="n">
        <f aca="false">'Object Crosswalk'!I11</f>
        <v>0.12</v>
      </c>
      <c r="J24" s="50" t="n">
        <f aca="false">H24*I24</f>
        <v>0.06</v>
      </c>
      <c r="K24" s="32" t="n">
        <f aca="false">0</f>
        <v>0</v>
      </c>
      <c r="L24" s="33" t="n">
        <f aca="false">Controls!B35</f>
        <v>0</v>
      </c>
      <c r="M24" s="33" t="n">
        <f aca="false">Controls!B36</f>
        <v>0</v>
      </c>
      <c r="N24" s="32" t="str">
        <f aca="false">IF(M24&gt;0,"PAID","HELD")</f>
        <v>HELD</v>
      </c>
    </row>
    <row r="25" customFormat="false" ht="15" hidden="false" customHeight="false" outlineLevel="0" collapsed="false">
      <c r="A25" s="19" t="str">
        <f aca="false">"PAY-"&amp;B25&amp;"-BREAK"</f>
        <v>PAY-SUB-05-BREAK</v>
      </c>
      <c r="B25" s="19" t="str">
        <f aca="false">'Object Crosswalk'!A11</f>
        <v>SUB-05</v>
      </c>
      <c r="C25" s="19" t="str">
        <f aca="false">'Object Crosswalk'!B11</f>
        <v>Civil substrate</v>
      </c>
      <c r="D25" s="19" t="str">
        <f aca="false">'Object Crosswalk'!C11</f>
        <v>Public</v>
      </c>
      <c r="E25" s="19" t="str">
        <f aca="false">'Object Crosswalk'!D11</f>
        <v>MULTI</v>
      </c>
      <c r="F25" s="19" t="str">
        <f aca="false">'Object Crosswalk'!E11</f>
        <v>—</v>
      </c>
      <c r="G25" s="9" t="s">
        <v>1209</v>
      </c>
      <c r="H25" s="41" t="n">
        <v>0</v>
      </c>
      <c r="I25" s="50" t="n">
        <f aca="false">'Object Crosswalk'!I11</f>
        <v>0.12</v>
      </c>
      <c r="J25" s="50" t="n">
        <f aca="false">H25*I25</f>
        <v>0</v>
      </c>
      <c r="K25" s="32" t="n">
        <f aca="false">0</f>
        <v>0</v>
      </c>
      <c r="L25" s="33" t="n">
        <f aca="false">Controls!B35</f>
        <v>0</v>
      </c>
      <c r="M25" s="33" t="n">
        <f aca="false">Controls!B36</f>
        <v>0</v>
      </c>
      <c r="N25" s="32" t="str">
        <f aca="false">IF(M25&gt;0,"PAID","HELD")</f>
        <v>HELD</v>
      </c>
    </row>
    <row r="26" customFormat="false" ht="15" hidden="false" customHeight="false" outlineLevel="0" collapsed="false">
      <c r="A26" s="19" t="str">
        <f aca="false">"PAY-"&amp;B26&amp;"-TRANSFER"</f>
        <v>PAY-SUB-05-TRANSFER</v>
      </c>
      <c r="B26" s="19" t="str">
        <f aca="false">'Object Crosswalk'!A11</f>
        <v>SUB-05</v>
      </c>
      <c r="C26" s="19" t="str">
        <f aca="false">'Object Crosswalk'!B11</f>
        <v>Civil substrate</v>
      </c>
      <c r="D26" s="19" t="str">
        <f aca="false">'Object Crosswalk'!C11</f>
        <v>Public</v>
      </c>
      <c r="E26" s="19" t="str">
        <f aca="false">'Object Crosswalk'!D11</f>
        <v>MULTI</v>
      </c>
      <c r="F26" s="19" t="str">
        <f aca="false">'Object Crosswalk'!E11</f>
        <v>—</v>
      </c>
      <c r="G26" s="9" t="s">
        <v>1210</v>
      </c>
      <c r="H26" s="41" t="n">
        <v>0.25</v>
      </c>
      <c r="I26" s="50" t="n">
        <f aca="false">'Object Crosswalk'!I11</f>
        <v>0.12</v>
      </c>
      <c r="J26" s="50" t="n">
        <f aca="false">H26*I26</f>
        <v>0.03</v>
      </c>
      <c r="K26" s="32" t="n">
        <f aca="false">0</f>
        <v>0</v>
      </c>
      <c r="L26" s="33" t="n">
        <f aca="false">Controls!B35</f>
        <v>0</v>
      </c>
      <c r="M26" s="33" t="n">
        <f aca="false">Controls!B36</f>
        <v>0</v>
      </c>
      <c r="N26" s="32" t="str">
        <f aca="false">IF(M26&gt;0,"PAID","HELD")</f>
        <v>HELD</v>
      </c>
    </row>
    <row r="27" customFormat="false" ht="15" hidden="false" customHeight="false" outlineLevel="0" collapsed="false">
      <c r="A27" s="19" t="str">
        <f aca="false">"PAY-"&amp;B27&amp;"-FRAME"</f>
        <v>PAY-SUB-06-FRAME</v>
      </c>
      <c r="B27" s="19" t="str">
        <f aca="false">'Object Crosswalk'!A12</f>
        <v>SUB-06</v>
      </c>
      <c r="C27" s="19" t="str">
        <f aca="false">'Object Crosswalk'!B12</f>
        <v>Civil substrate</v>
      </c>
      <c r="D27" s="19" t="str">
        <f aca="false">'Object Crosswalk'!C12</f>
        <v>Public</v>
      </c>
      <c r="E27" s="19" t="str">
        <f aca="false">'Object Crosswalk'!D12</f>
        <v>MULTI</v>
      </c>
      <c r="F27" s="19" t="str">
        <f aca="false">'Object Crosswalk'!E12</f>
        <v>—</v>
      </c>
      <c r="G27" s="9" t="s">
        <v>543</v>
      </c>
      <c r="H27" s="41" t="n">
        <v>0.25</v>
      </c>
      <c r="I27" s="50" t="n">
        <f aca="false">'Object Crosswalk'!I12</f>
        <v>0.12</v>
      </c>
      <c r="J27" s="50" t="n">
        <f aca="false">H27*I27</f>
        <v>0.03</v>
      </c>
      <c r="K27" s="32" t="n">
        <f aca="false">0</f>
        <v>0</v>
      </c>
      <c r="L27" s="33" t="n">
        <f aca="false">Controls!B35</f>
        <v>0</v>
      </c>
      <c r="M27" s="33" t="n">
        <f aca="false">Controls!B36</f>
        <v>0</v>
      </c>
      <c r="N27" s="32" t="str">
        <f aca="false">IF(M27&gt;0,"PAID","HELD")</f>
        <v>HELD</v>
      </c>
    </row>
    <row r="28" customFormat="false" ht="15" hidden="false" customHeight="false" outlineLevel="0" collapsed="false">
      <c r="A28" s="19" t="str">
        <f aca="false">"PAY-"&amp;B28&amp;"-MAKE"</f>
        <v>PAY-SUB-06-MAKE</v>
      </c>
      <c r="B28" s="19" t="str">
        <f aca="false">'Object Crosswalk'!A12</f>
        <v>SUB-06</v>
      </c>
      <c r="C28" s="19" t="str">
        <f aca="false">'Object Crosswalk'!B12</f>
        <v>Civil substrate</v>
      </c>
      <c r="D28" s="19" t="str">
        <f aca="false">'Object Crosswalk'!C12</f>
        <v>Public</v>
      </c>
      <c r="E28" s="19" t="str">
        <f aca="false">'Object Crosswalk'!D12</f>
        <v>MULTI</v>
      </c>
      <c r="F28" s="19" t="str">
        <f aca="false">'Object Crosswalk'!E12</f>
        <v>—</v>
      </c>
      <c r="G28" s="9" t="s">
        <v>546</v>
      </c>
      <c r="H28" s="41" t="n">
        <v>0.5</v>
      </c>
      <c r="I28" s="50" t="n">
        <f aca="false">'Object Crosswalk'!I12</f>
        <v>0.12</v>
      </c>
      <c r="J28" s="50" t="n">
        <f aca="false">H28*I28</f>
        <v>0.06</v>
      </c>
      <c r="K28" s="32" t="n">
        <f aca="false">0</f>
        <v>0</v>
      </c>
      <c r="L28" s="33" t="n">
        <f aca="false">Controls!B35</f>
        <v>0</v>
      </c>
      <c r="M28" s="33" t="n">
        <f aca="false">Controls!B36</f>
        <v>0</v>
      </c>
      <c r="N28" s="32" t="str">
        <f aca="false">IF(M28&gt;0,"PAID","HELD")</f>
        <v>HELD</v>
      </c>
    </row>
    <row r="29" customFormat="false" ht="15" hidden="false" customHeight="false" outlineLevel="0" collapsed="false">
      <c r="A29" s="19" t="str">
        <f aca="false">"PAY-"&amp;B29&amp;"-BREAK"</f>
        <v>PAY-SUB-06-BREAK</v>
      </c>
      <c r="B29" s="19" t="str">
        <f aca="false">'Object Crosswalk'!A12</f>
        <v>SUB-06</v>
      </c>
      <c r="C29" s="19" t="str">
        <f aca="false">'Object Crosswalk'!B12</f>
        <v>Civil substrate</v>
      </c>
      <c r="D29" s="19" t="str">
        <f aca="false">'Object Crosswalk'!C12</f>
        <v>Public</v>
      </c>
      <c r="E29" s="19" t="str">
        <f aca="false">'Object Crosswalk'!D12</f>
        <v>MULTI</v>
      </c>
      <c r="F29" s="19" t="str">
        <f aca="false">'Object Crosswalk'!E12</f>
        <v>—</v>
      </c>
      <c r="G29" s="9" t="s">
        <v>1209</v>
      </c>
      <c r="H29" s="41" t="n">
        <v>0</v>
      </c>
      <c r="I29" s="50" t="n">
        <f aca="false">'Object Crosswalk'!I12</f>
        <v>0.12</v>
      </c>
      <c r="J29" s="50" t="n">
        <f aca="false">H29*I29</f>
        <v>0</v>
      </c>
      <c r="K29" s="32" t="n">
        <f aca="false">0</f>
        <v>0</v>
      </c>
      <c r="L29" s="33" t="n">
        <f aca="false">Controls!B35</f>
        <v>0</v>
      </c>
      <c r="M29" s="33" t="n">
        <f aca="false">Controls!B36</f>
        <v>0</v>
      </c>
      <c r="N29" s="32" t="str">
        <f aca="false">IF(M29&gt;0,"PAID","HELD")</f>
        <v>HELD</v>
      </c>
    </row>
    <row r="30" customFormat="false" ht="15" hidden="false" customHeight="false" outlineLevel="0" collapsed="false">
      <c r="A30" s="19" t="str">
        <f aca="false">"PAY-"&amp;B30&amp;"-TRANSFER"</f>
        <v>PAY-SUB-06-TRANSFER</v>
      </c>
      <c r="B30" s="19" t="str">
        <f aca="false">'Object Crosswalk'!A12</f>
        <v>SUB-06</v>
      </c>
      <c r="C30" s="19" t="str">
        <f aca="false">'Object Crosswalk'!B12</f>
        <v>Civil substrate</v>
      </c>
      <c r="D30" s="19" t="str">
        <f aca="false">'Object Crosswalk'!C12</f>
        <v>Public</v>
      </c>
      <c r="E30" s="19" t="str">
        <f aca="false">'Object Crosswalk'!D12</f>
        <v>MULTI</v>
      </c>
      <c r="F30" s="19" t="str">
        <f aca="false">'Object Crosswalk'!E12</f>
        <v>—</v>
      </c>
      <c r="G30" s="9" t="s">
        <v>1210</v>
      </c>
      <c r="H30" s="41" t="n">
        <v>0.25</v>
      </c>
      <c r="I30" s="50" t="n">
        <f aca="false">'Object Crosswalk'!I12</f>
        <v>0.12</v>
      </c>
      <c r="J30" s="50" t="n">
        <f aca="false">H30*I30</f>
        <v>0.03</v>
      </c>
      <c r="K30" s="32" t="n">
        <f aca="false">0</f>
        <v>0</v>
      </c>
      <c r="L30" s="33" t="n">
        <f aca="false">Controls!B35</f>
        <v>0</v>
      </c>
      <c r="M30" s="33" t="n">
        <f aca="false">Controls!B36</f>
        <v>0</v>
      </c>
      <c r="N30" s="32" t="str">
        <f aca="false">IF(M30&gt;0,"PAID","HELD")</f>
        <v>HELD</v>
      </c>
    </row>
    <row r="31" customFormat="false" ht="15" hidden="false" customHeight="false" outlineLevel="0" collapsed="false">
      <c r="A31" s="19" t="str">
        <f aca="false">"PAY-"&amp;B31&amp;"-FRAME"</f>
        <v>PAY-RIG-ET-CHA-FRAME</v>
      </c>
      <c r="B31" s="19" t="str">
        <f aca="false">'Object Crosswalk'!A13</f>
        <v>RIG-ET-CHA</v>
      </c>
      <c r="C31" s="19" t="str">
        <f aca="false">'Object Crosswalk'!B13</f>
        <v>Root-native rig</v>
      </c>
      <c r="D31" s="19" t="str">
        <f aca="false">'Object Crosswalk'!C13</f>
        <v>Public</v>
      </c>
      <c r="E31" s="19" t="str">
        <f aca="false">'Object Crosswalk'!D13</f>
        <v>MS-ET</v>
      </c>
      <c r="F31" s="19" t="str">
        <f aca="false">'Object Crosswalk'!E13</f>
        <v>ET-A</v>
      </c>
      <c r="G31" s="9" t="s">
        <v>543</v>
      </c>
      <c r="H31" s="41" t="n">
        <v>0.25</v>
      </c>
      <c r="I31" s="50" t="n">
        <f aca="false">'Object Crosswalk'!I13</f>
        <v>0.316666666666667</v>
      </c>
      <c r="J31" s="50" t="n">
        <f aca="false">H31*I31</f>
        <v>0.0791666666666667</v>
      </c>
      <c r="K31" s="32" t="n">
        <f aca="false">0</f>
        <v>0</v>
      </c>
      <c r="L31" s="33" t="n">
        <f aca="false">Controls!B35</f>
        <v>0</v>
      </c>
      <c r="M31" s="33" t="n">
        <f aca="false">Controls!B36</f>
        <v>0</v>
      </c>
      <c r="N31" s="32" t="str">
        <f aca="false">IF(M31&gt;0,"PAID","HELD")</f>
        <v>HELD</v>
      </c>
    </row>
    <row r="32" customFormat="false" ht="15" hidden="false" customHeight="false" outlineLevel="0" collapsed="false">
      <c r="A32" s="19" t="str">
        <f aca="false">"PAY-"&amp;B32&amp;"-MAKE"</f>
        <v>PAY-RIG-ET-CHA-MAKE</v>
      </c>
      <c r="B32" s="19" t="str">
        <f aca="false">'Object Crosswalk'!A13</f>
        <v>RIG-ET-CHA</v>
      </c>
      <c r="C32" s="19" t="str">
        <f aca="false">'Object Crosswalk'!B13</f>
        <v>Root-native rig</v>
      </c>
      <c r="D32" s="19" t="str">
        <f aca="false">'Object Crosswalk'!C13</f>
        <v>Public</v>
      </c>
      <c r="E32" s="19" t="str">
        <f aca="false">'Object Crosswalk'!D13</f>
        <v>MS-ET</v>
      </c>
      <c r="F32" s="19" t="str">
        <f aca="false">'Object Crosswalk'!E13</f>
        <v>ET-A</v>
      </c>
      <c r="G32" s="9" t="s">
        <v>546</v>
      </c>
      <c r="H32" s="41" t="n">
        <v>0.5</v>
      </c>
      <c r="I32" s="50" t="n">
        <f aca="false">'Object Crosswalk'!I13</f>
        <v>0.316666666666667</v>
      </c>
      <c r="J32" s="50" t="n">
        <f aca="false">H32*I32</f>
        <v>0.158333333333333</v>
      </c>
      <c r="K32" s="32" t="n">
        <f aca="false">0</f>
        <v>0</v>
      </c>
      <c r="L32" s="33" t="n">
        <f aca="false">Controls!B35</f>
        <v>0</v>
      </c>
      <c r="M32" s="33" t="n">
        <f aca="false">Controls!B36</f>
        <v>0</v>
      </c>
      <c r="N32" s="32" t="str">
        <f aca="false">IF(M32&gt;0,"PAID","HELD")</f>
        <v>HELD</v>
      </c>
    </row>
    <row r="33" customFormat="false" ht="15" hidden="false" customHeight="false" outlineLevel="0" collapsed="false">
      <c r="A33" s="19" t="str">
        <f aca="false">"PAY-"&amp;B33&amp;"-BREAK"</f>
        <v>PAY-RIG-ET-CHA-BREAK</v>
      </c>
      <c r="B33" s="19" t="str">
        <f aca="false">'Object Crosswalk'!A13</f>
        <v>RIG-ET-CHA</v>
      </c>
      <c r="C33" s="19" t="str">
        <f aca="false">'Object Crosswalk'!B13</f>
        <v>Root-native rig</v>
      </c>
      <c r="D33" s="19" t="str">
        <f aca="false">'Object Crosswalk'!C13</f>
        <v>Public</v>
      </c>
      <c r="E33" s="19" t="str">
        <f aca="false">'Object Crosswalk'!D13</f>
        <v>MS-ET</v>
      </c>
      <c r="F33" s="19" t="str">
        <f aca="false">'Object Crosswalk'!E13</f>
        <v>ET-A</v>
      </c>
      <c r="G33" s="9" t="s">
        <v>1209</v>
      </c>
      <c r="H33" s="41" t="n">
        <v>0</v>
      </c>
      <c r="I33" s="50" t="n">
        <f aca="false">'Object Crosswalk'!I13</f>
        <v>0.316666666666667</v>
      </c>
      <c r="J33" s="50" t="n">
        <f aca="false">H33*I33</f>
        <v>0</v>
      </c>
      <c r="K33" s="32" t="n">
        <f aca="false">0</f>
        <v>0</v>
      </c>
      <c r="L33" s="33" t="n">
        <f aca="false">Controls!B35</f>
        <v>0</v>
      </c>
      <c r="M33" s="33" t="n">
        <f aca="false">Controls!B36</f>
        <v>0</v>
      </c>
      <c r="N33" s="32" t="str">
        <f aca="false">IF(M33&gt;0,"PAID","HELD")</f>
        <v>HELD</v>
      </c>
    </row>
    <row r="34" customFormat="false" ht="15" hidden="false" customHeight="false" outlineLevel="0" collapsed="false">
      <c r="A34" s="19" t="str">
        <f aca="false">"PAY-"&amp;B34&amp;"-TRANSFER"</f>
        <v>PAY-RIG-ET-CHA-TRANSFER</v>
      </c>
      <c r="B34" s="19" t="str">
        <f aca="false">'Object Crosswalk'!A13</f>
        <v>RIG-ET-CHA</v>
      </c>
      <c r="C34" s="19" t="str">
        <f aca="false">'Object Crosswalk'!B13</f>
        <v>Root-native rig</v>
      </c>
      <c r="D34" s="19" t="str">
        <f aca="false">'Object Crosswalk'!C13</f>
        <v>Public</v>
      </c>
      <c r="E34" s="19" t="str">
        <f aca="false">'Object Crosswalk'!D13</f>
        <v>MS-ET</v>
      </c>
      <c r="F34" s="19" t="str">
        <f aca="false">'Object Crosswalk'!E13</f>
        <v>ET-A</v>
      </c>
      <c r="G34" s="9" t="s">
        <v>1210</v>
      </c>
      <c r="H34" s="41" t="n">
        <v>0.25</v>
      </c>
      <c r="I34" s="50" t="n">
        <f aca="false">'Object Crosswalk'!I13</f>
        <v>0.316666666666667</v>
      </c>
      <c r="J34" s="50" t="n">
        <f aca="false">H34*I34</f>
        <v>0.0791666666666667</v>
      </c>
      <c r="K34" s="32" t="n">
        <f aca="false">0</f>
        <v>0</v>
      </c>
      <c r="L34" s="33" t="n">
        <f aca="false">Controls!B35</f>
        <v>0</v>
      </c>
      <c r="M34" s="33" t="n">
        <f aca="false">Controls!B36</f>
        <v>0</v>
      </c>
      <c r="N34" s="32" t="str">
        <f aca="false">IF(M34&gt;0,"PAID","HELD")</f>
        <v>HELD</v>
      </c>
    </row>
    <row r="35" customFormat="false" ht="15" hidden="false" customHeight="false" outlineLevel="0" collapsed="false">
      <c r="A35" s="19" t="str">
        <f aca="false">"PAY-"&amp;B35&amp;"-FRAME"</f>
        <v>PAY-MTH-ET-CHA-L1-FRAME</v>
      </c>
      <c r="B35" s="19" t="str">
        <f aca="false">'Object Crosswalk'!A14</f>
        <v>MTH-ET-CHA-L1</v>
      </c>
      <c r="C35" s="19" t="str">
        <f aca="false">'Object Crosswalk'!B14</f>
        <v>Method lineage</v>
      </c>
      <c r="D35" s="19" t="str">
        <f aca="false">'Object Crosswalk'!C14</f>
        <v>Public</v>
      </c>
      <c r="E35" s="19" t="str">
        <f aca="false">'Object Crosswalk'!D14</f>
        <v>MS-ET</v>
      </c>
      <c r="F35" s="19" t="str">
        <f aca="false">'Object Crosswalk'!E14</f>
        <v>ET-A</v>
      </c>
      <c r="G35" s="9" t="s">
        <v>543</v>
      </c>
      <c r="H35" s="41" t="n">
        <v>0.25</v>
      </c>
      <c r="I35" s="50" t="n">
        <f aca="false">'Object Crosswalk'!I14</f>
        <v>0.09</v>
      </c>
      <c r="J35" s="50" t="n">
        <f aca="false">H35*I35</f>
        <v>0.0225</v>
      </c>
      <c r="K35" s="32" t="n">
        <f aca="false">0</f>
        <v>0</v>
      </c>
      <c r="L35" s="33" t="n">
        <f aca="false">Controls!B35</f>
        <v>0</v>
      </c>
      <c r="M35" s="33" t="n">
        <f aca="false">Controls!B36</f>
        <v>0</v>
      </c>
      <c r="N35" s="32" t="str">
        <f aca="false">IF(M35&gt;0,"PAID","HELD")</f>
        <v>HELD</v>
      </c>
    </row>
    <row r="36" customFormat="false" ht="15" hidden="false" customHeight="false" outlineLevel="0" collapsed="false">
      <c r="A36" s="19" t="str">
        <f aca="false">"PAY-"&amp;B36&amp;"-MAKE"</f>
        <v>PAY-MTH-ET-CHA-L1-MAKE</v>
      </c>
      <c r="B36" s="19" t="str">
        <f aca="false">'Object Crosswalk'!A14</f>
        <v>MTH-ET-CHA-L1</v>
      </c>
      <c r="C36" s="19" t="str">
        <f aca="false">'Object Crosswalk'!B14</f>
        <v>Method lineage</v>
      </c>
      <c r="D36" s="19" t="str">
        <f aca="false">'Object Crosswalk'!C14</f>
        <v>Public</v>
      </c>
      <c r="E36" s="19" t="str">
        <f aca="false">'Object Crosswalk'!D14</f>
        <v>MS-ET</v>
      </c>
      <c r="F36" s="19" t="str">
        <f aca="false">'Object Crosswalk'!E14</f>
        <v>ET-A</v>
      </c>
      <c r="G36" s="9" t="s">
        <v>546</v>
      </c>
      <c r="H36" s="41" t="n">
        <v>0.5</v>
      </c>
      <c r="I36" s="50" t="n">
        <f aca="false">'Object Crosswalk'!I14</f>
        <v>0.09</v>
      </c>
      <c r="J36" s="50" t="n">
        <f aca="false">H36*I36</f>
        <v>0.045</v>
      </c>
      <c r="K36" s="32" t="n">
        <f aca="false">0</f>
        <v>0</v>
      </c>
      <c r="L36" s="33" t="n">
        <f aca="false">Controls!B35</f>
        <v>0</v>
      </c>
      <c r="M36" s="33" t="n">
        <f aca="false">Controls!B36</f>
        <v>0</v>
      </c>
      <c r="N36" s="32" t="str">
        <f aca="false">IF(M36&gt;0,"PAID","HELD")</f>
        <v>HELD</v>
      </c>
    </row>
    <row r="37" customFormat="false" ht="15" hidden="false" customHeight="false" outlineLevel="0" collapsed="false">
      <c r="A37" s="19" t="str">
        <f aca="false">"PAY-"&amp;B37&amp;"-BREAK"</f>
        <v>PAY-MTH-ET-CHA-L1-BREAK</v>
      </c>
      <c r="B37" s="19" t="str">
        <f aca="false">'Object Crosswalk'!A14</f>
        <v>MTH-ET-CHA-L1</v>
      </c>
      <c r="C37" s="19" t="str">
        <f aca="false">'Object Crosswalk'!B14</f>
        <v>Method lineage</v>
      </c>
      <c r="D37" s="19" t="str">
        <f aca="false">'Object Crosswalk'!C14</f>
        <v>Public</v>
      </c>
      <c r="E37" s="19" t="str">
        <f aca="false">'Object Crosswalk'!D14</f>
        <v>MS-ET</v>
      </c>
      <c r="F37" s="19" t="str">
        <f aca="false">'Object Crosswalk'!E14</f>
        <v>ET-A</v>
      </c>
      <c r="G37" s="9" t="s">
        <v>1209</v>
      </c>
      <c r="H37" s="41" t="n">
        <v>0</v>
      </c>
      <c r="I37" s="50" t="n">
        <f aca="false">'Object Crosswalk'!I14</f>
        <v>0.09</v>
      </c>
      <c r="J37" s="50" t="n">
        <f aca="false">H37*I37</f>
        <v>0</v>
      </c>
      <c r="K37" s="32" t="n">
        <f aca="false">0</f>
        <v>0</v>
      </c>
      <c r="L37" s="33" t="n">
        <f aca="false">Controls!B35</f>
        <v>0</v>
      </c>
      <c r="M37" s="33" t="n">
        <f aca="false">Controls!B36</f>
        <v>0</v>
      </c>
      <c r="N37" s="32" t="str">
        <f aca="false">IF(M37&gt;0,"PAID","HELD")</f>
        <v>HELD</v>
      </c>
    </row>
    <row r="38" customFormat="false" ht="15" hidden="false" customHeight="false" outlineLevel="0" collapsed="false">
      <c r="A38" s="19" t="str">
        <f aca="false">"PAY-"&amp;B38&amp;"-TRANSFER"</f>
        <v>PAY-MTH-ET-CHA-L1-TRANSFER</v>
      </c>
      <c r="B38" s="19" t="str">
        <f aca="false">'Object Crosswalk'!A14</f>
        <v>MTH-ET-CHA-L1</v>
      </c>
      <c r="C38" s="19" t="str">
        <f aca="false">'Object Crosswalk'!B14</f>
        <v>Method lineage</v>
      </c>
      <c r="D38" s="19" t="str">
        <f aca="false">'Object Crosswalk'!C14</f>
        <v>Public</v>
      </c>
      <c r="E38" s="19" t="str">
        <f aca="false">'Object Crosswalk'!D14</f>
        <v>MS-ET</v>
      </c>
      <c r="F38" s="19" t="str">
        <f aca="false">'Object Crosswalk'!E14</f>
        <v>ET-A</v>
      </c>
      <c r="G38" s="9" t="s">
        <v>1210</v>
      </c>
      <c r="H38" s="41" t="n">
        <v>0.25</v>
      </c>
      <c r="I38" s="50" t="n">
        <f aca="false">'Object Crosswalk'!I14</f>
        <v>0.09</v>
      </c>
      <c r="J38" s="50" t="n">
        <f aca="false">H38*I38</f>
        <v>0.0225</v>
      </c>
      <c r="K38" s="32" t="n">
        <f aca="false">0</f>
        <v>0</v>
      </c>
      <c r="L38" s="33" t="n">
        <f aca="false">Controls!B35</f>
        <v>0</v>
      </c>
      <c r="M38" s="33" t="n">
        <f aca="false">Controls!B36</f>
        <v>0</v>
      </c>
      <c r="N38" s="32" t="str">
        <f aca="false">IF(M38&gt;0,"PAID","HELD")</f>
        <v>HELD</v>
      </c>
    </row>
    <row r="39" customFormat="false" ht="15" hidden="false" customHeight="false" outlineLevel="0" collapsed="false">
      <c r="A39" s="19" t="str">
        <f aca="false">"PAY-"&amp;B39&amp;"-FRAME"</f>
        <v>PAY-MTH-ET-CHA-L2-FRAME</v>
      </c>
      <c r="B39" s="19" t="str">
        <f aca="false">'Object Crosswalk'!A15</f>
        <v>MTH-ET-CHA-L2</v>
      </c>
      <c r="C39" s="19" t="str">
        <f aca="false">'Object Crosswalk'!B15</f>
        <v>Method lineage</v>
      </c>
      <c r="D39" s="19" t="str">
        <f aca="false">'Object Crosswalk'!C15</f>
        <v>Public</v>
      </c>
      <c r="E39" s="19" t="str">
        <f aca="false">'Object Crosswalk'!D15</f>
        <v>MS-ET</v>
      </c>
      <c r="F39" s="19" t="str">
        <f aca="false">'Object Crosswalk'!E15</f>
        <v>ET-A</v>
      </c>
      <c r="G39" s="9" t="s">
        <v>543</v>
      </c>
      <c r="H39" s="41" t="n">
        <v>0.25</v>
      </c>
      <c r="I39" s="50" t="n">
        <f aca="false">'Object Crosswalk'!I15</f>
        <v>0.09</v>
      </c>
      <c r="J39" s="50" t="n">
        <f aca="false">H39*I39</f>
        <v>0.0225</v>
      </c>
      <c r="K39" s="32" t="n">
        <f aca="false">0</f>
        <v>0</v>
      </c>
      <c r="L39" s="33" t="n">
        <f aca="false">Controls!B35</f>
        <v>0</v>
      </c>
      <c r="M39" s="33" t="n">
        <f aca="false">Controls!B36</f>
        <v>0</v>
      </c>
      <c r="N39" s="32" t="str">
        <f aca="false">IF(M39&gt;0,"PAID","HELD")</f>
        <v>HELD</v>
      </c>
    </row>
    <row r="40" customFormat="false" ht="15" hidden="false" customHeight="false" outlineLevel="0" collapsed="false">
      <c r="A40" s="19" t="str">
        <f aca="false">"PAY-"&amp;B40&amp;"-MAKE"</f>
        <v>PAY-MTH-ET-CHA-L2-MAKE</v>
      </c>
      <c r="B40" s="19" t="str">
        <f aca="false">'Object Crosswalk'!A15</f>
        <v>MTH-ET-CHA-L2</v>
      </c>
      <c r="C40" s="19" t="str">
        <f aca="false">'Object Crosswalk'!B15</f>
        <v>Method lineage</v>
      </c>
      <c r="D40" s="19" t="str">
        <f aca="false">'Object Crosswalk'!C15</f>
        <v>Public</v>
      </c>
      <c r="E40" s="19" t="str">
        <f aca="false">'Object Crosswalk'!D15</f>
        <v>MS-ET</v>
      </c>
      <c r="F40" s="19" t="str">
        <f aca="false">'Object Crosswalk'!E15</f>
        <v>ET-A</v>
      </c>
      <c r="G40" s="9" t="s">
        <v>546</v>
      </c>
      <c r="H40" s="41" t="n">
        <v>0.5</v>
      </c>
      <c r="I40" s="50" t="n">
        <f aca="false">'Object Crosswalk'!I15</f>
        <v>0.09</v>
      </c>
      <c r="J40" s="50" t="n">
        <f aca="false">H40*I40</f>
        <v>0.045</v>
      </c>
      <c r="K40" s="32" t="n">
        <f aca="false">0</f>
        <v>0</v>
      </c>
      <c r="L40" s="33" t="n">
        <f aca="false">Controls!B35</f>
        <v>0</v>
      </c>
      <c r="M40" s="33" t="n">
        <f aca="false">Controls!B36</f>
        <v>0</v>
      </c>
      <c r="N40" s="32" t="str">
        <f aca="false">IF(M40&gt;0,"PAID","HELD")</f>
        <v>HELD</v>
      </c>
    </row>
    <row r="41" customFormat="false" ht="15" hidden="false" customHeight="false" outlineLevel="0" collapsed="false">
      <c r="A41" s="19" t="str">
        <f aca="false">"PAY-"&amp;B41&amp;"-BREAK"</f>
        <v>PAY-MTH-ET-CHA-L2-BREAK</v>
      </c>
      <c r="B41" s="19" t="str">
        <f aca="false">'Object Crosswalk'!A15</f>
        <v>MTH-ET-CHA-L2</v>
      </c>
      <c r="C41" s="19" t="str">
        <f aca="false">'Object Crosswalk'!B15</f>
        <v>Method lineage</v>
      </c>
      <c r="D41" s="19" t="str">
        <f aca="false">'Object Crosswalk'!C15</f>
        <v>Public</v>
      </c>
      <c r="E41" s="19" t="str">
        <f aca="false">'Object Crosswalk'!D15</f>
        <v>MS-ET</v>
      </c>
      <c r="F41" s="19" t="str">
        <f aca="false">'Object Crosswalk'!E15</f>
        <v>ET-A</v>
      </c>
      <c r="G41" s="9" t="s">
        <v>1209</v>
      </c>
      <c r="H41" s="41" t="n">
        <v>0</v>
      </c>
      <c r="I41" s="50" t="n">
        <f aca="false">'Object Crosswalk'!I15</f>
        <v>0.09</v>
      </c>
      <c r="J41" s="50" t="n">
        <f aca="false">H41*I41</f>
        <v>0</v>
      </c>
      <c r="K41" s="32" t="n">
        <f aca="false">0</f>
        <v>0</v>
      </c>
      <c r="L41" s="33" t="n">
        <f aca="false">Controls!B35</f>
        <v>0</v>
      </c>
      <c r="M41" s="33" t="n">
        <f aca="false">Controls!B36</f>
        <v>0</v>
      </c>
      <c r="N41" s="32" t="str">
        <f aca="false">IF(M41&gt;0,"PAID","HELD")</f>
        <v>HELD</v>
      </c>
    </row>
    <row r="42" customFormat="false" ht="15" hidden="false" customHeight="false" outlineLevel="0" collapsed="false">
      <c r="A42" s="19" t="str">
        <f aca="false">"PAY-"&amp;B42&amp;"-TRANSFER"</f>
        <v>PAY-MTH-ET-CHA-L2-TRANSFER</v>
      </c>
      <c r="B42" s="19" t="str">
        <f aca="false">'Object Crosswalk'!A15</f>
        <v>MTH-ET-CHA-L2</v>
      </c>
      <c r="C42" s="19" t="str">
        <f aca="false">'Object Crosswalk'!B15</f>
        <v>Method lineage</v>
      </c>
      <c r="D42" s="19" t="str">
        <f aca="false">'Object Crosswalk'!C15</f>
        <v>Public</v>
      </c>
      <c r="E42" s="19" t="str">
        <f aca="false">'Object Crosswalk'!D15</f>
        <v>MS-ET</v>
      </c>
      <c r="F42" s="19" t="str">
        <f aca="false">'Object Crosswalk'!E15</f>
        <v>ET-A</v>
      </c>
      <c r="G42" s="9" t="s">
        <v>1210</v>
      </c>
      <c r="H42" s="41" t="n">
        <v>0.25</v>
      </c>
      <c r="I42" s="50" t="n">
        <f aca="false">'Object Crosswalk'!I15</f>
        <v>0.09</v>
      </c>
      <c r="J42" s="50" t="n">
        <f aca="false">H42*I42</f>
        <v>0.0225</v>
      </c>
      <c r="K42" s="32" t="n">
        <f aca="false">0</f>
        <v>0</v>
      </c>
      <c r="L42" s="33" t="n">
        <f aca="false">Controls!B35</f>
        <v>0</v>
      </c>
      <c r="M42" s="33" t="n">
        <f aca="false">Controls!B36</f>
        <v>0</v>
      </c>
      <c r="N42" s="32" t="str">
        <f aca="false">IF(M42&gt;0,"PAID","HELD")</f>
        <v>HELD</v>
      </c>
    </row>
    <row r="43" customFormat="false" ht="15" hidden="false" customHeight="false" outlineLevel="0" collapsed="false">
      <c r="A43" s="19" t="str">
        <f aca="false">"PAY-"&amp;B43&amp;"-FRAME"</f>
        <v>PAY-REG-ET-CHA-FRAME</v>
      </c>
      <c r="B43" s="19" t="str">
        <f aca="false">'Object Crosswalk'!A16</f>
        <v>REG-ET-CHA</v>
      </c>
      <c r="C43" s="19" t="str">
        <f aca="false">'Object Crosswalk'!B16</f>
        <v>Regeneration tool</v>
      </c>
      <c r="D43" s="19" t="str">
        <f aca="false">'Object Crosswalk'!C16</f>
        <v>Public</v>
      </c>
      <c r="E43" s="19" t="str">
        <f aca="false">'Object Crosswalk'!D16</f>
        <v>MS-ET</v>
      </c>
      <c r="F43" s="19" t="str">
        <f aca="false">'Object Crosswalk'!E16</f>
        <v>ET-A</v>
      </c>
      <c r="G43" s="9" t="s">
        <v>543</v>
      </c>
      <c r="H43" s="41" t="n">
        <v>0.25</v>
      </c>
      <c r="I43" s="50" t="n">
        <f aca="false">'Object Crosswalk'!I16</f>
        <v>0.0666666666666667</v>
      </c>
      <c r="J43" s="50" t="n">
        <f aca="false">H43*I43</f>
        <v>0.0166666666666667</v>
      </c>
      <c r="K43" s="32" t="n">
        <f aca="false">0</f>
        <v>0</v>
      </c>
      <c r="L43" s="33" t="n">
        <f aca="false">Controls!B35</f>
        <v>0</v>
      </c>
      <c r="M43" s="33" t="n">
        <f aca="false">Controls!B36</f>
        <v>0</v>
      </c>
      <c r="N43" s="32" t="str">
        <f aca="false">IF(M43&gt;0,"PAID","HELD")</f>
        <v>HELD</v>
      </c>
    </row>
    <row r="44" customFormat="false" ht="15" hidden="false" customHeight="false" outlineLevel="0" collapsed="false">
      <c r="A44" s="19" t="str">
        <f aca="false">"PAY-"&amp;B44&amp;"-MAKE"</f>
        <v>PAY-REG-ET-CHA-MAKE</v>
      </c>
      <c r="B44" s="19" t="str">
        <f aca="false">'Object Crosswalk'!A16</f>
        <v>REG-ET-CHA</v>
      </c>
      <c r="C44" s="19" t="str">
        <f aca="false">'Object Crosswalk'!B16</f>
        <v>Regeneration tool</v>
      </c>
      <c r="D44" s="19" t="str">
        <f aca="false">'Object Crosswalk'!C16</f>
        <v>Public</v>
      </c>
      <c r="E44" s="19" t="str">
        <f aca="false">'Object Crosswalk'!D16</f>
        <v>MS-ET</v>
      </c>
      <c r="F44" s="19" t="str">
        <f aca="false">'Object Crosswalk'!E16</f>
        <v>ET-A</v>
      </c>
      <c r="G44" s="9" t="s">
        <v>546</v>
      </c>
      <c r="H44" s="41" t="n">
        <v>0.5</v>
      </c>
      <c r="I44" s="50" t="n">
        <f aca="false">'Object Crosswalk'!I16</f>
        <v>0.0666666666666667</v>
      </c>
      <c r="J44" s="50" t="n">
        <f aca="false">H44*I44</f>
        <v>0.0333333333333333</v>
      </c>
      <c r="K44" s="32" t="n">
        <f aca="false">0</f>
        <v>0</v>
      </c>
      <c r="L44" s="33" t="n">
        <f aca="false">Controls!B35</f>
        <v>0</v>
      </c>
      <c r="M44" s="33" t="n">
        <f aca="false">Controls!B36</f>
        <v>0</v>
      </c>
      <c r="N44" s="32" t="str">
        <f aca="false">IF(M44&gt;0,"PAID","HELD")</f>
        <v>HELD</v>
      </c>
    </row>
    <row r="45" customFormat="false" ht="15" hidden="false" customHeight="false" outlineLevel="0" collapsed="false">
      <c r="A45" s="19" t="str">
        <f aca="false">"PAY-"&amp;B45&amp;"-BREAK"</f>
        <v>PAY-REG-ET-CHA-BREAK</v>
      </c>
      <c r="B45" s="19" t="str">
        <f aca="false">'Object Crosswalk'!A16</f>
        <v>REG-ET-CHA</v>
      </c>
      <c r="C45" s="19" t="str">
        <f aca="false">'Object Crosswalk'!B16</f>
        <v>Regeneration tool</v>
      </c>
      <c r="D45" s="19" t="str">
        <f aca="false">'Object Crosswalk'!C16</f>
        <v>Public</v>
      </c>
      <c r="E45" s="19" t="str">
        <f aca="false">'Object Crosswalk'!D16</f>
        <v>MS-ET</v>
      </c>
      <c r="F45" s="19" t="str">
        <f aca="false">'Object Crosswalk'!E16</f>
        <v>ET-A</v>
      </c>
      <c r="G45" s="9" t="s">
        <v>1209</v>
      </c>
      <c r="H45" s="41" t="n">
        <v>0</v>
      </c>
      <c r="I45" s="50" t="n">
        <f aca="false">'Object Crosswalk'!I16</f>
        <v>0.0666666666666667</v>
      </c>
      <c r="J45" s="50" t="n">
        <f aca="false">H45*I45</f>
        <v>0</v>
      </c>
      <c r="K45" s="32" t="n">
        <f aca="false">0</f>
        <v>0</v>
      </c>
      <c r="L45" s="33" t="n">
        <f aca="false">Controls!B35</f>
        <v>0</v>
      </c>
      <c r="M45" s="33" t="n">
        <f aca="false">Controls!B36</f>
        <v>0</v>
      </c>
      <c r="N45" s="32" t="str">
        <f aca="false">IF(M45&gt;0,"PAID","HELD")</f>
        <v>HELD</v>
      </c>
    </row>
    <row r="46" customFormat="false" ht="15" hidden="false" customHeight="false" outlineLevel="0" collapsed="false">
      <c r="A46" s="19" t="str">
        <f aca="false">"PAY-"&amp;B46&amp;"-TRANSFER"</f>
        <v>PAY-REG-ET-CHA-TRANSFER</v>
      </c>
      <c r="B46" s="19" t="str">
        <f aca="false">'Object Crosswalk'!A16</f>
        <v>REG-ET-CHA</v>
      </c>
      <c r="C46" s="19" t="str">
        <f aca="false">'Object Crosswalk'!B16</f>
        <v>Regeneration tool</v>
      </c>
      <c r="D46" s="19" t="str">
        <f aca="false">'Object Crosswalk'!C16</f>
        <v>Public</v>
      </c>
      <c r="E46" s="19" t="str">
        <f aca="false">'Object Crosswalk'!D16</f>
        <v>MS-ET</v>
      </c>
      <c r="F46" s="19" t="str">
        <f aca="false">'Object Crosswalk'!E16</f>
        <v>ET-A</v>
      </c>
      <c r="G46" s="9" t="s">
        <v>1210</v>
      </c>
      <c r="H46" s="41" t="n">
        <v>0.25</v>
      </c>
      <c r="I46" s="50" t="n">
        <f aca="false">'Object Crosswalk'!I16</f>
        <v>0.0666666666666667</v>
      </c>
      <c r="J46" s="50" t="n">
        <f aca="false">H46*I46</f>
        <v>0.0166666666666667</v>
      </c>
      <c r="K46" s="32" t="n">
        <f aca="false">0</f>
        <v>0</v>
      </c>
      <c r="L46" s="33" t="n">
        <f aca="false">Controls!B35</f>
        <v>0</v>
      </c>
      <c r="M46" s="33" t="n">
        <f aca="false">Controls!B36</f>
        <v>0</v>
      </c>
      <c r="N46" s="32" t="str">
        <f aca="false">IF(M46&gt;0,"PAID","HELD")</f>
        <v>HELD</v>
      </c>
    </row>
    <row r="47" customFormat="false" ht="15" hidden="false" customHeight="false" outlineLevel="0" collapsed="false">
      <c r="A47" s="19" t="str">
        <f aca="false">"PAY-"&amp;B47&amp;"-FRAME"</f>
        <v>PAY-INT-ET-CHA-FRAME</v>
      </c>
      <c r="B47" s="19" t="str">
        <f aca="false">'Object Crosswalk'!A17</f>
        <v>INT-ET-CHA</v>
      </c>
      <c r="C47" s="19" t="str">
        <f aca="false">'Object Crosswalk'!B17</f>
        <v>Station integration</v>
      </c>
      <c r="D47" s="19" t="str">
        <f aca="false">'Object Crosswalk'!C17</f>
        <v>Public</v>
      </c>
      <c r="E47" s="19" t="str">
        <f aca="false">'Object Crosswalk'!D17</f>
        <v>MS-ET</v>
      </c>
      <c r="F47" s="19" t="str">
        <f aca="false">'Object Crosswalk'!E17</f>
        <v>ET-A</v>
      </c>
      <c r="G47" s="9" t="s">
        <v>543</v>
      </c>
      <c r="H47" s="41" t="n">
        <v>0.25</v>
      </c>
      <c r="I47" s="50" t="n">
        <f aca="false">'Object Crosswalk'!I17</f>
        <v>0.0633333333333333</v>
      </c>
      <c r="J47" s="50" t="n">
        <f aca="false">H47*I47</f>
        <v>0.0158333333333333</v>
      </c>
      <c r="K47" s="32" t="n">
        <f aca="false">0</f>
        <v>0</v>
      </c>
      <c r="L47" s="33" t="n">
        <f aca="false">Controls!B35</f>
        <v>0</v>
      </c>
      <c r="M47" s="33" t="n">
        <f aca="false">Controls!B36</f>
        <v>0</v>
      </c>
      <c r="N47" s="32" t="str">
        <f aca="false">IF(M47&gt;0,"PAID","HELD")</f>
        <v>HELD</v>
      </c>
    </row>
    <row r="48" customFormat="false" ht="15" hidden="false" customHeight="false" outlineLevel="0" collapsed="false">
      <c r="A48" s="19" t="str">
        <f aca="false">"PAY-"&amp;B48&amp;"-MAKE"</f>
        <v>PAY-INT-ET-CHA-MAKE</v>
      </c>
      <c r="B48" s="19" t="str">
        <f aca="false">'Object Crosswalk'!A17</f>
        <v>INT-ET-CHA</v>
      </c>
      <c r="C48" s="19" t="str">
        <f aca="false">'Object Crosswalk'!B17</f>
        <v>Station integration</v>
      </c>
      <c r="D48" s="19" t="str">
        <f aca="false">'Object Crosswalk'!C17</f>
        <v>Public</v>
      </c>
      <c r="E48" s="19" t="str">
        <f aca="false">'Object Crosswalk'!D17</f>
        <v>MS-ET</v>
      </c>
      <c r="F48" s="19" t="str">
        <f aca="false">'Object Crosswalk'!E17</f>
        <v>ET-A</v>
      </c>
      <c r="G48" s="9" t="s">
        <v>546</v>
      </c>
      <c r="H48" s="41" t="n">
        <v>0.5</v>
      </c>
      <c r="I48" s="50" t="n">
        <f aca="false">'Object Crosswalk'!I17</f>
        <v>0.0633333333333333</v>
      </c>
      <c r="J48" s="50" t="n">
        <f aca="false">H48*I48</f>
        <v>0.0316666666666667</v>
      </c>
      <c r="K48" s="32" t="n">
        <f aca="false">0</f>
        <v>0</v>
      </c>
      <c r="L48" s="33" t="n">
        <f aca="false">Controls!B35</f>
        <v>0</v>
      </c>
      <c r="M48" s="33" t="n">
        <f aca="false">Controls!B36</f>
        <v>0</v>
      </c>
      <c r="N48" s="32" t="str">
        <f aca="false">IF(M48&gt;0,"PAID","HELD")</f>
        <v>HELD</v>
      </c>
    </row>
    <row r="49" customFormat="false" ht="15" hidden="false" customHeight="false" outlineLevel="0" collapsed="false">
      <c r="A49" s="19" t="str">
        <f aca="false">"PAY-"&amp;B49&amp;"-BREAK"</f>
        <v>PAY-INT-ET-CHA-BREAK</v>
      </c>
      <c r="B49" s="19" t="str">
        <f aca="false">'Object Crosswalk'!A17</f>
        <v>INT-ET-CHA</v>
      </c>
      <c r="C49" s="19" t="str">
        <f aca="false">'Object Crosswalk'!B17</f>
        <v>Station integration</v>
      </c>
      <c r="D49" s="19" t="str">
        <f aca="false">'Object Crosswalk'!C17</f>
        <v>Public</v>
      </c>
      <c r="E49" s="19" t="str">
        <f aca="false">'Object Crosswalk'!D17</f>
        <v>MS-ET</v>
      </c>
      <c r="F49" s="19" t="str">
        <f aca="false">'Object Crosswalk'!E17</f>
        <v>ET-A</v>
      </c>
      <c r="G49" s="9" t="s">
        <v>1209</v>
      </c>
      <c r="H49" s="41" t="n">
        <v>0</v>
      </c>
      <c r="I49" s="50" t="n">
        <f aca="false">'Object Crosswalk'!I17</f>
        <v>0.0633333333333333</v>
      </c>
      <c r="J49" s="50" t="n">
        <f aca="false">H49*I49</f>
        <v>0</v>
      </c>
      <c r="K49" s="32" t="n">
        <f aca="false">0</f>
        <v>0</v>
      </c>
      <c r="L49" s="33" t="n">
        <f aca="false">Controls!B35</f>
        <v>0</v>
      </c>
      <c r="M49" s="33" t="n">
        <f aca="false">Controls!B36</f>
        <v>0</v>
      </c>
      <c r="N49" s="32" t="str">
        <f aca="false">IF(M49&gt;0,"PAID","HELD")</f>
        <v>HELD</v>
      </c>
    </row>
    <row r="50" customFormat="false" ht="15" hidden="false" customHeight="false" outlineLevel="0" collapsed="false">
      <c r="A50" s="19" t="str">
        <f aca="false">"PAY-"&amp;B50&amp;"-TRANSFER"</f>
        <v>PAY-INT-ET-CHA-TRANSFER</v>
      </c>
      <c r="B50" s="19" t="str">
        <f aca="false">'Object Crosswalk'!A17</f>
        <v>INT-ET-CHA</v>
      </c>
      <c r="C50" s="19" t="str">
        <f aca="false">'Object Crosswalk'!B17</f>
        <v>Station integration</v>
      </c>
      <c r="D50" s="19" t="str">
        <f aca="false">'Object Crosswalk'!C17</f>
        <v>Public</v>
      </c>
      <c r="E50" s="19" t="str">
        <f aca="false">'Object Crosswalk'!D17</f>
        <v>MS-ET</v>
      </c>
      <c r="F50" s="19" t="str">
        <f aca="false">'Object Crosswalk'!E17</f>
        <v>ET-A</v>
      </c>
      <c r="G50" s="9" t="s">
        <v>1210</v>
      </c>
      <c r="H50" s="41" t="n">
        <v>0.25</v>
      </c>
      <c r="I50" s="50" t="n">
        <f aca="false">'Object Crosswalk'!I17</f>
        <v>0.0633333333333333</v>
      </c>
      <c r="J50" s="50" t="n">
        <f aca="false">H50*I50</f>
        <v>0.0158333333333333</v>
      </c>
      <c r="K50" s="32" t="n">
        <f aca="false">0</f>
        <v>0</v>
      </c>
      <c r="L50" s="33" t="n">
        <f aca="false">Controls!B35</f>
        <v>0</v>
      </c>
      <c r="M50" s="33" t="n">
        <f aca="false">Controls!B36</f>
        <v>0</v>
      </c>
      <c r="N50" s="32" t="str">
        <f aca="false">IF(M50&gt;0,"PAID","HELD")</f>
        <v>HELD</v>
      </c>
    </row>
    <row r="51" customFormat="false" ht="15" hidden="false" customHeight="false" outlineLevel="0" collapsed="false">
      <c r="A51" s="19" t="str">
        <f aca="false">"PAY-"&amp;B51&amp;"-FRAME"</f>
        <v>PAY-RIG-ET-CON-FRAME</v>
      </c>
      <c r="B51" s="19" t="str">
        <f aca="false">'Object Crosswalk'!A18</f>
        <v>RIG-ET-CON</v>
      </c>
      <c r="C51" s="19" t="str">
        <f aca="false">'Object Crosswalk'!B18</f>
        <v>Root-native rig</v>
      </c>
      <c r="D51" s="19" t="str">
        <f aca="false">'Object Crosswalk'!C18</f>
        <v>Public</v>
      </c>
      <c r="E51" s="19" t="str">
        <f aca="false">'Object Crosswalk'!D18</f>
        <v>MS-ET</v>
      </c>
      <c r="F51" s="19" t="str">
        <f aca="false">'Object Crosswalk'!E18</f>
        <v>ET-A</v>
      </c>
      <c r="G51" s="9" t="s">
        <v>543</v>
      </c>
      <c r="H51" s="41" t="n">
        <v>0.25</v>
      </c>
      <c r="I51" s="50" t="n">
        <f aca="false">'Object Crosswalk'!I18</f>
        <v>0.316666666666667</v>
      </c>
      <c r="J51" s="50" t="n">
        <f aca="false">H51*I51</f>
        <v>0.0791666666666667</v>
      </c>
      <c r="K51" s="32" t="n">
        <f aca="false">0</f>
        <v>0</v>
      </c>
      <c r="L51" s="33" t="n">
        <f aca="false">Controls!B35</f>
        <v>0</v>
      </c>
      <c r="M51" s="33" t="n">
        <f aca="false">Controls!B36</f>
        <v>0</v>
      </c>
      <c r="N51" s="32" t="str">
        <f aca="false">IF(M51&gt;0,"PAID","HELD")</f>
        <v>HELD</v>
      </c>
    </row>
    <row r="52" customFormat="false" ht="15" hidden="false" customHeight="false" outlineLevel="0" collapsed="false">
      <c r="A52" s="19" t="str">
        <f aca="false">"PAY-"&amp;B52&amp;"-MAKE"</f>
        <v>PAY-RIG-ET-CON-MAKE</v>
      </c>
      <c r="B52" s="19" t="str">
        <f aca="false">'Object Crosswalk'!A18</f>
        <v>RIG-ET-CON</v>
      </c>
      <c r="C52" s="19" t="str">
        <f aca="false">'Object Crosswalk'!B18</f>
        <v>Root-native rig</v>
      </c>
      <c r="D52" s="19" t="str">
        <f aca="false">'Object Crosswalk'!C18</f>
        <v>Public</v>
      </c>
      <c r="E52" s="19" t="str">
        <f aca="false">'Object Crosswalk'!D18</f>
        <v>MS-ET</v>
      </c>
      <c r="F52" s="19" t="str">
        <f aca="false">'Object Crosswalk'!E18</f>
        <v>ET-A</v>
      </c>
      <c r="G52" s="9" t="s">
        <v>546</v>
      </c>
      <c r="H52" s="41" t="n">
        <v>0.5</v>
      </c>
      <c r="I52" s="50" t="n">
        <f aca="false">'Object Crosswalk'!I18</f>
        <v>0.316666666666667</v>
      </c>
      <c r="J52" s="50" t="n">
        <f aca="false">H52*I52</f>
        <v>0.158333333333333</v>
      </c>
      <c r="K52" s="32" t="n">
        <f aca="false">0</f>
        <v>0</v>
      </c>
      <c r="L52" s="33" t="n">
        <f aca="false">Controls!B35</f>
        <v>0</v>
      </c>
      <c r="M52" s="33" t="n">
        <f aca="false">Controls!B36</f>
        <v>0</v>
      </c>
      <c r="N52" s="32" t="str">
        <f aca="false">IF(M52&gt;0,"PAID","HELD")</f>
        <v>HELD</v>
      </c>
    </row>
    <row r="53" customFormat="false" ht="15" hidden="false" customHeight="false" outlineLevel="0" collapsed="false">
      <c r="A53" s="19" t="str">
        <f aca="false">"PAY-"&amp;B53&amp;"-BREAK"</f>
        <v>PAY-RIG-ET-CON-BREAK</v>
      </c>
      <c r="B53" s="19" t="str">
        <f aca="false">'Object Crosswalk'!A18</f>
        <v>RIG-ET-CON</v>
      </c>
      <c r="C53" s="19" t="str">
        <f aca="false">'Object Crosswalk'!B18</f>
        <v>Root-native rig</v>
      </c>
      <c r="D53" s="19" t="str">
        <f aca="false">'Object Crosswalk'!C18</f>
        <v>Public</v>
      </c>
      <c r="E53" s="19" t="str">
        <f aca="false">'Object Crosswalk'!D18</f>
        <v>MS-ET</v>
      </c>
      <c r="F53" s="19" t="str">
        <f aca="false">'Object Crosswalk'!E18</f>
        <v>ET-A</v>
      </c>
      <c r="G53" s="9" t="s">
        <v>1209</v>
      </c>
      <c r="H53" s="41" t="n">
        <v>0</v>
      </c>
      <c r="I53" s="50" t="n">
        <f aca="false">'Object Crosswalk'!I18</f>
        <v>0.316666666666667</v>
      </c>
      <c r="J53" s="50" t="n">
        <f aca="false">H53*I53</f>
        <v>0</v>
      </c>
      <c r="K53" s="32" t="n">
        <f aca="false">0</f>
        <v>0</v>
      </c>
      <c r="L53" s="33" t="n">
        <f aca="false">Controls!B35</f>
        <v>0</v>
      </c>
      <c r="M53" s="33" t="n">
        <f aca="false">Controls!B36</f>
        <v>0</v>
      </c>
      <c r="N53" s="32" t="str">
        <f aca="false">IF(M53&gt;0,"PAID","HELD")</f>
        <v>HELD</v>
      </c>
    </row>
    <row r="54" customFormat="false" ht="15" hidden="false" customHeight="false" outlineLevel="0" collapsed="false">
      <c r="A54" s="19" t="str">
        <f aca="false">"PAY-"&amp;B54&amp;"-TRANSFER"</f>
        <v>PAY-RIG-ET-CON-TRANSFER</v>
      </c>
      <c r="B54" s="19" t="str">
        <f aca="false">'Object Crosswalk'!A18</f>
        <v>RIG-ET-CON</v>
      </c>
      <c r="C54" s="19" t="str">
        <f aca="false">'Object Crosswalk'!B18</f>
        <v>Root-native rig</v>
      </c>
      <c r="D54" s="19" t="str">
        <f aca="false">'Object Crosswalk'!C18</f>
        <v>Public</v>
      </c>
      <c r="E54" s="19" t="str">
        <f aca="false">'Object Crosswalk'!D18</f>
        <v>MS-ET</v>
      </c>
      <c r="F54" s="19" t="str">
        <f aca="false">'Object Crosswalk'!E18</f>
        <v>ET-A</v>
      </c>
      <c r="G54" s="9" t="s">
        <v>1210</v>
      </c>
      <c r="H54" s="41" t="n">
        <v>0.25</v>
      </c>
      <c r="I54" s="50" t="n">
        <f aca="false">'Object Crosswalk'!I18</f>
        <v>0.316666666666667</v>
      </c>
      <c r="J54" s="50" t="n">
        <f aca="false">H54*I54</f>
        <v>0.0791666666666667</v>
      </c>
      <c r="K54" s="32" t="n">
        <f aca="false">0</f>
        <v>0</v>
      </c>
      <c r="L54" s="33" t="n">
        <f aca="false">Controls!B35</f>
        <v>0</v>
      </c>
      <c r="M54" s="33" t="n">
        <f aca="false">Controls!B36</f>
        <v>0</v>
      </c>
      <c r="N54" s="32" t="str">
        <f aca="false">IF(M54&gt;0,"PAID","HELD")</f>
        <v>HELD</v>
      </c>
    </row>
    <row r="55" customFormat="false" ht="15" hidden="false" customHeight="false" outlineLevel="0" collapsed="false">
      <c r="A55" s="19" t="str">
        <f aca="false">"PAY-"&amp;B55&amp;"-FRAME"</f>
        <v>PAY-MTH-ET-CON-L1-FRAME</v>
      </c>
      <c r="B55" s="19" t="str">
        <f aca="false">'Object Crosswalk'!A19</f>
        <v>MTH-ET-CON-L1</v>
      </c>
      <c r="C55" s="19" t="str">
        <f aca="false">'Object Crosswalk'!B19</f>
        <v>Method lineage</v>
      </c>
      <c r="D55" s="19" t="str">
        <f aca="false">'Object Crosswalk'!C19</f>
        <v>Public</v>
      </c>
      <c r="E55" s="19" t="str">
        <f aca="false">'Object Crosswalk'!D19</f>
        <v>MS-ET</v>
      </c>
      <c r="F55" s="19" t="str">
        <f aca="false">'Object Crosswalk'!E19</f>
        <v>ET-A</v>
      </c>
      <c r="G55" s="9" t="s">
        <v>543</v>
      </c>
      <c r="H55" s="41" t="n">
        <v>0.25</v>
      </c>
      <c r="I55" s="50" t="n">
        <f aca="false">'Object Crosswalk'!I19</f>
        <v>0.09</v>
      </c>
      <c r="J55" s="50" t="n">
        <f aca="false">H55*I55</f>
        <v>0.0225</v>
      </c>
      <c r="K55" s="32" t="n">
        <f aca="false">0</f>
        <v>0</v>
      </c>
      <c r="L55" s="33" t="n">
        <f aca="false">Controls!B35</f>
        <v>0</v>
      </c>
      <c r="M55" s="33" t="n">
        <f aca="false">Controls!B36</f>
        <v>0</v>
      </c>
      <c r="N55" s="32" t="str">
        <f aca="false">IF(M55&gt;0,"PAID","HELD")</f>
        <v>HELD</v>
      </c>
    </row>
    <row r="56" customFormat="false" ht="15" hidden="false" customHeight="false" outlineLevel="0" collapsed="false">
      <c r="A56" s="19" t="str">
        <f aca="false">"PAY-"&amp;B56&amp;"-MAKE"</f>
        <v>PAY-MTH-ET-CON-L1-MAKE</v>
      </c>
      <c r="B56" s="19" t="str">
        <f aca="false">'Object Crosswalk'!A19</f>
        <v>MTH-ET-CON-L1</v>
      </c>
      <c r="C56" s="19" t="str">
        <f aca="false">'Object Crosswalk'!B19</f>
        <v>Method lineage</v>
      </c>
      <c r="D56" s="19" t="str">
        <f aca="false">'Object Crosswalk'!C19</f>
        <v>Public</v>
      </c>
      <c r="E56" s="19" t="str">
        <f aca="false">'Object Crosswalk'!D19</f>
        <v>MS-ET</v>
      </c>
      <c r="F56" s="19" t="str">
        <f aca="false">'Object Crosswalk'!E19</f>
        <v>ET-A</v>
      </c>
      <c r="G56" s="9" t="s">
        <v>546</v>
      </c>
      <c r="H56" s="41" t="n">
        <v>0.5</v>
      </c>
      <c r="I56" s="50" t="n">
        <f aca="false">'Object Crosswalk'!I19</f>
        <v>0.09</v>
      </c>
      <c r="J56" s="50" t="n">
        <f aca="false">H56*I56</f>
        <v>0.045</v>
      </c>
      <c r="K56" s="32" t="n">
        <f aca="false">0</f>
        <v>0</v>
      </c>
      <c r="L56" s="33" t="n">
        <f aca="false">Controls!B35</f>
        <v>0</v>
      </c>
      <c r="M56" s="33" t="n">
        <f aca="false">Controls!B36</f>
        <v>0</v>
      </c>
      <c r="N56" s="32" t="str">
        <f aca="false">IF(M56&gt;0,"PAID","HELD")</f>
        <v>HELD</v>
      </c>
    </row>
    <row r="57" customFormat="false" ht="15" hidden="false" customHeight="false" outlineLevel="0" collapsed="false">
      <c r="A57" s="19" t="str">
        <f aca="false">"PAY-"&amp;B57&amp;"-BREAK"</f>
        <v>PAY-MTH-ET-CON-L1-BREAK</v>
      </c>
      <c r="B57" s="19" t="str">
        <f aca="false">'Object Crosswalk'!A19</f>
        <v>MTH-ET-CON-L1</v>
      </c>
      <c r="C57" s="19" t="str">
        <f aca="false">'Object Crosswalk'!B19</f>
        <v>Method lineage</v>
      </c>
      <c r="D57" s="19" t="str">
        <f aca="false">'Object Crosswalk'!C19</f>
        <v>Public</v>
      </c>
      <c r="E57" s="19" t="str">
        <f aca="false">'Object Crosswalk'!D19</f>
        <v>MS-ET</v>
      </c>
      <c r="F57" s="19" t="str">
        <f aca="false">'Object Crosswalk'!E19</f>
        <v>ET-A</v>
      </c>
      <c r="G57" s="9" t="s">
        <v>1209</v>
      </c>
      <c r="H57" s="41" t="n">
        <v>0</v>
      </c>
      <c r="I57" s="50" t="n">
        <f aca="false">'Object Crosswalk'!I19</f>
        <v>0.09</v>
      </c>
      <c r="J57" s="50" t="n">
        <f aca="false">H57*I57</f>
        <v>0</v>
      </c>
      <c r="K57" s="32" t="n">
        <f aca="false">0</f>
        <v>0</v>
      </c>
      <c r="L57" s="33" t="n">
        <f aca="false">Controls!B35</f>
        <v>0</v>
      </c>
      <c r="M57" s="33" t="n">
        <f aca="false">Controls!B36</f>
        <v>0</v>
      </c>
      <c r="N57" s="32" t="str">
        <f aca="false">IF(M57&gt;0,"PAID","HELD")</f>
        <v>HELD</v>
      </c>
    </row>
    <row r="58" customFormat="false" ht="15" hidden="false" customHeight="false" outlineLevel="0" collapsed="false">
      <c r="A58" s="19" t="str">
        <f aca="false">"PAY-"&amp;B58&amp;"-TRANSFER"</f>
        <v>PAY-MTH-ET-CON-L1-TRANSFER</v>
      </c>
      <c r="B58" s="19" t="str">
        <f aca="false">'Object Crosswalk'!A19</f>
        <v>MTH-ET-CON-L1</v>
      </c>
      <c r="C58" s="19" t="str">
        <f aca="false">'Object Crosswalk'!B19</f>
        <v>Method lineage</v>
      </c>
      <c r="D58" s="19" t="str">
        <f aca="false">'Object Crosswalk'!C19</f>
        <v>Public</v>
      </c>
      <c r="E58" s="19" t="str">
        <f aca="false">'Object Crosswalk'!D19</f>
        <v>MS-ET</v>
      </c>
      <c r="F58" s="19" t="str">
        <f aca="false">'Object Crosswalk'!E19</f>
        <v>ET-A</v>
      </c>
      <c r="G58" s="9" t="s">
        <v>1210</v>
      </c>
      <c r="H58" s="41" t="n">
        <v>0.25</v>
      </c>
      <c r="I58" s="50" t="n">
        <f aca="false">'Object Crosswalk'!I19</f>
        <v>0.09</v>
      </c>
      <c r="J58" s="50" t="n">
        <f aca="false">H58*I58</f>
        <v>0.0225</v>
      </c>
      <c r="K58" s="32" t="n">
        <f aca="false">0</f>
        <v>0</v>
      </c>
      <c r="L58" s="33" t="n">
        <f aca="false">Controls!B35</f>
        <v>0</v>
      </c>
      <c r="M58" s="33" t="n">
        <f aca="false">Controls!B36</f>
        <v>0</v>
      </c>
      <c r="N58" s="32" t="str">
        <f aca="false">IF(M58&gt;0,"PAID","HELD")</f>
        <v>HELD</v>
      </c>
    </row>
    <row r="59" customFormat="false" ht="15" hidden="false" customHeight="false" outlineLevel="0" collapsed="false">
      <c r="A59" s="19" t="str">
        <f aca="false">"PAY-"&amp;B59&amp;"-FRAME"</f>
        <v>PAY-MTH-ET-CON-L2-FRAME</v>
      </c>
      <c r="B59" s="19" t="str">
        <f aca="false">'Object Crosswalk'!A20</f>
        <v>MTH-ET-CON-L2</v>
      </c>
      <c r="C59" s="19" t="str">
        <f aca="false">'Object Crosswalk'!B20</f>
        <v>Method lineage</v>
      </c>
      <c r="D59" s="19" t="str">
        <f aca="false">'Object Crosswalk'!C20</f>
        <v>Public</v>
      </c>
      <c r="E59" s="19" t="str">
        <f aca="false">'Object Crosswalk'!D20</f>
        <v>MS-ET</v>
      </c>
      <c r="F59" s="19" t="str">
        <f aca="false">'Object Crosswalk'!E20</f>
        <v>ET-A</v>
      </c>
      <c r="G59" s="9" t="s">
        <v>543</v>
      </c>
      <c r="H59" s="41" t="n">
        <v>0.25</v>
      </c>
      <c r="I59" s="50" t="n">
        <f aca="false">'Object Crosswalk'!I20</f>
        <v>0.09</v>
      </c>
      <c r="J59" s="50" t="n">
        <f aca="false">H59*I59</f>
        <v>0.0225</v>
      </c>
      <c r="K59" s="32" t="n">
        <f aca="false">0</f>
        <v>0</v>
      </c>
      <c r="L59" s="33" t="n">
        <f aca="false">Controls!B35</f>
        <v>0</v>
      </c>
      <c r="M59" s="33" t="n">
        <f aca="false">Controls!B36</f>
        <v>0</v>
      </c>
      <c r="N59" s="32" t="str">
        <f aca="false">IF(M59&gt;0,"PAID","HELD")</f>
        <v>HELD</v>
      </c>
    </row>
    <row r="60" customFormat="false" ht="15" hidden="false" customHeight="false" outlineLevel="0" collapsed="false">
      <c r="A60" s="19" t="str">
        <f aca="false">"PAY-"&amp;B60&amp;"-MAKE"</f>
        <v>PAY-MTH-ET-CON-L2-MAKE</v>
      </c>
      <c r="B60" s="19" t="str">
        <f aca="false">'Object Crosswalk'!A20</f>
        <v>MTH-ET-CON-L2</v>
      </c>
      <c r="C60" s="19" t="str">
        <f aca="false">'Object Crosswalk'!B20</f>
        <v>Method lineage</v>
      </c>
      <c r="D60" s="19" t="str">
        <f aca="false">'Object Crosswalk'!C20</f>
        <v>Public</v>
      </c>
      <c r="E60" s="19" t="str">
        <f aca="false">'Object Crosswalk'!D20</f>
        <v>MS-ET</v>
      </c>
      <c r="F60" s="19" t="str">
        <f aca="false">'Object Crosswalk'!E20</f>
        <v>ET-A</v>
      </c>
      <c r="G60" s="9" t="s">
        <v>546</v>
      </c>
      <c r="H60" s="41" t="n">
        <v>0.5</v>
      </c>
      <c r="I60" s="50" t="n">
        <f aca="false">'Object Crosswalk'!I20</f>
        <v>0.09</v>
      </c>
      <c r="J60" s="50" t="n">
        <f aca="false">H60*I60</f>
        <v>0.045</v>
      </c>
      <c r="K60" s="32" t="n">
        <f aca="false">0</f>
        <v>0</v>
      </c>
      <c r="L60" s="33" t="n">
        <f aca="false">Controls!B35</f>
        <v>0</v>
      </c>
      <c r="M60" s="33" t="n">
        <f aca="false">Controls!B36</f>
        <v>0</v>
      </c>
      <c r="N60" s="32" t="str">
        <f aca="false">IF(M60&gt;0,"PAID","HELD")</f>
        <v>HELD</v>
      </c>
    </row>
    <row r="61" customFormat="false" ht="15" hidden="false" customHeight="false" outlineLevel="0" collapsed="false">
      <c r="A61" s="19" t="str">
        <f aca="false">"PAY-"&amp;B61&amp;"-BREAK"</f>
        <v>PAY-MTH-ET-CON-L2-BREAK</v>
      </c>
      <c r="B61" s="19" t="str">
        <f aca="false">'Object Crosswalk'!A20</f>
        <v>MTH-ET-CON-L2</v>
      </c>
      <c r="C61" s="19" t="str">
        <f aca="false">'Object Crosswalk'!B20</f>
        <v>Method lineage</v>
      </c>
      <c r="D61" s="19" t="str">
        <f aca="false">'Object Crosswalk'!C20</f>
        <v>Public</v>
      </c>
      <c r="E61" s="19" t="str">
        <f aca="false">'Object Crosswalk'!D20</f>
        <v>MS-ET</v>
      </c>
      <c r="F61" s="19" t="str">
        <f aca="false">'Object Crosswalk'!E20</f>
        <v>ET-A</v>
      </c>
      <c r="G61" s="9" t="s">
        <v>1209</v>
      </c>
      <c r="H61" s="41" t="n">
        <v>0</v>
      </c>
      <c r="I61" s="50" t="n">
        <f aca="false">'Object Crosswalk'!I20</f>
        <v>0.09</v>
      </c>
      <c r="J61" s="50" t="n">
        <f aca="false">H61*I61</f>
        <v>0</v>
      </c>
      <c r="K61" s="32" t="n">
        <f aca="false">0</f>
        <v>0</v>
      </c>
      <c r="L61" s="33" t="n">
        <f aca="false">Controls!B35</f>
        <v>0</v>
      </c>
      <c r="M61" s="33" t="n">
        <f aca="false">Controls!B36</f>
        <v>0</v>
      </c>
      <c r="N61" s="32" t="str">
        <f aca="false">IF(M61&gt;0,"PAID","HELD")</f>
        <v>HELD</v>
      </c>
    </row>
    <row r="62" customFormat="false" ht="15" hidden="false" customHeight="false" outlineLevel="0" collapsed="false">
      <c r="A62" s="19" t="str">
        <f aca="false">"PAY-"&amp;B62&amp;"-TRANSFER"</f>
        <v>PAY-MTH-ET-CON-L2-TRANSFER</v>
      </c>
      <c r="B62" s="19" t="str">
        <f aca="false">'Object Crosswalk'!A20</f>
        <v>MTH-ET-CON-L2</v>
      </c>
      <c r="C62" s="19" t="str">
        <f aca="false">'Object Crosswalk'!B20</f>
        <v>Method lineage</v>
      </c>
      <c r="D62" s="19" t="str">
        <f aca="false">'Object Crosswalk'!C20</f>
        <v>Public</v>
      </c>
      <c r="E62" s="19" t="str">
        <f aca="false">'Object Crosswalk'!D20</f>
        <v>MS-ET</v>
      </c>
      <c r="F62" s="19" t="str">
        <f aca="false">'Object Crosswalk'!E20</f>
        <v>ET-A</v>
      </c>
      <c r="G62" s="9" t="s">
        <v>1210</v>
      </c>
      <c r="H62" s="41" t="n">
        <v>0.25</v>
      </c>
      <c r="I62" s="50" t="n">
        <f aca="false">'Object Crosswalk'!I20</f>
        <v>0.09</v>
      </c>
      <c r="J62" s="50" t="n">
        <f aca="false">H62*I62</f>
        <v>0.0225</v>
      </c>
      <c r="K62" s="32" t="n">
        <f aca="false">0</f>
        <v>0</v>
      </c>
      <c r="L62" s="33" t="n">
        <f aca="false">Controls!B35</f>
        <v>0</v>
      </c>
      <c r="M62" s="33" t="n">
        <f aca="false">Controls!B36</f>
        <v>0</v>
      </c>
      <c r="N62" s="32" t="str">
        <f aca="false">IF(M62&gt;0,"PAID","HELD")</f>
        <v>HELD</v>
      </c>
    </row>
    <row r="63" customFormat="false" ht="15" hidden="false" customHeight="false" outlineLevel="0" collapsed="false">
      <c r="A63" s="19" t="str">
        <f aca="false">"PAY-"&amp;B63&amp;"-FRAME"</f>
        <v>PAY-REG-ET-CON-FRAME</v>
      </c>
      <c r="B63" s="19" t="str">
        <f aca="false">'Object Crosswalk'!A21</f>
        <v>REG-ET-CON</v>
      </c>
      <c r="C63" s="19" t="str">
        <f aca="false">'Object Crosswalk'!B21</f>
        <v>Regeneration tool</v>
      </c>
      <c r="D63" s="19" t="str">
        <f aca="false">'Object Crosswalk'!C21</f>
        <v>Public</v>
      </c>
      <c r="E63" s="19" t="str">
        <f aca="false">'Object Crosswalk'!D21</f>
        <v>MS-ET</v>
      </c>
      <c r="F63" s="19" t="str">
        <f aca="false">'Object Crosswalk'!E21</f>
        <v>ET-A</v>
      </c>
      <c r="G63" s="9" t="s">
        <v>543</v>
      </c>
      <c r="H63" s="41" t="n">
        <v>0.25</v>
      </c>
      <c r="I63" s="50" t="n">
        <f aca="false">'Object Crosswalk'!I21</f>
        <v>0.0666666666666667</v>
      </c>
      <c r="J63" s="50" t="n">
        <f aca="false">H63*I63</f>
        <v>0.0166666666666667</v>
      </c>
      <c r="K63" s="32" t="n">
        <f aca="false">0</f>
        <v>0</v>
      </c>
      <c r="L63" s="33" t="n">
        <f aca="false">Controls!B35</f>
        <v>0</v>
      </c>
      <c r="M63" s="33" t="n">
        <f aca="false">Controls!B36</f>
        <v>0</v>
      </c>
      <c r="N63" s="32" t="str">
        <f aca="false">IF(M63&gt;0,"PAID","HELD")</f>
        <v>HELD</v>
      </c>
    </row>
    <row r="64" customFormat="false" ht="15" hidden="false" customHeight="false" outlineLevel="0" collapsed="false">
      <c r="A64" s="19" t="str">
        <f aca="false">"PAY-"&amp;B64&amp;"-MAKE"</f>
        <v>PAY-REG-ET-CON-MAKE</v>
      </c>
      <c r="B64" s="19" t="str">
        <f aca="false">'Object Crosswalk'!A21</f>
        <v>REG-ET-CON</v>
      </c>
      <c r="C64" s="19" t="str">
        <f aca="false">'Object Crosswalk'!B21</f>
        <v>Regeneration tool</v>
      </c>
      <c r="D64" s="19" t="str">
        <f aca="false">'Object Crosswalk'!C21</f>
        <v>Public</v>
      </c>
      <c r="E64" s="19" t="str">
        <f aca="false">'Object Crosswalk'!D21</f>
        <v>MS-ET</v>
      </c>
      <c r="F64" s="19" t="str">
        <f aca="false">'Object Crosswalk'!E21</f>
        <v>ET-A</v>
      </c>
      <c r="G64" s="9" t="s">
        <v>546</v>
      </c>
      <c r="H64" s="41" t="n">
        <v>0.5</v>
      </c>
      <c r="I64" s="50" t="n">
        <f aca="false">'Object Crosswalk'!I21</f>
        <v>0.0666666666666667</v>
      </c>
      <c r="J64" s="50" t="n">
        <f aca="false">H64*I64</f>
        <v>0.0333333333333333</v>
      </c>
      <c r="K64" s="32" t="n">
        <f aca="false">0</f>
        <v>0</v>
      </c>
      <c r="L64" s="33" t="n">
        <f aca="false">Controls!B35</f>
        <v>0</v>
      </c>
      <c r="M64" s="33" t="n">
        <f aca="false">Controls!B36</f>
        <v>0</v>
      </c>
      <c r="N64" s="32" t="str">
        <f aca="false">IF(M64&gt;0,"PAID","HELD")</f>
        <v>HELD</v>
      </c>
    </row>
    <row r="65" customFormat="false" ht="15" hidden="false" customHeight="false" outlineLevel="0" collapsed="false">
      <c r="A65" s="19" t="str">
        <f aca="false">"PAY-"&amp;B65&amp;"-BREAK"</f>
        <v>PAY-REG-ET-CON-BREAK</v>
      </c>
      <c r="B65" s="19" t="str">
        <f aca="false">'Object Crosswalk'!A21</f>
        <v>REG-ET-CON</v>
      </c>
      <c r="C65" s="19" t="str">
        <f aca="false">'Object Crosswalk'!B21</f>
        <v>Regeneration tool</v>
      </c>
      <c r="D65" s="19" t="str">
        <f aca="false">'Object Crosswalk'!C21</f>
        <v>Public</v>
      </c>
      <c r="E65" s="19" t="str">
        <f aca="false">'Object Crosswalk'!D21</f>
        <v>MS-ET</v>
      </c>
      <c r="F65" s="19" t="str">
        <f aca="false">'Object Crosswalk'!E21</f>
        <v>ET-A</v>
      </c>
      <c r="G65" s="9" t="s">
        <v>1209</v>
      </c>
      <c r="H65" s="41" t="n">
        <v>0</v>
      </c>
      <c r="I65" s="50" t="n">
        <f aca="false">'Object Crosswalk'!I21</f>
        <v>0.0666666666666667</v>
      </c>
      <c r="J65" s="50" t="n">
        <f aca="false">H65*I65</f>
        <v>0</v>
      </c>
      <c r="K65" s="32" t="n">
        <f aca="false">0</f>
        <v>0</v>
      </c>
      <c r="L65" s="33" t="n">
        <f aca="false">Controls!B35</f>
        <v>0</v>
      </c>
      <c r="M65" s="33" t="n">
        <f aca="false">Controls!B36</f>
        <v>0</v>
      </c>
      <c r="N65" s="32" t="str">
        <f aca="false">IF(M65&gt;0,"PAID","HELD")</f>
        <v>HELD</v>
      </c>
    </row>
    <row r="66" customFormat="false" ht="15" hidden="false" customHeight="false" outlineLevel="0" collapsed="false">
      <c r="A66" s="19" t="str">
        <f aca="false">"PAY-"&amp;B66&amp;"-TRANSFER"</f>
        <v>PAY-REG-ET-CON-TRANSFER</v>
      </c>
      <c r="B66" s="19" t="str">
        <f aca="false">'Object Crosswalk'!A21</f>
        <v>REG-ET-CON</v>
      </c>
      <c r="C66" s="19" t="str">
        <f aca="false">'Object Crosswalk'!B21</f>
        <v>Regeneration tool</v>
      </c>
      <c r="D66" s="19" t="str">
        <f aca="false">'Object Crosswalk'!C21</f>
        <v>Public</v>
      </c>
      <c r="E66" s="19" t="str">
        <f aca="false">'Object Crosswalk'!D21</f>
        <v>MS-ET</v>
      </c>
      <c r="F66" s="19" t="str">
        <f aca="false">'Object Crosswalk'!E21</f>
        <v>ET-A</v>
      </c>
      <c r="G66" s="9" t="s">
        <v>1210</v>
      </c>
      <c r="H66" s="41" t="n">
        <v>0.25</v>
      </c>
      <c r="I66" s="50" t="n">
        <f aca="false">'Object Crosswalk'!I21</f>
        <v>0.0666666666666667</v>
      </c>
      <c r="J66" s="50" t="n">
        <f aca="false">H66*I66</f>
        <v>0.0166666666666667</v>
      </c>
      <c r="K66" s="32" t="n">
        <f aca="false">0</f>
        <v>0</v>
      </c>
      <c r="L66" s="33" t="n">
        <f aca="false">Controls!B35</f>
        <v>0</v>
      </c>
      <c r="M66" s="33" t="n">
        <f aca="false">Controls!B36</f>
        <v>0</v>
      </c>
      <c r="N66" s="32" t="str">
        <f aca="false">IF(M66&gt;0,"PAID","HELD")</f>
        <v>HELD</v>
      </c>
    </row>
    <row r="67" customFormat="false" ht="15" hidden="false" customHeight="false" outlineLevel="0" collapsed="false">
      <c r="A67" s="19" t="str">
        <f aca="false">"PAY-"&amp;B67&amp;"-FRAME"</f>
        <v>PAY-INT-ET-CON-FRAME</v>
      </c>
      <c r="B67" s="19" t="str">
        <f aca="false">'Object Crosswalk'!A22</f>
        <v>INT-ET-CON</v>
      </c>
      <c r="C67" s="19" t="str">
        <f aca="false">'Object Crosswalk'!B22</f>
        <v>Station integration</v>
      </c>
      <c r="D67" s="19" t="str">
        <f aca="false">'Object Crosswalk'!C22</f>
        <v>Public</v>
      </c>
      <c r="E67" s="19" t="str">
        <f aca="false">'Object Crosswalk'!D22</f>
        <v>MS-ET</v>
      </c>
      <c r="F67" s="19" t="str">
        <f aca="false">'Object Crosswalk'!E22</f>
        <v>ET-A</v>
      </c>
      <c r="G67" s="9" t="s">
        <v>543</v>
      </c>
      <c r="H67" s="41" t="n">
        <v>0.25</v>
      </c>
      <c r="I67" s="50" t="n">
        <f aca="false">'Object Crosswalk'!I22</f>
        <v>0.0633333333333333</v>
      </c>
      <c r="J67" s="50" t="n">
        <f aca="false">H67*I67</f>
        <v>0.0158333333333333</v>
      </c>
      <c r="K67" s="32" t="n">
        <f aca="false">0</f>
        <v>0</v>
      </c>
      <c r="L67" s="33" t="n">
        <f aca="false">Controls!B35</f>
        <v>0</v>
      </c>
      <c r="M67" s="33" t="n">
        <f aca="false">Controls!B36</f>
        <v>0</v>
      </c>
      <c r="N67" s="32" t="str">
        <f aca="false">IF(M67&gt;0,"PAID","HELD")</f>
        <v>HELD</v>
      </c>
    </row>
    <row r="68" customFormat="false" ht="15" hidden="false" customHeight="false" outlineLevel="0" collapsed="false">
      <c r="A68" s="19" t="str">
        <f aca="false">"PAY-"&amp;B68&amp;"-MAKE"</f>
        <v>PAY-INT-ET-CON-MAKE</v>
      </c>
      <c r="B68" s="19" t="str">
        <f aca="false">'Object Crosswalk'!A22</f>
        <v>INT-ET-CON</v>
      </c>
      <c r="C68" s="19" t="str">
        <f aca="false">'Object Crosswalk'!B22</f>
        <v>Station integration</v>
      </c>
      <c r="D68" s="19" t="str">
        <f aca="false">'Object Crosswalk'!C22</f>
        <v>Public</v>
      </c>
      <c r="E68" s="19" t="str">
        <f aca="false">'Object Crosswalk'!D22</f>
        <v>MS-ET</v>
      </c>
      <c r="F68" s="19" t="str">
        <f aca="false">'Object Crosswalk'!E22</f>
        <v>ET-A</v>
      </c>
      <c r="G68" s="9" t="s">
        <v>546</v>
      </c>
      <c r="H68" s="41" t="n">
        <v>0.5</v>
      </c>
      <c r="I68" s="50" t="n">
        <f aca="false">'Object Crosswalk'!I22</f>
        <v>0.0633333333333333</v>
      </c>
      <c r="J68" s="50" t="n">
        <f aca="false">H68*I68</f>
        <v>0.0316666666666667</v>
      </c>
      <c r="K68" s="32" t="n">
        <f aca="false">0</f>
        <v>0</v>
      </c>
      <c r="L68" s="33" t="n">
        <f aca="false">Controls!B35</f>
        <v>0</v>
      </c>
      <c r="M68" s="33" t="n">
        <f aca="false">Controls!B36</f>
        <v>0</v>
      </c>
      <c r="N68" s="32" t="str">
        <f aca="false">IF(M68&gt;0,"PAID","HELD")</f>
        <v>HELD</v>
      </c>
    </row>
    <row r="69" customFormat="false" ht="15" hidden="false" customHeight="false" outlineLevel="0" collapsed="false">
      <c r="A69" s="19" t="str">
        <f aca="false">"PAY-"&amp;B69&amp;"-BREAK"</f>
        <v>PAY-INT-ET-CON-BREAK</v>
      </c>
      <c r="B69" s="19" t="str">
        <f aca="false">'Object Crosswalk'!A22</f>
        <v>INT-ET-CON</v>
      </c>
      <c r="C69" s="19" t="str">
        <f aca="false">'Object Crosswalk'!B22</f>
        <v>Station integration</v>
      </c>
      <c r="D69" s="19" t="str">
        <f aca="false">'Object Crosswalk'!C22</f>
        <v>Public</v>
      </c>
      <c r="E69" s="19" t="str">
        <f aca="false">'Object Crosswalk'!D22</f>
        <v>MS-ET</v>
      </c>
      <c r="F69" s="19" t="str">
        <f aca="false">'Object Crosswalk'!E22</f>
        <v>ET-A</v>
      </c>
      <c r="G69" s="9" t="s">
        <v>1209</v>
      </c>
      <c r="H69" s="41" t="n">
        <v>0</v>
      </c>
      <c r="I69" s="50" t="n">
        <f aca="false">'Object Crosswalk'!I22</f>
        <v>0.0633333333333333</v>
      </c>
      <c r="J69" s="50" t="n">
        <f aca="false">H69*I69</f>
        <v>0</v>
      </c>
      <c r="K69" s="32" t="n">
        <f aca="false">0</f>
        <v>0</v>
      </c>
      <c r="L69" s="33" t="n">
        <f aca="false">Controls!B35</f>
        <v>0</v>
      </c>
      <c r="M69" s="33" t="n">
        <f aca="false">Controls!B36</f>
        <v>0</v>
      </c>
      <c r="N69" s="32" t="str">
        <f aca="false">IF(M69&gt;0,"PAID","HELD")</f>
        <v>HELD</v>
      </c>
    </row>
    <row r="70" customFormat="false" ht="15" hidden="false" customHeight="false" outlineLevel="0" collapsed="false">
      <c r="A70" s="19" t="str">
        <f aca="false">"PAY-"&amp;B70&amp;"-TRANSFER"</f>
        <v>PAY-INT-ET-CON-TRANSFER</v>
      </c>
      <c r="B70" s="19" t="str">
        <f aca="false">'Object Crosswalk'!A22</f>
        <v>INT-ET-CON</v>
      </c>
      <c r="C70" s="19" t="str">
        <f aca="false">'Object Crosswalk'!B22</f>
        <v>Station integration</v>
      </c>
      <c r="D70" s="19" t="str">
        <f aca="false">'Object Crosswalk'!C22</f>
        <v>Public</v>
      </c>
      <c r="E70" s="19" t="str">
        <f aca="false">'Object Crosswalk'!D22</f>
        <v>MS-ET</v>
      </c>
      <c r="F70" s="19" t="str">
        <f aca="false">'Object Crosswalk'!E22</f>
        <v>ET-A</v>
      </c>
      <c r="G70" s="9" t="s">
        <v>1210</v>
      </c>
      <c r="H70" s="41" t="n">
        <v>0.25</v>
      </c>
      <c r="I70" s="50" t="n">
        <f aca="false">'Object Crosswalk'!I22</f>
        <v>0.0633333333333333</v>
      </c>
      <c r="J70" s="50" t="n">
        <f aca="false">H70*I70</f>
        <v>0.0158333333333333</v>
      </c>
      <c r="K70" s="32" t="n">
        <f aca="false">0</f>
        <v>0</v>
      </c>
      <c r="L70" s="33" t="n">
        <f aca="false">Controls!B35</f>
        <v>0</v>
      </c>
      <c r="M70" s="33" t="n">
        <f aca="false">Controls!B36</f>
        <v>0</v>
      </c>
      <c r="N70" s="32" t="str">
        <f aca="false">IF(M70&gt;0,"PAID","HELD")</f>
        <v>HELD</v>
      </c>
    </row>
    <row r="71" customFormat="false" ht="15" hidden="false" customHeight="false" outlineLevel="0" collapsed="false">
      <c r="A71" s="19" t="str">
        <f aca="false">"PAY-"&amp;B71&amp;"-FRAME"</f>
        <v>PAY-RIG-ET-REC-FRAME</v>
      </c>
      <c r="B71" s="19" t="str">
        <f aca="false">'Object Crosswalk'!A23</f>
        <v>RIG-ET-REC</v>
      </c>
      <c r="C71" s="19" t="str">
        <f aca="false">'Object Crosswalk'!B23</f>
        <v>Root-native rig</v>
      </c>
      <c r="D71" s="19" t="str">
        <f aca="false">'Object Crosswalk'!C23</f>
        <v>Public</v>
      </c>
      <c r="E71" s="19" t="str">
        <f aca="false">'Object Crosswalk'!D23</f>
        <v>MS-ET</v>
      </c>
      <c r="F71" s="19" t="str">
        <f aca="false">'Object Crosswalk'!E23</f>
        <v>ET-A</v>
      </c>
      <c r="G71" s="9" t="s">
        <v>543</v>
      </c>
      <c r="H71" s="41" t="n">
        <v>0.25</v>
      </c>
      <c r="I71" s="50" t="n">
        <f aca="false">'Object Crosswalk'!I23</f>
        <v>0.316666666666667</v>
      </c>
      <c r="J71" s="50" t="n">
        <f aca="false">H71*I71</f>
        <v>0.0791666666666667</v>
      </c>
      <c r="K71" s="32" t="n">
        <f aca="false">0</f>
        <v>0</v>
      </c>
      <c r="L71" s="33" t="n">
        <f aca="false">Controls!B35</f>
        <v>0</v>
      </c>
      <c r="M71" s="33" t="n">
        <f aca="false">Controls!B36</f>
        <v>0</v>
      </c>
      <c r="N71" s="32" t="str">
        <f aca="false">IF(M71&gt;0,"PAID","HELD")</f>
        <v>HELD</v>
      </c>
    </row>
    <row r="72" customFormat="false" ht="15" hidden="false" customHeight="false" outlineLevel="0" collapsed="false">
      <c r="A72" s="19" t="str">
        <f aca="false">"PAY-"&amp;B72&amp;"-MAKE"</f>
        <v>PAY-RIG-ET-REC-MAKE</v>
      </c>
      <c r="B72" s="19" t="str">
        <f aca="false">'Object Crosswalk'!A23</f>
        <v>RIG-ET-REC</v>
      </c>
      <c r="C72" s="19" t="str">
        <f aca="false">'Object Crosswalk'!B23</f>
        <v>Root-native rig</v>
      </c>
      <c r="D72" s="19" t="str">
        <f aca="false">'Object Crosswalk'!C23</f>
        <v>Public</v>
      </c>
      <c r="E72" s="19" t="str">
        <f aca="false">'Object Crosswalk'!D23</f>
        <v>MS-ET</v>
      </c>
      <c r="F72" s="19" t="str">
        <f aca="false">'Object Crosswalk'!E23</f>
        <v>ET-A</v>
      </c>
      <c r="G72" s="9" t="s">
        <v>546</v>
      </c>
      <c r="H72" s="41" t="n">
        <v>0.5</v>
      </c>
      <c r="I72" s="50" t="n">
        <f aca="false">'Object Crosswalk'!I23</f>
        <v>0.316666666666667</v>
      </c>
      <c r="J72" s="50" t="n">
        <f aca="false">H72*I72</f>
        <v>0.158333333333333</v>
      </c>
      <c r="K72" s="32" t="n">
        <f aca="false">0</f>
        <v>0</v>
      </c>
      <c r="L72" s="33" t="n">
        <f aca="false">Controls!B35</f>
        <v>0</v>
      </c>
      <c r="M72" s="33" t="n">
        <f aca="false">Controls!B36</f>
        <v>0</v>
      </c>
      <c r="N72" s="32" t="str">
        <f aca="false">IF(M72&gt;0,"PAID","HELD")</f>
        <v>HELD</v>
      </c>
    </row>
    <row r="73" customFormat="false" ht="15" hidden="false" customHeight="false" outlineLevel="0" collapsed="false">
      <c r="A73" s="19" t="str">
        <f aca="false">"PAY-"&amp;B73&amp;"-BREAK"</f>
        <v>PAY-RIG-ET-REC-BREAK</v>
      </c>
      <c r="B73" s="19" t="str">
        <f aca="false">'Object Crosswalk'!A23</f>
        <v>RIG-ET-REC</v>
      </c>
      <c r="C73" s="19" t="str">
        <f aca="false">'Object Crosswalk'!B23</f>
        <v>Root-native rig</v>
      </c>
      <c r="D73" s="19" t="str">
        <f aca="false">'Object Crosswalk'!C23</f>
        <v>Public</v>
      </c>
      <c r="E73" s="19" t="str">
        <f aca="false">'Object Crosswalk'!D23</f>
        <v>MS-ET</v>
      </c>
      <c r="F73" s="19" t="str">
        <f aca="false">'Object Crosswalk'!E23</f>
        <v>ET-A</v>
      </c>
      <c r="G73" s="9" t="s">
        <v>1209</v>
      </c>
      <c r="H73" s="41" t="n">
        <v>0</v>
      </c>
      <c r="I73" s="50" t="n">
        <f aca="false">'Object Crosswalk'!I23</f>
        <v>0.316666666666667</v>
      </c>
      <c r="J73" s="50" t="n">
        <f aca="false">H73*I73</f>
        <v>0</v>
      </c>
      <c r="K73" s="32" t="n">
        <f aca="false">0</f>
        <v>0</v>
      </c>
      <c r="L73" s="33" t="n">
        <f aca="false">Controls!B35</f>
        <v>0</v>
      </c>
      <c r="M73" s="33" t="n">
        <f aca="false">Controls!B36</f>
        <v>0</v>
      </c>
      <c r="N73" s="32" t="str">
        <f aca="false">IF(M73&gt;0,"PAID","HELD")</f>
        <v>HELD</v>
      </c>
    </row>
    <row r="74" customFormat="false" ht="15" hidden="false" customHeight="false" outlineLevel="0" collapsed="false">
      <c r="A74" s="19" t="str">
        <f aca="false">"PAY-"&amp;B74&amp;"-TRANSFER"</f>
        <v>PAY-RIG-ET-REC-TRANSFER</v>
      </c>
      <c r="B74" s="19" t="str">
        <f aca="false">'Object Crosswalk'!A23</f>
        <v>RIG-ET-REC</v>
      </c>
      <c r="C74" s="19" t="str">
        <f aca="false">'Object Crosswalk'!B23</f>
        <v>Root-native rig</v>
      </c>
      <c r="D74" s="19" t="str">
        <f aca="false">'Object Crosswalk'!C23</f>
        <v>Public</v>
      </c>
      <c r="E74" s="19" t="str">
        <f aca="false">'Object Crosswalk'!D23</f>
        <v>MS-ET</v>
      </c>
      <c r="F74" s="19" t="str">
        <f aca="false">'Object Crosswalk'!E23</f>
        <v>ET-A</v>
      </c>
      <c r="G74" s="9" t="s">
        <v>1210</v>
      </c>
      <c r="H74" s="41" t="n">
        <v>0.25</v>
      </c>
      <c r="I74" s="50" t="n">
        <f aca="false">'Object Crosswalk'!I23</f>
        <v>0.316666666666667</v>
      </c>
      <c r="J74" s="50" t="n">
        <f aca="false">H74*I74</f>
        <v>0.0791666666666667</v>
      </c>
      <c r="K74" s="32" t="n">
        <f aca="false">0</f>
        <v>0</v>
      </c>
      <c r="L74" s="33" t="n">
        <f aca="false">Controls!B35</f>
        <v>0</v>
      </c>
      <c r="M74" s="33" t="n">
        <f aca="false">Controls!B36</f>
        <v>0</v>
      </c>
      <c r="N74" s="32" t="str">
        <f aca="false">IF(M74&gt;0,"PAID","HELD")</f>
        <v>HELD</v>
      </c>
    </row>
    <row r="75" customFormat="false" ht="15" hidden="false" customHeight="false" outlineLevel="0" collapsed="false">
      <c r="A75" s="19" t="str">
        <f aca="false">"PAY-"&amp;B75&amp;"-FRAME"</f>
        <v>PAY-MTH-ET-REC-L1-FRAME</v>
      </c>
      <c r="B75" s="19" t="str">
        <f aca="false">'Object Crosswalk'!A24</f>
        <v>MTH-ET-REC-L1</v>
      </c>
      <c r="C75" s="19" t="str">
        <f aca="false">'Object Crosswalk'!B24</f>
        <v>Method lineage</v>
      </c>
      <c r="D75" s="19" t="str">
        <f aca="false">'Object Crosswalk'!C24</f>
        <v>Public</v>
      </c>
      <c r="E75" s="19" t="str">
        <f aca="false">'Object Crosswalk'!D24</f>
        <v>MS-ET</v>
      </c>
      <c r="F75" s="19" t="str">
        <f aca="false">'Object Crosswalk'!E24</f>
        <v>ET-A</v>
      </c>
      <c r="G75" s="9" t="s">
        <v>543</v>
      </c>
      <c r="H75" s="41" t="n">
        <v>0.25</v>
      </c>
      <c r="I75" s="50" t="n">
        <f aca="false">'Object Crosswalk'!I24</f>
        <v>0.09</v>
      </c>
      <c r="J75" s="50" t="n">
        <f aca="false">H75*I75</f>
        <v>0.0225</v>
      </c>
      <c r="K75" s="32" t="n">
        <f aca="false">0</f>
        <v>0</v>
      </c>
      <c r="L75" s="33" t="n">
        <f aca="false">Controls!B35</f>
        <v>0</v>
      </c>
      <c r="M75" s="33" t="n">
        <f aca="false">Controls!B36</f>
        <v>0</v>
      </c>
      <c r="N75" s="32" t="str">
        <f aca="false">IF(M75&gt;0,"PAID","HELD")</f>
        <v>HELD</v>
      </c>
    </row>
    <row r="76" customFormat="false" ht="15" hidden="false" customHeight="false" outlineLevel="0" collapsed="false">
      <c r="A76" s="19" t="str">
        <f aca="false">"PAY-"&amp;B76&amp;"-MAKE"</f>
        <v>PAY-MTH-ET-REC-L1-MAKE</v>
      </c>
      <c r="B76" s="19" t="str">
        <f aca="false">'Object Crosswalk'!A24</f>
        <v>MTH-ET-REC-L1</v>
      </c>
      <c r="C76" s="19" t="str">
        <f aca="false">'Object Crosswalk'!B24</f>
        <v>Method lineage</v>
      </c>
      <c r="D76" s="19" t="str">
        <f aca="false">'Object Crosswalk'!C24</f>
        <v>Public</v>
      </c>
      <c r="E76" s="19" t="str">
        <f aca="false">'Object Crosswalk'!D24</f>
        <v>MS-ET</v>
      </c>
      <c r="F76" s="19" t="str">
        <f aca="false">'Object Crosswalk'!E24</f>
        <v>ET-A</v>
      </c>
      <c r="G76" s="9" t="s">
        <v>546</v>
      </c>
      <c r="H76" s="41" t="n">
        <v>0.5</v>
      </c>
      <c r="I76" s="50" t="n">
        <f aca="false">'Object Crosswalk'!I24</f>
        <v>0.09</v>
      </c>
      <c r="J76" s="50" t="n">
        <f aca="false">H76*I76</f>
        <v>0.045</v>
      </c>
      <c r="K76" s="32" t="n">
        <f aca="false">0</f>
        <v>0</v>
      </c>
      <c r="L76" s="33" t="n">
        <f aca="false">Controls!B35</f>
        <v>0</v>
      </c>
      <c r="M76" s="33" t="n">
        <f aca="false">Controls!B36</f>
        <v>0</v>
      </c>
      <c r="N76" s="32" t="str">
        <f aca="false">IF(M76&gt;0,"PAID","HELD")</f>
        <v>HELD</v>
      </c>
    </row>
    <row r="77" customFormat="false" ht="15" hidden="false" customHeight="false" outlineLevel="0" collapsed="false">
      <c r="A77" s="19" t="str">
        <f aca="false">"PAY-"&amp;B77&amp;"-BREAK"</f>
        <v>PAY-MTH-ET-REC-L1-BREAK</v>
      </c>
      <c r="B77" s="19" t="str">
        <f aca="false">'Object Crosswalk'!A24</f>
        <v>MTH-ET-REC-L1</v>
      </c>
      <c r="C77" s="19" t="str">
        <f aca="false">'Object Crosswalk'!B24</f>
        <v>Method lineage</v>
      </c>
      <c r="D77" s="19" t="str">
        <f aca="false">'Object Crosswalk'!C24</f>
        <v>Public</v>
      </c>
      <c r="E77" s="19" t="str">
        <f aca="false">'Object Crosswalk'!D24</f>
        <v>MS-ET</v>
      </c>
      <c r="F77" s="19" t="str">
        <f aca="false">'Object Crosswalk'!E24</f>
        <v>ET-A</v>
      </c>
      <c r="G77" s="9" t="s">
        <v>1209</v>
      </c>
      <c r="H77" s="41" t="n">
        <v>0</v>
      </c>
      <c r="I77" s="50" t="n">
        <f aca="false">'Object Crosswalk'!I24</f>
        <v>0.09</v>
      </c>
      <c r="J77" s="50" t="n">
        <f aca="false">H77*I77</f>
        <v>0</v>
      </c>
      <c r="K77" s="32" t="n">
        <f aca="false">0</f>
        <v>0</v>
      </c>
      <c r="L77" s="33" t="n">
        <f aca="false">Controls!B35</f>
        <v>0</v>
      </c>
      <c r="M77" s="33" t="n">
        <f aca="false">Controls!B36</f>
        <v>0</v>
      </c>
      <c r="N77" s="32" t="str">
        <f aca="false">IF(M77&gt;0,"PAID","HELD")</f>
        <v>HELD</v>
      </c>
    </row>
    <row r="78" customFormat="false" ht="15" hidden="false" customHeight="false" outlineLevel="0" collapsed="false">
      <c r="A78" s="19" t="str">
        <f aca="false">"PAY-"&amp;B78&amp;"-TRANSFER"</f>
        <v>PAY-MTH-ET-REC-L1-TRANSFER</v>
      </c>
      <c r="B78" s="19" t="str">
        <f aca="false">'Object Crosswalk'!A24</f>
        <v>MTH-ET-REC-L1</v>
      </c>
      <c r="C78" s="19" t="str">
        <f aca="false">'Object Crosswalk'!B24</f>
        <v>Method lineage</v>
      </c>
      <c r="D78" s="19" t="str">
        <f aca="false">'Object Crosswalk'!C24</f>
        <v>Public</v>
      </c>
      <c r="E78" s="19" t="str">
        <f aca="false">'Object Crosswalk'!D24</f>
        <v>MS-ET</v>
      </c>
      <c r="F78" s="19" t="str">
        <f aca="false">'Object Crosswalk'!E24</f>
        <v>ET-A</v>
      </c>
      <c r="G78" s="9" t="s">
        <v>1210</v>
      </c>
      <c r="H78" s="41" t="n">
        <v>0.25</v>
      </c>
      <c r="I78" s="50" t="n">
        <f aca="false">'Object Crosswalk'!I24</f>
        <v>0.09</v>
      </c>
      <c r="J78" s="50" t="n">
        <f aca="false">H78*I78</f>
        <v>0.0225</v>
      </c>
      <c r="K78" s="32" t="n">
        <f aca="false">0</f>
        <v>0</v>
      </c>
      <c r="L78" s="33" t="n">
        <f aca="false">Controls!B35</f>
        <v>0</v>
      </c>
      <c r="M78" s="33" t="n">
        <f aca="false">Controls!B36</f>
        <v>0</v>
      </c>
      <c r="N78" s="32" t="str">
        <f aca="false">IF(M78&gt;0,"PAID","HELD")</f>
        <v>HELD</v>
      </c>
    </row>
    <row r="79" customFormat="false" ht="15" hidden="false" customHeight="false" outlineLevel="0" collapsed="false">
      <c r="A79" s="19" t="str">
        <f aca="false">"PAY-"&amp;B79&amp;"-FRAME"</f>
        <v>PAY-MTH-ET-REC-L2-FRAME</v>
      </c>
      <c r="B79" s="19" t="str">
        <f aca="false">'Object Crosswalk'!A25</f>
        <v>MTH-ET-REC-L2</v>
      </c>
      <c r="C79" s="19" t="str">
        <f aca="false">'Object Crosswalk'!B25</f>
        <v>Method lineage</v>
      </c>
      <c r="D79" s="19" t="str">
        <f aca="false">'Object Crosswalk'!C25</f>
        <v>Public</v>
      </c>
      <c r="E79" s="19" t="str">
        <f aca="false">'Object Crosswalk'!D25</f>
        <v>MS-ET</v>
      </c>
      <c r="F79" s="19" t="str">
        <f aca="false">'Object Crosswalk'!E25</f>
        <v>ET-A</v>
      </c>
      <c r="G79" s="9" t="s">
        <v>543</v>
      </c>
      <c r="H79" s="41" t="n">
        <v>0.25</v>
      </c>
      <c r="I79" s="50" t="n">
        <f aca="false">'Object Crosswalk'!I25</f>
        <v>0.09</v>
      </c>
      <c r="J79" s="50" t="n">
        <f aca="false">H79*I79</f>
        <v>0.0225</v>
      </c>
      <c r="K79" s="32" t="n">
        <f aca="false">0</f>
        <v>0</v>
      </c>
      <c r="L79" s="33" t="n">
        <f aca="false">Controls!B35</f>
        <v>0</v>
      </c>
      <c r="M79" s="33" t="n">
        <f aca="false">Controls!B36</f>
        <v>0</v>
      </c>
      <c r="N79" s="32" t="str">
        <f aca="false">IF(M79&gt;0,"PAID","HELD")</f>
        <v>HELD</v>
      </c>
    </row>
    <row r="80" customFormat="false" ht="15" hidden="false" customHeight="false" outlineLevel="0" collapsed="false">
      <c r="A80" s="19" t="str">
        <f aca="false">"PAY-"&amp;B80&amp;"-MAKE"</f>
        <v>PAY-MTH-ET-REC-L2-MAKE</v>
      </c>
      <c r="B80" s="19" t="str">
        <f aca="false">'Object Crosswalk'!A25</f>
        <v>MTH-ET-REC-L2</v>
      </c>
      <c r="C80" s="19" t="str">
        <f aca="false">'Object Crosswalk'!B25</f>
        <v>Method lineage</v>
      </c>
      <c r="D80" s="19" t="str">
        <f aca="false">'Object Crosswalk'!C25</f>
        <v>Public</v>
      </c>
      <c r="E80" s="19" t="str">
        <f aca="false">'Object Crosswalk'!D25</f>
        <v>MS-ET</v>
      </c>
      <c r="F80" s="19" t="str">
        <f aca="false">'Object Crosswalk'!E25</f>
        <v>ET-A</v>
      </c>
      <c r="G80" s="9" t="s">
        <v>546</v>
      </c>
      <c r="H80" s="41" t="n">
        <v>0.5</v>
      </c>
      <c r="I80" s="50" t="n">
        <f aca="false">'Object Crosswalk'!I25</f>
        <v>0.09</v>
      </c>
      <c r="J80" s="50" t="n">
        <f aca="false">H80*I80</f>
        <v>0.045</v>
      </c>
      <c r="K80" s="32" t="n">
        <f aca="false">0</f>
        <v>0</v>
      </c>
      <c r="L80" s="33" t="n">
        <f aca="false">Controls!B35</f>
        <v>0</v>
      </c>
      <c r="M80" s="33" t="n">
        <f aca="false">Controls!B36</f>
        <v>0</v>
      </c>
      <c r="N80" s="32" t="str">
        <f aca="false">IF(M80&gt;0,"PAID","HELD")</f>
        <v>HELD</v>
      </c>
    </row>
    <row r="81" customFormat="false" ht="15" hidden="false" customHeight="false" outlineLevel="0" collapsed="false">
      <c r="A81" s="19" t="str">
        <f aca="false">"PAY-"&amp;B81&amp;"-BREAK"</f>
        <v>PAY-MTH-ET-REC-L2-BREAK</v>
      </c>
      <c r="B81" s="19" t="str">
        <f aca="false">'Object Crosswalk'!A25</f>
        <v>MTH-ET-REC-L2</v>
      </c>
      <c r="C81" s="19" t="str">
        <f aca="false">'Object Crosswalk'!B25</f>
        <v>Method lineage</v>
      </c>
      <c r="D81" s="19" t="str">
        <f aca="false">'Object Crosswalk'!C25</f>
        <v>Public</v>
      </c>
      <c r="E81" s="19" t="str">
        <f aca="false">'Object Crosswalk'!D25</f>
        <v>MS-ET</v>
      </c>
      <c r="F81" s="19" t="str">
        <f aca="false">'Object Crosswalk'!E25</f>
        <v>ET-A</v>
      </c>
      <c r="G81" s="9" t="s">
        <v>1209</v>
      </c>
      <c r="H81" s="41" t="n">
        <v>0</v>
      </c>
      <c r="I81" s="50" t="n">
        <f aca="false">'Object Crosswalk'!I25</f>
        <v>0.09</v>
      </c>
      <c r="J81" s="50" t="n">
        <f aca="false">H81*I81</f>
        <v>0</v>
      </c>
      <c r="K81" s="32" t="n">
        <f aca="false">0</f>
        <v>0</v>
      </c>
      <c r="L81" s="33" t="n">
        <f aca="false">Controls!B35</f>
        <v>0</v>
      </c>
      <c r="M81" s="33" t="n">
        <f aca="false">Controls!B36</f>
        <v>0</v>
      </c>
      <c r="N81" s="32" t="str">
        <f aca="false">IF(M81&gt;0,"PAID","HELD")</f>
        <v>HELD</v>
      </c>
    </row>
    <row r="82" customFormat="false" ht="15" hidden="false" customHeight="false" outlineLevel="0" collapsed="false">
      <c r="A82" s="19" t="str">
        <f aca="false">"PAY-"&amp;B82&amp;"-TRANSFER"</f>
        <v>PAY-MTH-ET-REC-L2-TRANSFER</v>
      </c>
      <c r="B82" s="19" t="str">
        <f aca="false">'Object Crosswalk'!A25</f>
        <v>MTH-ET-REC-L2</v>
      </c>
      <c r="C82" s="19" t="str">
        <f aca="false">'Object Crosswalk'!B25</f>
        <v>Method lineage</v>
      </c>
      <c r="D82" s="19" t="str">
        <f aca="false">'Object Crosswalk'!C25</f>
        <v>Public</v>
      </c>
      <c r="E82" s="19" t="str">
        <f aca="false">'Object Crosswalk'!D25</f>
        <v>MS-ET</v>
      </c>
      <c r="F82" s="19" t="str">
        <f aca="false">'Object Crosswalk'!E25</f>
        <v>ET-A</v>
      </c>
      <c r="G82" s="9" t="s">
        <v>1210</v>
      </c>
      <c r="H82" s="41" t="n">
        <v>0.25</v>
      </c>
      <c r="I82" s="50" t="n">
        <f aca="false">'Object Crosswalk'!I25</f>
        <v>0.09</v>
      </c>
      <c r="J82" s="50" t="n">
        <f aca="false">H82*I82</f>
        <v>0.0225</v>
      </c>
      <c r="K82" s="32" t="n">
        <f aca="false">0</f>
        <v>0</v>
      </c>
      <c r="L82" s="33" t="n">
        <f aca="false">Controls!B35</f>
        <v>0</v>
      </c>
      <c r="M82" s="33" t="n">
        <f aca="false">Controls!B36</f>
        <v>0</v>
      </c>
      <c r="N82" s="32" t="str">
        <f aca="false">IF(M82&gt;0,"PAID","HELD")</f>
        <v>HELD</v>
      </c>
    </row>
    <row r="83" customFormat="false" ht="15" hidden="false" customHeight="false" outlineLevel="0" collapsed="false">
      <c r="A83" s="19" t="str">
        <f aca="false">"PAY-"&amp;B83&amp;"-FRAME"</f>
        <v>PAY-REG-ET-REC-FRAME</v>
      </c>
      <c r="B83" s="19" t="str">
        <f aca="false">'Object Crosswalk'!A26</f>
        <v>REG-ET-REC</v>
      </c>
      <c r="C83" s="19" t="str">
        <f aca="false">'Object Crosswalk'!B26</f>
        <v>Regeneration tool</v>
      </c>
      <c r="D83" s="19" t="str">
        <f aca="false">'Object Crosswalk'!C26</f>
        <v>Public</v>
      </c>
      <c r="E83" s="19" t="str">
        <f aca="false">'Object Crosswalk'!D26</f>
        <v>MS-ET</v>
      </c>
      <c r="F83" s="19" t="str">
        <f aca="false">'Object Crosswalk'!E26</f>
        <v>ET-A</v>
      </c>
      <c r="G83" s="9" t="s">
        <v>543</v>
      </c>
      <c r="H83" s="41" t="n">
        <v>0.25</v>
      </c>
      <c r="I83" s="50" t="n">
        <f aca="false">'Object Crosswalk'!I26</f>
        <v>0.0666666666666667</v>
      </c>
      <c r="J83" s="50" t="n">
        <f aca="false">H83*I83</f>
        <v>0.0166666666666667</v>
      </c>
      <c r="K83" s="32" t="n">
        <f aca="false">0</f>
        <v>0</v>
      </c>
      <c r="L83" s="33" t="n">
        <f aca="false">Controls!B35</f>
        <v>0</v>
      </c>
      <c r="M83" s="33" t="n">
        <f aca="false">Controls!B36</f>
        <v>0</v>
      </c>
      <c r="N83" s="32" t="str">
        <f aca="false">IF(M83&gt;0,"PAID","HELD")</f>
        <v>HELD</v>
      </c>
    </row>
    <row r="84" customFormat="false" ht="15" hidden="false" customHeight="false" outlineLevel="0" collapsed="false">
      <c r="A84" s="19" t="str">
        <f aca="false">"PAY-"&amp;B84&amp;"-MAKE"</f>
        <v>PAY-REG-ET-REC-MAKE</v>
      </c>
      <c r="B84" s="19" t="str">
        <f aca="false">'Object Crosswalk'!A26</f>
        <v>REG-ET-REC</v>
      </c>
      <c r="C84" s="19" t="str">
        <f aca="false">'Object Crosswalk'!B26</f>
        <v>Regeneration tool</v>
      </c>
      <c r="D84" s="19" t="str">
        <f aca="false">'Object Crosswalk'!C26</f>
        <v>Public</v>
      </c>
      <c r="E84" s="19" t="str">
        <f aca="false">'Object Crosswalk'!D26</f>
        <v>MS-ET</v>
      </c>
      <c r="F84" s="19" t="str">
        <f aca="false">'Object Crosswalk'!E26</f>
        <v>ET-A</v>
      </c>
      <c r="G84" s="9" t="s">
        <v>546</v>
      </c>
      <c r="H84" s="41" t="n">
        <v>0.5</v>
      </c>
      <c r="I84" s="50" t="n">
        <f aca="false">'Object Crosswalk'!I26</f>
        <v>0.0666666666666667</v>
      </c>
      <c r="J84" s="50" t="n">
        <f aca="false">H84*I84</f>
        <v>0.0333333333333333</v>
      </c>
      <c r="K84" s="32" t="n">
        <f aca="false">0</f>
        <v>0</v>
      </c>
      <c r="L84" s="33" t="n">
        <f aca="false">Controls!B35</f>
        <v>0</v>
      </c>
      <c r="M84" s="33" t="n">
        <f aca="false">Controls!B36</f>
        <v>0</v>
      </c>
      <c r="N84" s="32" t="str">
        <f aca="false">IF(M84&gt;0,"PAID","HELD")</f>
        <v>HELD</v>
      </c>
    </row>
    <row r="85" customFormat="false" ht="15" hidden="false" customHeight="false" outlineLevel="0" collapsed="false">
      <c r="A85" s="19" t="str">
        <f aca="false">"PAY-"&amp;B85&amp;"-BREAK"</f>
        <v>PAY-REG-ET-REC-BREAK</v>
      </c>
      <c r="B85" s="19" t="str">
        <f aca="false">'Object Crosswalk'!A26</f>
        <v>REG-ET-REC</v>
      </c>
      <c r="C85" s="19" t="str">
        <f aca="false">'Object Crosswalk'!B26</f>
        <v>Regeneration tool</v>
      </c>
      <c r="D85" s="19" t="str">
        <f aca="false">'Object Crosswalk'!C26</f>
        <v>Public</v>
      </c>
      <c r="E85" s="19" t="str">
        <f aca="false">'Object Crosswalk'!D26</f>
        <v>MS-ET</v>
      </c>
      <c r="F85" s="19" t="str">
        <f aca="false">'Object Crosswalk'!E26</f>
        <v>ET-A</v>
      </c>
      <c r="G85" s="9" t="s">
        <v>1209</v>
      </c>
      <c r="H85" s="41" t="n">
        <v>0</v>
      </c>
      <c r="I85" s="50" t="n">
        <f aca="false">'Object Crosswalk'!I26</f>
        <v>0.0666666666666667</v>
      </c>
      <c r="J85" s="50" t="n">
        <f aca="false">H85*I85</f>
        <v>0</v>
      </c>
      <c r="K85" s="32" t="n">
        <f aca="false">0</f>
        <v>0</v>
      </c>
      <c r="L85" s="33" t="n">
        <f aca="false">Controls!B35</f>
        <v>0</v>
      </c>
      <c r="M85" s="33" t="n">
        <f aca="false">Controls!B36</f>
        <v>0</v>
      </c>
      <c r="N85" s="32" t="str">
        <f aca="false">IF(M85&gt;0,"PAID","HELD")</f>
        <v>HELD</v>
      </c>
    </row>
    <row r="86" customFormat="false" ht="15" hidden="false" customHeight="false" outlineLevel="0" collapsed="false">
      <c r="A86" s="19" t="str">
        <f aca="false">"PAY-"&amp;B86&amp;"-TRANSFER"</f>
        <v>PAY-REG-ET-REC-TRANSFER</v>
      </c>
      <c r="B86" s="19" t="str">
        <f aca="false">'Object Crosswalk'!A26</f>
        <v>REG-ET-REC</v>
      </c>
      <c r="C86" s="19" t="str">
        <f aca="false">'Object Crosswalk'!B26</f>
        <v>Regeneration tool</v>
      </c>
      <c r="D86" s="19" t="str">
        <f aca="false">'Object Crosswalk'!C26</f>
        <v>Public</v>
      </c>
      <c r="E86" s="19" t="str">
        <f aca="false">'Object Crosswalk'!D26</f>
        <v>MS-ET</v>
      </c>
      <c r="F86" s="19" t="str">
        <f aca="false">'Object Crosswalk'!E26</f>
        <v>ET-A</v>
      </c>
      <c r="G86" s="9" t="s">
        <v>1210</v>
      </c>
      <c r="H86" s="41" t="n">
        <v>0.25</v>
      </c>
      <c r="I86" s="50" t="n">
        <f aca="false">'Object Crosswalk'!I26</f>
        <v>0.0666666666666667</v>
      </c>
      <c r="J86" s="50" t="n">
        <f aca="false">H86*I86</f>
        <v>0.0166666666666667</v>
      </c>
      <c r="K86" s="32" t="n">
        <f aca="false">0</f>
        <v>0</v>
      </c>
      <c r="L86" s="33" t="n">
        <f aca="false">Controls!B35</f>
        <v>0</v>
      </c>
      <c r="M86" s="33" t="n">
        <f aca="false">Controls!B36</f>
        <v>0</v>
      </c>
      <c r="N86" s="32" t="str">
        <f aca="false">IF(M86&gt;0,"PAID","HELD")</f>
        <v>HELD</v>
      </c>
    </row>
    <row r="87" customFormat="false" ht="15" hidden="false" customHeight="false" outlineLevel="0" collapsed="false">
      <c r="A87" s="19" t="str">
        <f aca="false">"PAY-"&amp;B87&amp;"-FRAME"</f>
        <v>PAY-INT-ET-REC-FRAME</v>
      </c>
      <c r="B87" s="19" t="str">
        <f aca="false">'Object Crosswalk'!A27</f>
        <v>INT-ET-REC</v>
      </c>
      <c r="C87" s="19" t="str">
        <f aca="false">'Object Crosswalk'!B27</f>
        <v>Station integration</v>
      </c>
      <c r="D87" s="19" t="str">
        <f aca="false">'Object Crosswalk'!C27</f>
        <v>Public</v>
      </c>
      <c r="E87" s="19" t="str">
        <f aca="false">'Object Crosswalk'!D27</f>
        <v>MS-ET</v>
      </c>
      <c r="F87" s="19" t="str">
        <f aca="false">'Object Crosswalk'!E27</f>
        <v>ET-A</v>
      </c>
      <c r="G87" s="9" t="s">
        <v>543</v>
      </c>
      <c r="H87" s="41" t="n">
        <v>0.25</v>
      </c>
      <c r="I87" s="50" t="n">
        <f aca="false">'Object Crosswalk'!I27</f>
        <v>0.0633333333333333</v>
      </c>
      <c r="J87" s="50" t="n">
        <f aca="false">H87*I87</f>
        <v>0.0158333333333333</v>
      </c>
      <c r="K87" s="32" t="n">
        <f aca="false">0</f>
        <v>0</v>
      </c>
      <c r="L87" s="33" t="n">
        <f aca="false">Controls!B35</f>
        <v>0</v>
      </c>
      <c r="M87" s="33" t="n">
        <f aca="false">Controls!B36</f>
        <v>0</v>
      </c>
      <c r="N87" s="32" t="str">
        <f aca="false">IF(M87&gt;0,"PAID","HELD")</f>
        <v>HELD</v>
      </c>
    </row>
    <row r="88" customFormat="false" ht="15" hidden="false" customHeight="false" outlineLevel="0" collapsed="false">
      <c r="A88" s="19" t="str">
        <f aca="false">"PAY-"&amp;B88&amp;"-MAKE"</f>
        <v>PAY-INT-ET-REC-MAKE</v>
      </c>
      <c r="B88" s="19" t="str">
        <f aca="false">'Object Crosswalk'!A27</f>
        <v>INT-ET-REC</v>
      </c>
      <c r="C88" s="19" t="str">
        <f aca="false">'Object Crosswalk'!B27</f>
        <v>Station integration</v>
      </c>
      <c r="D88" s="19" t="str">
        <f aca="false">'Object Crosswalk'!C27</f>
        <v>Public</v>
      </c>
      <c r="E88" s="19" t="str">
        <f aca="false">'Object Crosswalk'!D27</f>
        <v>MS-ET</v>
      </c>
      <c r="F88" s="19" t="str">
        <f aca="false">'Object Crosswalk'!E27</f>
        <v>ET-A</v>
      </c>
      <c r="G88" s="9" t="s">
        <v>546</v>
      </c>
      <c r="H88" s="41" t="n">
        <v>0.5</v>
      </c>
      <c r="I88" s="50" t="n">
        <f aca="false">'Object Crosswalk'!I27</f>
        <v>0.0633333333333333</v>
      </c>
      <c r="J88" s="50" t="n">
        <f aca="false">H88*I88</f>
        <v>0.0316666666666667</v>
      </c>
      <c r="K88" s="32" t="n">
        <f aca="false">0</f>
        <v>0</v>
      </c>
      <c r="L88" s="33" t="n">
        <f aca="false">Controls!B35</f>
        <v>0</v>
      </c>
      <c r="M88" s="33" t="n">
        <f aca="false">Controls!B36</f>
        <v>0</v>
      </c>
      <c r="N88" s="32" t="str">
        <f aca="false">IF(M88&gt;0,"PAID","HELD")</f>
        <v>HELD</v>
      </c>
    </row>
    <row r="89" customFormat="false" ht="15" hidden="false" customHeight="false" outlineLevel="0" collapsed="false">
      <c r="A89" s="19" t="str">
        <f aca="false">"PAY-"&amp;B89&amp;"-BREAK"</f>
        <v>PAY-INT-ET-REC-BREAK</v>
      </c>
      <c r="B89" s="19" t="str">
        <f aca="false">'Object Crosswalk'!A27</f>
        <v>INT-ET-REC</v>
      </c>
      <c r="C89" s="19" t="str">
        <f aca="false">'Object Crosswalk'!B27</f>
        <v>Station integration</v>
      </c>
      <c r="D89" s="19" t="str">
        <f aca="false">'Object Crosswalk'!C27</f>
        <v>Public</v>
      </c>
      <c r="E89" s="19" t="str">
        <f aca="false">'Object Crosswalk'!D27</f>
        <v>MS-ET</v>
      </c>
      <c r="F89" s="19" t="str">
        <f aca="false">'Object Crosswalk'!E27</f>
        <v>ET-A</v>
      </c>
      <c r="G89" s="9" t="s">
        <v>1209</v>
      </c>
      <c r="H89" s="41" t="n">
        <v>0</v>
      </c>
      <c r="I89" s="50" t="n">
        <f aca="false">'Object Crosswalk'!I27</f>
        <v>0.0633333333333333</v>
      </c>
      <c r="J89" s="50" t="n">
        <f aca="false">H89*I89</f>
        <v>0</v>
      </c>
      <c r="K89" s="32" t="n">
        <f aca="false">0</f>
        <v>0</v>
      </c>
      <c r="L89" s="33" t="n">
        <f aca="false">Controls!B35</f>
        <v>0</v>
      </c>
      <c r="M89" s="33" t="n">
        <f aca="false">Controls!B36</f>
        <v>0</v>
      </c>
      <c r="N89" s="32" t="str">
        <f aca="false">IF(M89&gt;0,"PAID","HELD")</f>
        <v>HELD</v>
      </c>
    </row>
    <row r="90" customFormat="false" ht="15" hidden="false" customHeight="false" outlineLevel="0" collapsed="false">
      <c r="A90" s="19" t="str">
        <f aca="false">"PAY-"&amp;B90&amp;"-TRANSFER"</f>
        <v>PAY-INT-ET-REC-TRANSFER</v>
      </c>
      <c r="B90" s="19" t="str">
        <f aca="false">'Object Crosswalk'!A27</f>
        <v>INT-ET-REC</v>
      </c>
      <c r="C90" s="19" t="str">
        <f aca="false">'Object Crosswalk'!B27</f>
        <v>Station integration</v>
      </c>
      <c r="D90" s="19" t="str">
        <f aca="false">'Object Crosswalk'!C27</f>
        <v>Public</v>
      </c>
      <c r="E90" s="19" t="str">
        <f aca="false">'Object Crosswalk'!D27</f>
        <v>MS-ET</v>
      </c>
      <c r="F90" s="19" t="str">
        <f aca="false">'Object Crosswalk'!E27</f>
        <v>ET-A</v>
      </c>
      <c r="G90" s="9" t="s">
        <v>1210</v>
      </c>
      <c r="H90" s="41" t="n">
        <v>0.25</v>
      </c>
      <c r="I90" s="50" t="n">
        <f aca="false">'Object Crosswalk'!I27</f>
        <v>0.0633333333333333</v>
      </c>
      <c r="J90" s="50" t="n">
        <f aca="false">H90*I90</f>
        <v>0.0158333333333333</v>
      </c>
      <c r="K90" s="32" t="n">
        <f aca="false">0</f>
        <v>0</v>
      </c>
      <c r="L90" s="33" t="n">
        <f aca="false">Controls!B35</f>
        <v>0</v>
      </c>
      <c r="M90" s="33" t="n">
        <f aca="false">Controls!B36</f>
        <v>0</v>
      </c>
      <c r="N90" s="32" t="str">
        <f aca="false">IF(M90&gt;0,"PAID","HELD")</f>
        <v>HELD</v>
      </c>
    </row>
    <row r="91" customFormat="false" ht="15" hidden="false" customHeight="false" outlineLevel="0" collapsed="false">
      <c r="A91" s="19" t="str">
        <f aca="false">"PAY-"&amp;B91&amp;"-FRAME"</f>
        <v>PAY-RIG-CT-CHA-FRAME</v>
      </c>
      <c r="B91" s="19" t="str">
        <f aca="false">'Object Crosswalk'!A28</f>
        <v>RIG-CT-CHA</v>
      </c>
      <c r="C91" s="19" t="str">
        <f aca="false">'Object Crosswalk'!B28</f>
        <v>Root-native rig</v>
      </c>
      <c r="D91" s="19" t="str">
        <f aca="false">'Object Crosswalk'!C28</f>
        <v>Public</v>
      </c>
      <c r="E91" s="19" t="str">
        <f aca="false">'Object Crosswalk'!D28</f>
        <v>MS-CT</v>
      </c>
      <c r="F91" s="19" t="str">
        <f aca="false">'Object Crosswalk'!E28</f>
        <v>CT-C</v>
      </c>
      <c r="G91" s="9" t="s">
        <v>543</v>
      </c>
      <c r="H91" s="41" t="n">
        <v>0.25</v>
      </c>
      <c r="I91" s="50" t="n">
        <f aca="false">'Object Crosswalk'!I28</f>
        <v>0.316666666666667</v>
      </c>
      <c r="J91" s="50" t="n">
        <f aca="false">H91*I91</f>
        <v>0.0791666666666667</v>
      </c>
      <c r="K91" s="32" t="n">
        <f aca="false">0</f>
        <v>0</v>
      </c>
      <c r="L91" s="33" t="n">
        <f aca="false">Controls!B35</f>
        <v>0</v>
      </c>
      <c r="M91" s="33" t="n">
        <f aca="false">Controls!B36</f>
        <v>0</v>
      </c>
      <c r="N91" s="32" t="str">
        <f aca="false">IF(M91&gt;0,"PAID","HELD")</f>
        <v>HELD</v>
      </c>
    </row>
    <row r="92" customFormat="false" ht="15" hidden="false" customHeight="false" outlineLevel="0" collapsed="false">
      <c r="A92" s="19" t="str">
        <f aca="false">"PAY-"&amp;B92&amp;"-MAKE"</f>
        <v>PAY-RIG-CT-CHA-MAKE</v>
      </c>
      <c r="B92" s="19" t="str">
        <f aca="false">'Object Crosswalk'!A28</f>
        <v>RIG-CT-CHA</v>
      </c>
      <c r="C92" s="19" t="str">
        <f aca="false">'Object Crosswalk'!B28</f>
        <v>Root-native rig</v>
      </c>
      <c r="D92" s="19" t="str">
        <f aca="false">'Object Crosswalk'!C28</f>
        <v>Public</v>
      </c>
      <c r="E92" s="19" t="str">
        <f aca="false">'Object Crosswalk'!D28</f>
        <v>MS-CT</v>
      </c>
      <c r="F92" s="19" t="str">
        <f aca="false">'Object Crosswalk'!E28</f>
        <v>CT-C</v>
      </c>
      <c r="G92" s="9" t="s">
        <v>546</v>
      </c>
      <c r="H92" s="41" t="n">
        <v>0.5</v>
      </c>
      <c r="I92" s="50" t="n">
        <f aca="false">'Object Crosswalk'!I28</f>
        <v>0.316666666666667</v>
      </c>
      <c r="J92" s="50" t="n">
        <f aca="false">H92*I92</f>
        <v>0.158333333333333</v>
      </c>
      <c r="K92" s="32" t="n">
        <f aca="false">0</f>
        <v>0</v>
      </c>
      <c r="L92" s="33" t="n">
        <f aca="false">Controls!B35</f>
        <v>0</v>
      </c>
      <c r="M92" s="33" t="n">
        <f aca="false">Controls!B36</f>
        <v>0</v>
      </c>
      <c r="N92" s="32" t="str">
        <f aca="false">IF(M92&gt;0,"PAID","HELD")</f>
        <v>HELD</v>
      </c>
    </row>
    <row r="93" customFormat="false" ht="15" hidden="false" customHeight="false" outlineLevel="0" collapsed="false">
      <c r="A93" s="19" t="str">
        <f aca="false">"PAY-"&amp;B93&amp;"-BREAK"</f>
        <v>PAY-RIG-CT-CHA-BREAK</v>
      </c>
      <c r="B93" s="19" t="str">
        <f aca="false">'Object Crosswalk'!A28</f>
        <v>RIG-CT-CHA</v>
      </c>
      <c r="C93" s="19" t="str">
        <f aca="false">'Object Crosswalk'!B28</f>
        <v>Root-native rig</v>
      </c>
      <c r="D93" s="19" t="str">
        <f aca="false">'Object Crosswalk'!C28</f>
        <v>Public</v>
      </c>
      <c r="E93" s="19" t="str">
        <f aca="false">'Object Crosswalk'!D28</f>
        <v>MS-CT</v>
      </c>
      <c r="F93" s="19" t="str">
        <f aca="false">'Object Crosswalk'!E28</f>
        <v>CT-C</v>
      </c>
      <c r="G93" s="9" t="s">
        <v>1209</v>
      </c>
      <c r="H93" s="41" t="n">
        <v>0</v>
      </c>
      <c r="I93" s="50" t="n">
        <f aca="false">'Object Crosswalk'!I28</f>
        <v>0.316666666666667</v>
      </c>
      <c r="J93" s="50" t="n">
        <f aca="false">H93*I93</f>
        <v>0</v>
      </c>
      <c r="K93" s="32" t="n">
        <f aca="false">0</f>
        <v>0</v>
      </c>
      <c r="L93" s="33" t="n">
        <f aca="false">Controls!B35</f>
        <v>0</v>
      </c>
      <c r="M93" s="33" t="n">
        <f aca="false">Controls!B36</f>
        <v>0</v>
      </c>
      <c r="N93" s="32" t="str">
        <f aca="false">IF(M93&gt;0,"PAID","HELD")</f>
        <v>HELD</v>
      </c>
    </row>
    <row r="94" customFormat="false" ht="15" hidden="false" customHeight="false" outlineLevel="0" collapsed="false">
      <c r="A94" s="19" t="str">
        <f aca="false">"PAY-"&amp;B94&amp;"-TRANSFER"</f>
        <v>PAY-RIG-CT-CHA-TRANSFER</v>
      </c>
      <c r="B94" s="19" t="str">
        <f aca="false">'Object Crosswalk'!A28</f>
        <v>RIG-CT-CHA</v>
      </c>
      <c r="C94" s="19" t="str">
        <f aca="false">'Object Crosswalk'!B28</f>
        <v>Root-native rig</v>
      </c>
      <c r="D94" s="19" t="str">
        <f aca="false">'Object Crosswalk'!C28</f>
        <v>Public</v>
      </c>
      <c r="E94" s="19" t="str">
        <f aca="false">'Object Crosswalk'!D28</f>
        <v>MS-CT</v>
      </c>
      <c r="F94" s="19" t="str">
        <f aca="false">'Object Crosswalk'!E28</f>
        <v>CT-C</v>
      </c>
      <c r="G94" s="9" t="s">
        <v>1210</v>
      </c>
      <c r="H94" s="41" t="n">
        <v>0.25</v>
      </c>
      <c r="I94" s="50" t="n">
        <f aca="false">'Object Crosswalk'!I28</f>
        <v>0.316666666666667</v>
      </c>
      <c r="J94" s="50" t="n">
        <f aca="false">H94*I94</f>
        <v>0.0791666666666667</v>
      </c>
      <c r="K94" s="32" t="n">
        <f aca="false">0</f>
        <v>0</v>
      </c>
      <c r="L94" s="33" t="n">
        <f aca="false">Controls!B35</f>
        <v>0</v>
      </c>
      <c r="M94" s="33" t="n">
        <f aca="false">Controls!B36</f>
        <v>0</v>
      </c>
      <c r="N94" s="32" t="str">
        <f aca="false">IF(M94&gt;0,"PAID","HELD")</f>
        <v>HELD</v>
      </c>
    </row>
    <row r="95" customFormat="false" ht="15" hidden="false" customHeight="false" outlineLevel="0" collapsed="false">
      <c r="A95" s="19" t="str">
        <f aca="false">"PAY-"&amp;B95&amp;"-FRAME"</f>
        <v>PAY-MTH-CT-CHA-L1-FRAME</v>
      </c>
      <c r="B95" s="19" t="str">
        <f aca="false">'Object Crosswalk'!A29</f>
        <v>MTH-CT-CHA-L1</v>
      </c>
      <c r="C95" s="19" t="str">
        <f aca="false">'Object Crosswalk'!B29</f>
        <v>Method lineage</v>
      </c>
      <c r="D95" s="19" t="str">
        <f aca="false">'Object Crosswalk'!C29</f>
        <v>Public</v>
      </c>
      <c r="E95" s="19" t="str">
        <f aca="false">'Object Crosswalk'!D29</f>
        <v>MS-CT</v>
      </c>
      <c r="F95" s="19" t="str">
        <f aca="false">'Object Crosswalk'!E29</f>
        <v>CT-C</v>
      </c>
      <c r="G95" s="9" t="s">
        <v>543</v>
      </c>
      <c r="H95" s="41" t="n">
        <v>0.25</v>
      </c>
      <c r="I95" s="50" t="n">
        <f aca="false">'Object Crosswalk'!I29</f>
        <v>0.09</v>
      </c>
      <c r="J95" s="50" t="n">
        <f aca="false">H95*I95</f>
        <v>0.0225</v>
      </c>
      <c r="K95" s="32" t="n">
        <f aca="false">0</f>
        <v>0</v>
      </c>
      <c r="L95" s="33" t="n">
        <f aca="false">Controls!B35</f>
        <v>0</v>
      </c>
      <c r="M95" s="33" t="n">
        <f aca="false">Controls!B36</f>
        <v>0</v>
      </c>
      <c r="N95" s="32" t="str">
        <f aca="false">IF(M95&gt;0,"PAID","HELD")</f>
        <v>HELD</v>
      </c>
    </row>
    <row r="96" customFormat="false" ht="15" hidden="false" customHeight="false" outlineLevel="0" collapsed="false">
      <c r="A96" s="19" t="str">
        <f aca="false">"PAY-"&amp;B96&amp;"-MAKE"</f>
        <v>PAY-MTH-CT-CHA-L1-MAKE</v>
      </c>
      <c r="B96" s="19" t="str">
        <f aca="false">'Object Crosswalk'!A29</f>
        <v>MTH-CT-CHA-L1</v>
      </c>
      <c r="C96" s="19" t="str">
        <f aca="false">'Object Crosswalk'!B29</f>
        <v>Method lineage</v>
      </c>
      <c r="D96" s="19" t="str">
        <f aca="false">'Object Crosswalk'!C29</f>
        <v>Public</v>
      </c>
      <c r="E96" s="19" t="str">
        <f aca="false">'Object Crosswalk'!D29</f>
        <v>MS-CT</v>
      </c>
      <c r="F96" s="19" t="str">
        <f aca="false">'Object Crosswalk'!E29</f>
        <v>CT-C</v>
      </c>
      <c r="G96" s="9" t="s">
        <v>546</v>
      </c>
      <c r="H96" s="41" t="n">
        <v>0.5</v>
      </c>
      <c r="I96" s="50" t="n">
        <f aca="false">'Object Crosswalk'!I29</f>
        <v>0.09</v>
      </c>
      <c r="J96" s="50" t="n">
        <f aca="false">H96*I96</f>
        <v>0.045</v>
      </c>
      <c r="K96" s="32" t="n">
        <f aca="false">0</f>
        <v>0</v>
      </c>
      <c r="L96" s="33" t="n">
        <f aca="false">Controls!B35</f>
        <v>0</v>
      </c>
      <c r="M96" s="33" t="n">
        <f aca="false">Controls!B36</f>
        <v>0</v>
      </c>
      <c r="N96" s="32" t="str">
        <f aca="false">IF(M96&gt;0,"PAID","HELD")</f>
        <v>HELD</v>
      </c>
    </row>
    <row r="97" customFormat="false" ht="15" hidden="false" customHeight="false" outlineLevel="0" collapsed="false">
      <c r="A97" s="19" t="str">
        <f aca="false">"PAY-"&amp;B97&amp;"-BREAK"</f>
        <v>PAY-MTH-CT-CHA-L1-BREAK</v>
      </c>
      <c r="B97" s="19" t="str">
        <f aca="false">'Object Crosswalk'!A29</f>
        <v>MTH-CT-CHA-L1</v>
      </c>
      <c r="C97" s="19" t="str">
        <f aca="false">'Object Crosswalk'!B29</f>
        <v>Method lineage</v>
      </c>
      <c r="D97" s="19" t="str">
        <f aca="false">'Object Crosswalk'!C29</f>
        <v>Public</v>
      </c>
      <c r="E97" s="19" t="str">
        <f aca="false">'Object Crosswalk'!D29</f>
        <v>MS-CT</v>
      </c>
      <c r="F97" s="19" t="str">
        <f aca="false">'Object Crosswalk'!E29</f>
        <v>CT-C</v>
      </c>
      <c r="G97" s="9" t="s">
        <v>1209</v>
      </c>
      <c r="H97" s="41" t="n">
        <v>0</v>
      </c>
      <c r="I97" s="50" t="n">
        <f aca="false">'Object Crosswalk'!I29</f>
        <v>0.09</v>
      </c>
      <c r="J97" s="50" t="n">
        <f aca="false">H97*I97</f>
        <v>0</v>
      </c>
      <c r="K97" s="32" t="n">
        <f aca="false">0</f>
        <v>0</v>
      </c>
      <c r="L97" s="33" t="n">
        <f aca="false">Controls!B35</f>
        <v>0</v>
      </c>
      <c r="M97" s="33" t="n">
        <f aca="false">Controls!B36</f>
        <v>0</v>
      </c>
      <c r="N97" s="32" t="str">
        <f aca="false">IF(M97&gt;0,"PAID","HELD")</f>
        <v>HELD</v>
      </c>
    </row>
    <row r="98" customFormat="false" ht="15" hidden="false" customHeight="false" outlineLevel="0" collapsed="false">
      <c r="A98" s="19" t="str">
        <f aca="false">"PAY-"&amp;B98&amp;"-TRANSFER"</f>
        <v>PAY-MTH-CT-CHA-L1-TRANSFER</v>
      </c>
      <c r="B98" s="19" t="str">
        <f aca="false">'Object Crosswalk'!A29</f>
        <v>MTH-CT-CHA-L1</v>
      </c>
      <c r="C98" s="19" t="str">
        <f aca="false">'Object Crosswalk'!B29</f>
        <v>Method lineage</v>
      </c>
      <c r="D98" s="19" t="str">
        <f aca="false">'Object Crosswalk'!C29</f>
        <v>Public</v>
      </c>
      <c r="E98" s="19" t="str">
        <f aca="false">'Object Crosswalk'!D29</f>
        <v>MS-CT</v>
      </c>
      <c r="F98" s="19" t="str">
        <f aca="false">'Object Crosswalk'!E29</f>
        <v>CT-C</v>
      </c>
      <c r="G98" s="9" t="s">
        <v>1210</v>
      </c>
      <c r="H98" s="41" t="n">
        <v>0.25</v>
      </c>
      <c r="I98" s="50" t="n">
        <f aca="false">'Object Crosswalk'!I29</f>
        <v>0.09</v>
      </c>
      <c r="J98" s="50" t="n">
        <f aca="false">H98*I98</f>
        <v>0.0225</v>
      </c>
      <c r="K98" s="32" t="n">
        <f aca="false">0</f>
        <v>0</v>
      </c>
      <c r="L98" s="33" t="n">
        <f aca="false">Controls!B35</f>
        <v>0</v>
      </c>
      <c r="M98" s="33" t="n">
        <f aca="false">Controls!B36</f>
        <v>0</v>
      </c>
      <c r="N98" s="32" t="str">
        <f aca="false">IF(M98&gt;0,"PAID","HELD")</f>
        <v>HELD</v>
      </c>
    </row>
    <row r="99" customFormat="false" ht="15" hidden="false" customHeight="false" outlineLevel="0" collapsed="false">
      <c r="A99" s="19" t="str">
        <f aca="false">"PAY-"&amp;B99&amp;"-FRAME"</f>
        <v>PAY-MTH-CT-CHA-L2-FRAME</v>
      </c>
      <c r="B99" s="19" t="str">
        <f aca="false">'Object Crosswalk'!A30</f>
        <v>MTH-CT-CHA-L2</v>
      </c>
      <c r="C99" s="19" t="str">
        <f aca="false">'Object Crosswalk'!B30</f>
        <v>Method lineage</v>
      </c>
      <c r="D99" s="19" t="str">
        <f aca="false">'Object Crosswalk'!C30</f>
        <v>Public</v>
      </c>
      <c r="E99" s="19" t="str">
        <f aca="false">'Object Crosswalk'!D30</f>
        <v>MS-CT</v>
      </c>
      <c r="F99" s="19" t="str">
        <f aca="false">'Object Crosswalk'!E30</f>
        <v>CT-C</v>
      </c>
      <c r="G99" s="9" t="s">
        <v>543</v>
      </c>
      <c r="H99" s="41" t="n">
        <v>0.25</v>
      </c>
      <c r="I99" s="50" t="n">
        <f aca="false">'Object Crosswalk'!I30</f>
        <v>0.09</v>
      </c>
      <c r="J99" s="50" t="n">
        <f aca="false">H99*I99</f>
        <v>0.0225</v>
      </c>
      <c r="K99" s="32" t="n">
        <f aca="false">0</f>
        <v>0</v>
      </c>
      <c r="L99" s="33" t="n">
        <f aca="false">Controls!B35</f>
        <v>0</v>
      </c>
      <c r="M99" s="33" t="n">
        <f aca="false">Controls!B36</f>
        <v>0</v>
      </c>
      <c r="N99" s="32" t="str">
        <f aca="false">IF(M99&gt;0,"PAID","HELD")</f>
        <v>HELD</v>
      </c>
    </row>
    <row r="100" customFormat="false" ht="15" hidden="false" customHeight="false" outlineLevel="0" collapsed="false">
      <c r="A100" s="19" t="str">
        <f aca="false">"PAY-"&amp;B100&amp;"-MAKE"</f>
        <v>PAY-MTH-CT-CHA-L2-MAKE</v>
      </c>
      <c r="B100" s="19" t="str">
        <f aca="false">'Object Crosswalk'!A30</f>
        <v>MTH-CT-CHA-L2</v>
      </c>
      <c r="C100" s="19" t="str">
        <f aca="false">'Object Crosswalk'!B30</f>
        <v>Method lineage</v>
      </c>
      <c r="D100" s="19" t="str">
        <f aca="false">'Object Crosswalk'!C30</f>
        <v>Public</v>
      </c>
      <c r="E100" s="19" t="str">
        <f aca="false">'Object Crosswalk'!D30</f>
        <v>MS-CT</v>
      </c>
      <c r="F100" s="19" t="str">
        <f aca="false">'Object Crosswalk'!E30</f>
        <v>CT-C</v>
      </c>
      <c r="G100" s="9" t="s">
        <v>546</v>
      </c>
      <c r="H100" s="41" t="n">
        <v>0.5</v>
      </c>
      <c r="I100" s="50" t="n">
        <f aca="false">'Object Crosswalk'!I30</f>
        <v>0.09</v>
      </c>
      <c r="J100" s="50" t="n">
        <f aca="false">H100*I100</f>
        <v>0.045</v>
      </c>
      <c r="K100" s="32" t="n">
        <f aca="false">0</f>
        <v>0</v>
      </c>
      <c r="L100" s="33" t="n">
        <f aca="false">Controls!B35</f>
        <v>0</v>
      </c>
      <c r="M100" s="33" t="n">
        <f aca="false">Controls!B36</f>
        <v>0</v>
      </c>
      <c r="N100" s="32" t="str">
        <f aca="false">IF(M100&gt;0,"PAID","HELD")</f>
        <v>HELD</v>
      </c>
    </row>
    <row r="101" customFormat="false" ht="15" hidden="false" customHeight="false" outlineLevel="0" collapsed="false">
      <c r="A101" s="19" t="str">
        <f aca="false">"PAY-"&amp;B101&amp;"-BREAK"</f>
        <v>PAY-MTH-CT-CHA-L2-BREAK</v>
      </c>
      <c r="B101" s="19" t="str">
        <f aca="false">'Object Crosswalk'!A30</f>
        <v>MTH-CT-CHA-L2</v>
      </c>
      <c r="C101" s="19" t="str">
        <f aca="false">'Object Crosswalk'!B30</f>
        <v>Method lineage</v>
      </c>
      <c r="D101" s="19" t="str">
        <f aca="false">'Object Crosswalk'!C30</f>
        <v>Public</v>
      </c>
      <c r="E101" s="19" t="str">
        <f aca="false">'Object Crosswalk'!D30</f>
        <v>MS-CT</v>
      </c>
      <c r="F101" s="19" t="str">
        <f aca="false">'Object Crosswalk'!E30</f>
        <v>CT-C</v>
      </c>
      <c r="G101" s="9" t="s">
        <v>1209</v>
      </c>
      <c r="H101" s="41" t="n">
        <v>0</v>
      </c>
      <c r="I101" s="50" t="n">
        <f aca="false">'Object Crosswalk'!I30</f>
        <v>0.09</v>
      </c>
      <c r="J101" s="50" t="n">
        <f aca="false">H101*I101</f>
        <v>0</v>
      </c>
      <c r="K101" s="32" t="n">
        <f aca="false">0</f>
        <v>0</v>
      </c>
      <c r="L101" s="33" t="n">
        <f aca="false">Controls!B35</f>
        <v>0</v>
      </c>
      <c r="M101" s="33" t="n">
        <f aca="false">Controls!B36</f>
        <v>0</v>
      </c>
      <c r="N101" s="32" t="str">
        <f aca="false">IF(M101&gt;0,"PAID","HELD")</f>
        <v>HELD</v>
      </c>
    </row>
    <row r="102" customFormat="false" ht="15" hidden="false" customHeight="false" outlineLevel="0" collapsed="false">
      <c r="A102" s="19" t="str">
        <f aca="false">"PAY-"&amp;B102&amp;"-TRANSFER"</f>
        <v>PAY-MTH-CT-CHA-L2-TRANSFER</v>
      </c>
      <c r="B102" s="19" t="str">
        <f aca="false">'Object Crosswalk'!A30</f>
        <v>MTH-CT-CHA-L2</v>
      </c>
      <c r="C102" s="19" t="str">
        <f aca="false">'Object Crosswalk'!B30</f>
        <v>Method lineage</v>
      </c>
      <c r="D102" s="19" t="str">
        <f aca="false">'Object Crosswalk'!C30</f>
        <v>Public</v>
      </c>
      <c r="E102" s="19" t="str">
        <f aca="false">'Object Crosswalk'!D30</f>
        <v>MS-CT</v>
      </c>
      <c r="F102" s="19" t="str">
        <f aca="false">'Object Crosswalk'!E30</f>
        <v>CT-C</v>
      </c>
      <c r="G102" s="9" t="s">
        <v>1210</v>
      </c>
      <c r="H102" s="41" t="n">
        <v>0.25</v>
      </c>
      <c r="I102" s="50" t="n">
        <f aca="false">'Object Crosswalk'!I30</f>
        <v>0.09</v>
      </c>
      <c r="J102" s="50" t="n">
        <f aca="false">H102*I102</f>
        <v>0.0225</v>
      </c>
      <c r="K102" s="32" t="n">
        <f aca="false">0</f>
        <v>0</v>
      </c>
      <c r="L102" s="33" t="n">
        <f aca="false">Controls!B35</f>
        <v>0</v>
      </c>
      <c r="M102" s="33" t="n">
        <f aca="false">Controls!B36</f>
        <v>0</v>
      </c>
      <c r="N102" s="32" t="str">
        <f aca="false">IF(M102&gt;0,"PAID","HELD")</f>
        <v>HELD</v>
      </c>
    </row>
    <row r="103" customFormat="false" ht="15" hidden="false" customHeight="false" outlineLevel="0" collapsed="false">
      <c r="A103" s="19" t="str">
        <f aca="false">"PAY-"&amp;B103&amp;"-FRAME"</f>
        <v>PAY-REG-CT-CHA-FRAME</v>
      </c>
      <c r="B103" s="19" t="str">
        <f aca="false">'Object Crosswalk'!A31</f>
        <v>REG-CT-CHA</v>
      </c>
      <c r="C103" s="19" t="str">
        <f aca="false">'Object Crosswalk'!B31</f>
        <v>Regeneration tool</v>
      </c>
      <c r="D103" s="19" t="str">
        <f aca="false">'Object Crosswalk'!C31</f>
        <v>Public</v>
      </c>
      <c r="E103" s="19" t="str">
        <f aca="false">'Object Crosswalk'!D31</f>
        <v>MS-CT</v>
      </c>
      <c r="F103" s="19" t="str">
        <f aca="false">'Object Crosswalk'!E31</f>
        <v>CT-C</v>
      </c>
      <c r="G103" s="9" t="s">
        <v>543</v>
      </c>
      <c r="H103" s="41" t="n">
        <v>0.25</v>
      </c>
      <c r="I103" s="50" t="n">
        <f aca="false">'Object Crosswalk'!I31</f>
        <v>0.0666666666666667</v>
      </c>
      <c r="J103" s="50" t="n">
        <f aca="false">H103*I103</f>
        <v>0.0166666666666667</v>
      </c>
      <c r="K103" s="32" t="n">
        <f aca="false">0</f>
        <v>0</v>
      </c>
      <c r="L103" s="33" t="n">
        <f aca="false">Controls!B35</f>
        <v>0</v>
      </c>
      <c r="M103" s="33" t="n">
        <f aca="false">Controls!B36</f>
        <v>0</v>
      </c>
      <c r="N103" s="32" t="str">
        <f aca="false">IF(M103&gt;0,"PAID","HELD")</f>
        <v>HELD</v>
      </c>
    </row>
    <row r="104" customFormat="false" ht="15" hidden="false" customHeight="false" outlineLevel="0" collapsed="false">
      <c r="A104" s="19" t="str">
        <f aca="false">"PAY-"&amp;B104&amp;"-MAKE"</f>
        <v>PAY-REG-CT-CHA-MAKE</v>
      </c>
      <c r="B104" s="19" t="str">
        <f aca="false">'Object Crosswalk'!A31</f>
        <v>REG-CT-CHA</v>
      </c>
      <c r="C104" s="19" t="str">
        <f aca="false">'Object Crosswalk'!B31</f>
        <v>Regeneration tool</v>
      </c>
      <c r="D104" s="19" t="str">
        <f aca="false">'Object Crosswalk'!C31</f>
        <v>Public</v>
      </c>
      <c r="E104" s="19" t="str">
        <f aca="false">'Object Crosswalk'!D31</f>
        <v>MS-CT</v>
      </c>
      <c r="F104" s="19" t="str">
        <f aca="false">'Object Crosswalk'!E31</f>
        <v>CT-C</v>
      </c>
      <c r="G104" s="9" t="s">
        <v>546</v>
      </c>
      <c r="H104" s="41" t="n">
        <v>0.5</v>
      </c>
      <c r="I104" s="50" t="n">
        <f aca="false">'Object Crosswalk'!I31</f>
        <v>0.0666666666666667</v>
      </c>
      <c r="J104" s="50" t="n">
        <f aca="false">H104*I104</f>
        <v>0.0333333333333333</v>
      </c>
      <c r="K104" s="32" t="n">
        <f aca="false">0</f>
        <v>0</v>
      </c>
      <c r="L104" s="33" t="n">
        <f aca="false">Controls!B35</f>
        <v>0</v>
      </c>
      <c r="M104" s="33" t="n">
        <f aca="false">Controls!B36</f>
        <v>0</v>
      </c>
      <c r="N104" s="32" t="str">
        <f aca="false">IF(M104&gt;0,"PAID","HELD")</f>
        <v>HELD</v>
      </c>
    </row>
    <row r="105" customFormat="false" ht="15" hidden="false" customHeight="false" outlineLevel="0" collapsed="false">
      <c r="A105" s="19" t="str">
        <f aca="false">"PAY-"&amp;B105&amp;"-BREAK"</f>
        <v>PAY-REG-CT-CHA-BREAK</v>
      </c>
      <c r="B105" s="19" t="str">
        <f aca="false">'Object Crosswalk'!A31</f>
        <v>REG-CT-CHA</v>
      </c>
      <c r="C105" s="19" t="str">
        <f aca="false">'Object Crosswalk'!B31</f>
        <v>Regeneration tool</v>
      </c>
      <c r="D105" s="19" t="str">
        <f aca="false">'Object Crosswalk'!C31</f>
        <v>Public</v>
      </c>
      <c r="E105" s="19" t="str">
        <f aca="false">'Object Crosswalk'!D31</f>
        <v>MS-CT</v>
      </c>
      <c r="F105" s="19" t="str">
        <f aca="false">'Object Crosswalk'!E31</f>
        <v>CT-C</v>
      </c>
      <c r="G105" s="9" t="s">
        <v>1209</v>
      </c>
      <c r="H105" s="41" t="n">
        <v>0</v>
      </c>
      <c r="I105" s="50" t="n">
        <f aca="false">'Object Crosswalk'!I31</f>
        <v>0.0666666666666667</v>
      </c>
      <c r="J105" s="50" t="n">
        <f aca="false">H105*I105</f>
        <v>0</v>
      </c>
      <c r="K105" s="32" t="n">
        <f aca="false">0</f>
        <v>0</v>
      </c>
      <c r="L105" s="33" t="n">
        <f aca="false">Controls!B35</f>
        <v>0</v>
      </c>
      <c r="M105" s="33" t="n">
        <f aca="false">Controls!B36</f>
        <v>0</v>
      </c>
      <c r="N105" s="32" t="str">
        <f aca="false">IF(M105&gt;0,"PAID","HELD")</f>
        <v>HELD</v>
      </c>
    </row>
    <row r="106" customFormat="false" ht="15" hidden="false" customHeight="false" outlineLevel="0" collapsed="false">
      <c r="A106" s="19" t="str">
        <f aca="false">"PAY-"&amp;B106&amp;"-TRANSFER"</f>
        <v>PAY-REG-CT-CHA-TRANSFER</v>
      </c>
      <c r="B106" s="19" t="str">
        <f aca="false">'Object Crosswalk'!A31</f>
        <v>REG-CT-CHA</v>
      </c>
      <c r="C106" s="19" t="str">
        <f aca="false">'Object Crosswalk'!B31</f>
        <v>Regeneration tool</v>
      </c>
      <c r="D106" s="19" t="str">
        <f aca="false">'Object Crosswalk'!C31</f>
        <v>Public</v>
      </c>
      <c r="E106" s="19" t="str">
        <f aca="false">'Object Crosswalk'!D31</f>
        <v>MS-CT</v>
      </c>
      <c r="F106" s="19" t="str">
        <f aca="false">'Object Crosswalk'!E31</f>
        <v>CT-C</v>
      </c>
      <c r="G106" s="9" t="s">
        <v>1210</v>
      </c>
      <c r="H106" s="41" t="n">
        <v>0.25</v>
      </c>
      <c r="I106" s="50" t="n">
        <f aca="false">'Object Crosswalk'!I31</f>
        <v>0.0666666666666667</v>
      </c>
      <c r="J106" s="50" t="n">
        <f aca="false">H106*I106</f>
        <v>0.0166666666666667</v>
      </c>
      <c r="K106" s="32" t="n">
        <f aca="false">0</f>
        <v>0</v>
      </c>
      <c r="L106" s="33" t="n">
        <f aca="false">Controls!B35</f>
        <v>0</v>
      </c>
      <c r="M106" s="33" t="n">
        <f aca="false">Controls!B36</f>
        <v>0</v>
      </c>
      <c r="N106" s="32" t="str">
        <f aca="false">IF(M106&gt;0,"PAID","HELD")</f>
        <v>HELD</v>
      </c>
    </row>
    <row r="107" customFormat="false" ht="15" hidden="false" customHeight="false" outlineLevel="0" collapsed="false">
      <c r="A107" s="19" t="str">
        <f aca="false">"PAY-"&amp;B107&amp;"-FRAME"</f>
        <v>PAY-INT-CT-CHA-FRAME</v>
      </c>
      <c r="B107" s="19" t="str">
        <f aca="false">'Object Crosswalk'!A32</f>
        <v>INT-CT-CHA</v>
      </c>
      <c r="C107" s="19" t="str">
        <f aca="false">'Object Crosswalk'!B32</f>
        <v>Station integration</v>
      </c>
      <c r="D107" s="19" t="str">
        <f aca="false">'Object Crosswalk'!C32</f>
        <v>Public</v>
      </c>
      <c r="E107" s="19" t="str">
        <f aca="false">'Object Crosswalk'!D32</f>
        <v>MS-CT</v>
      </c>
      <c r="F107" s="19" t="str">
        <f aca="false">'Object Crosswalk'!E32</f>
        <v>CT-C</v>
      </c>
      <c r="G107" s="9" t="s">
        <v>543</v>
      </c>
      <c r="H107" s="41" t="n">
        <v>0.25</v>
      </c>
      <c r="I107" s="50" t="n">
        <f aca="false">'Object Crosswalk'!I32</f>
        <v>0.0633333333333333</v>
      </c>
      <c r="J107" s="50" t="n">
        <f aca="false">H107*I107</f>
        <v>0.0158333333333333</v>
      </c>
      <c r="K107" s="32" t="n">
        <f aca="false">0</f>
        <v>0</v>
      </c>
      <c r="L107" s="33" t="n">
        <f aca="false">Controls!B35</f>
        <v>0</v>
      </c>
      <c r="M107" s="33" t="n">
        <f aca="false">Controls!B36</f>
        <v>0</v>
      </c>
      <c r="N107" s="32" t="str">
        <f aca="false">IF(M107&gt;0,"PAID","HELD")</f>
        <v>HELD</v>
      </c>
    </row>
    <row r="108" customFormat="false" ht="15" hidden="false" customHeight="false" outlineLevel="0" collapsed="false">
      <c r="A108" s="19" t="str">
        <f aca="false">"PAY-"&amp;B108&amp;"-MAKE"</f>
        <v>PAY-INT-CT-CHA-MAKE</v>
      </c>
      <c r="B108" s="19" t="str">
        <f aca="false">'Object Crosswalk'!A32</f>
        <v>INT-CT-CHA</v>
      </c>
      <c r="C108" s="19" t="str">
        <f aca="false">'Object Crosswalk'!B32</f>
        <v>Station integration</v>
      </c>
      <c r="D108" s="19" t="str">
        <f aca="false">'Object Crosswalk'!C32</f>
        <v>Public</v>
      </c>
      <c r="E108" s="19" t="str">
        <f aca="false">'Object Crosswalk'!D32</f>
        <v>MS-CT</v>
      </c>
      <c r="F108" s="19" t="str">
        <f aca="false">'Object Crosswalk'!E32</f>
        <v>CT-C</v>
      </c>
      <c r="G108" s="9" t="s">
        <v>546</v>
      </c>
      <c r="H108" s="41" t="n">
        <v>0.5</v>
      </c>
      <c r="I108" s="50" t="n">
        <f aca="false">'Object Crosswalk'!I32</f>
        <v>0.0633333333333333</v>
      </c>
      <c r="J108" s="50" t="n">
        <f aca="false">H108*I108</f>
        <v>0.0316666666666667</v>
      </c>
      <c r="K108" s="32" t="n">
        <f aca="false">0</f>
        <v>0</v>
      </c>
      <c r="L108" s="33" t="n">
        <f aca="false">Controls!B35</f>
        <v>0</v>
      </c>
      <c r="M108" s="33" t="n">
        <f aca="false">Controls!B36</f>
        <v>0</v>
      </c>
      <c r="N108" s="32" t="str">
        <f aca="false">IF(M108&gt;0,"PAID","HELD")</f>
        <v>HELD</v>
      </c>
    </row>
    <row r="109" customFormat="false" ht="15" hidden="false" customHeight="false" outlineLevel="0" collapsed="false">
      <c r="A109" s="19" t="str">
        <f aca="false">"PAY-"&amp;B109&amp;"-BREAK"</f>
        <v>PAY-INT-CT-CHA-BREAK</v>
      </c>
      <c r="B109" s="19" t="str">
        <f aca="false">'Object Crosswalk'!A32</f>
        <v>INT-CT-CHA</v>
      </c>
      <c r="C109" s="19" t="str">
        <f aca="false">'Object Crosswalk'!B32</f>
        <v>Station integration</v>
      </c>
      <c r="D109" s="19" t="str">
        <f aca="false">'Object Crosswalk'!C32</f>
        <v>Public</v>
      </c>
      <c r="E109" s="19" t="str">
        <f aca="false">'Object Crosswalk'!D32</f>
        <v>MS-CT</v>
      </c>
      <c r="F109" s="19" t="str">
        <f aca="false">'Object Crosswalk'!E32</f>
        <v>CT-C</v>
      </c>
      <c r="G109" s="9" t="s">
        <v>1209</v>
      </c>
      <c r="H109" s="41" t="n">
        <v>0</v>
      </c>
      <c r="I109" s="50" t="n">
        <f aca="false">'Object Crosswalk'!I32</f>
        <v>0.0633333333333333</v>
      </c>
      <c r="J109" s="50" t="n">
        <f aca="false">H109*I109</f>
        <v>0</v>
      </c>
      <c r="K109" s="32" t="n">
        <f aca="false">0</f>
        <v>0</v>
      </c>
      <c r="L109" s="33" t="n">
        <f aca="false">Controls!B35</f>
        <v>0</v>
      </c>
      <c r="M109" s="33" t="n">
        <f aca="false">Controls!B36</f>
        <v>0</v>
      </c>
      <c r="N109" s="32" t="str">
        <f aca="false">IF(M109&gt;0,"PAID","HELD")</f>
        <v>HELD</v>
      </c>
    </row>
    <row r="110" customFormat="false" ht="15" hidden="false" customHeight="false" outlineLevel="0" collapsed="false">
      <c r="A110" s="19" t="str">
        <f aca="false">"PAY-"&amp;B110&amp;"-TRANSFER"</f>
        <v>PAY-INT-CT-CHA-TRANSFER</v>
      </c>
      <c r="B110" s="19" t="str">
        <f aca="false">'Object Crosswalk'!A32</f>
        <v>INT-CT-CHA</v>
      </c>
      <c r="C110" s="19" t="str">
        <f aca="false">'Object Crosswalk'!B32</f>
        <v>Station integration</v>
      </c>
      <c r="D110" s="19" t="str">
        <f aca="false">'Object Crosswalk'!C32</f>
        <v>Public</v>
      </c>
      <c r="E110" s="19" t="str">
        <f aca="false">'Object Crosswalk'!D32</f>
        <v>MS-CT</v>
      </c>
      <c r="F110" s="19" t="str">
        <f aca="false">'Object Crosswalk'!E32</f>
        <v>CT-C</v>
      </c>
      <c r="G110" s="9" t="s">
        <v>1210</v>
      </c>
      <c r="H110" s="41" t="n">
        <v>0.25</v>
      </c>
      <c r="I110" s="50" t="n">
        <f aca="false">'Object Crosswalk'!I32</f>
        <v>0.0633333333333333</v>
      </c>
      <c r="J110" s="50" t="n">
        <f aca="false">H110*I110</f>
        <v>0.0158333333333333</v>
      </c>
      <c r="K110" s="32" t="n">
        <f aca="false">0</f>
        <v>0</v>
      </c>
      <c r="L110" s="33" t="n">
        <f aca="false">Controls!B35</f>
        <v>0</v>
      </c>
      <c r="M110" s="33" t="n">
        <f aca="false">Controls!B36</f>
        <v>0</v>
      </c>
      <c r="N110" s="32" t="str">
        <f aca="false">IF(M110&gt;0,"PAID","HELD")</f>
        <v>HELD</v>
      </c>
    </row>
    <row r="111" customFormat="false" ht="15" hidden="false" customHeight="false" outlineLevel="0" collapsed="false">
      <c r="A111" s="19" t="str">
        <f aca="false">"PAY-"&amp;B111&amp;"-FRAME"</f>
        <v>PAY-RIG-CT-CON-FRAME</v>
      </c>
      <c r="B111" s="19" t="str">
        <f aca="false">'Object Crosswalk'!A33</f>
        <v>RIG-CT-CON</v>
      </c>
      <c r="C111" s="19" t="str">
        <f aca="false">'Object Crosswalk'!B33</f>
        <v>Root-native rig</v>
      </c>
      <c r="D111" s="19" t="str">
        <f aca="false">'Object Crosswalk'!C33</f>
        <v>Public</v>
      </c>
      <c r="E111" s="19" t="str">
        <f aca="false">'Object Crosswalk'!D33</f>
        <v>MS-CT</v>
      </c>
      <c r="F111" s="19" t="str">
        <f aca="false">'Object Crosswalk'!E33</f>
        <v>CT-C</v>
      </c>
      <c r="G111" s="9" t="s">
        <v>543</v>
      </c>
      <c r="H111" s="41" t="n">
        <v>0.25</v>
      </c>
      <c r="I111" s="50" t="n">
        <f aca="false">'Object Crosswalk'!I33</f>
        <v>0.316666666666667</v>
      </c>
      <c r="J111" s="50" t="n">
        <f aca="false">H111*I111</f>
        <v>0.0791666666666667</v>
      </c>
      <c r="K111" s="32" t="n">
        <f aca="false">0</f>
        <v>0</v>
      </c>
      <c r="L111" s="33" t="n">
        <f aca="false">Controls!B35</f>
        <v>0</v>
      </c>
      <c r="M111" s="33" t="n">
        <f aca="false">Controls!B36</f>
        <v>0</v>
      </c>
      <c r="N111" s="32" t="str">
        <f aca="false">IF(M111&gt;0,"PAID","HELD")</f>
        <v>HELD</v>
      </c>
    </row>
    <row r="112" customFormat="false" ht="15" hidden="false" customHeight="false" outlineLevel="0" collapsed="false">
      <c r="A112" s="19" t="str">
        <f aca="false">"PAY-"&amp;B112&amp;"-MAKE"</f>
        <v>PAY-RIG-CT-CON-MAKE</v>
      </c>
      <c r="B112" s="19" t="str">
        <f aca="false">'Object Crosswalk'!A33</f>
        <v>RIG-CT-CON</v>
      </c>
      <c r="C112" s="19" t="str">
        <f aca="false">'Object Crosswalk'!B33</f>
        <v>Root-native rig</v>
      </c>
      <c r="D112" s="19" t="str">
        <f aca="false">'Object Crosswalk'!C33</f>
        <v>Public</v>
      </c>
      <c r="E112" s="19" t="str">
        <f aca="false">'Object Crosswalk'!D33</f>
        <v>MS-CT</v>
      </c>
      <c r="F112" s="19" t="str">
        <f aca="false">'Object Crosswalk'!E33</f>
        <v>CT-C</v>
      </c>
      <c r="G112" s="9" t="s">
        <v>546</v>
      </c>
      <c r="H112" s="41" t="n">
        <v>0.5</v>
      </c>
      <c r="I112" s="50" t="n">
        <f aca="false">'Object Crosswalk'!I33</f>
        <v>0.316666666666667</v>
      </c>
      <c r="J112" s="50" t="n">
        <f aca="false">H112*I112</f>
        <v>0.158333333333333</v>
      </c>
      <c r="K112" s="32" t="n">
        <f aca="false">0</f>
        <v>0</v>
      </c>
      <c r="L112" s="33" t="n">
        <f aca="false">Controls!B35</f>
        <v>0</v>
      </c>
      <c r="M112" s="33" t="n">
        <f aca="false">Controls!B36</f>
        <v>0</v>
      </c>
      <c r="N112" s="32" t="str">
        <f aca="false">IF(M112&gt;0,"PAID","HELD")</f>
        <v>HELD</v>
      </c>
    </row>
    <row r="113" customFormat="false" ht="15" hidden="false" customHeight="false" outlineLevel="0" collapsed="false">
      <c r="A113" s="19" t="str">
        <f aca="false">"PAY-"&amp;B113&amp;"-BREAK"</f>
        <v>PAY-RIG-CT-CON-BREAK</v>
      </c>
      <c r="B113" s="19" t="str">
        <f aca="false">'Object Crosswalk'!A33</f>
        <v>RIG-CT-CON</v>
      </c>
      <c r="C113" s="19" t="str">
        <f aca="false">'Object Crosswalk'!B33</f>
        <v>Root-native rig</v>
      </c>
      <c r="D113" s="19" t="str">
        <f aca="false">'Object Crosswalk'!C33</f>
        <v>Public</v>
      </c>
      <c r="E113" s="19" t="str">
        <f aca="false">'Object Crosswalk'!D33</f>
        <v>MS-CT</v>
      </c>
      <c r="F113" s="19" t="str">
        <f aca="false">'Object Crosswalk'!E33</f>
        <v>CT-C</v>
      </c>
      <c r="G113" s="9" t="s">
        <v>1209</v>
      </c>
      <c r="H113" s="41" t="n">
        <v>0</v>
      </c>
      <c r="I113" s="50" t="n">
        <f aca="false">'Object Crosswalk'!I33</f>
        <v>0.316666666666667</v>
      </c>
      <c r="J113" s="50" t="n">
        <f aca="false">H113*I113</f>
        <v>0</v>
      </c>
      <c r="K113" s="32" t="n">
        <f aca="false">0</f>
        <v>0</v>
      </c>
      <c r="L113" s="33" t="n">
        <f aca="false">Controls!B35</f>
        <v>0</v>
      </c>
      <c r="M113" s="33" t="n">
        <f aca="false">Controls!B36</f>
        <v>0</v>
      </c>
      <c r="N113" s="32" t="str">
        <f aca="false">IF(M113&gt;0,"PAID","HELD")</f>
        <v>HELD</v>
      </c>
    </row>
    <row r="114" customFormat="false" ht="15" hidden="false" customHeight="false" outlineLevel="0" collapsed="false">
      <c r="A114" s="19" t="str">
        <f aca="false">"PAY-"&amp;B114&amp;"-TRANSFER"</f>
        <v>PAY-RIG-CT-CON-TRANSFER</v>
      </c>
      <c r="B114" s="19" t="str">
        <f aca="false">'Object Crosswalk'!A33</f>
        <v>RIG-CT-CON</v>
      </c>
      <c r="C114" s="19" t="str">
        <f aca="false">'Object Crosswalk'!B33</f>
        <v>Root-native rig</v>
      </c>
      <c r="D114" s="19" t="str">
        <f aca="false">'Object Crosswalk'!C33</f>
        <v>Public</v>
      </c>
      <c r="E114" s="19" t="str">
        <f aca="false">'Object Crosswalk'!D33</f>
        <v>MS-CT</v>
      </c>
      <c r="F114" s="19" t="str">
        <f aca="false">'Object Crosswalk'!E33</f>
        <v>CT-C</v>
      </c>
      <c r="G114" s="9" t="s">
        <v>1210</v>
      </c>
      <c r="H114" s="41" t="n">
        <v>0.25</v>
      </c>
      <c r="I114" s="50" t="n">
        <f aca="false">'Object Crosswalk'!I33</f>
        <v>0.316666666666667</v>
      </c>
      <c r="J114" s="50" t="n">
        <f aca="false">H114*I114</f>
        <v>0.0791666666666667</v>
      </c>
      <c r="K114" s="32" t="n">
        <f aca="false">0</f>
        <v>0</v>
      </c>
      <c r="L114" s="33" t="n">
        <f aca="false">Controls!B35</f>
        <v>0</v>
      </c>
      <c r="M114" s="33" t="n">
        <f aca="false">Controls!B36</f>
        <v>0</v>
      </c>
      <c r="N114" s="32" t="str">
        <f aca="false">IF(M114&gt;0,"PAID","HELD")</f>
        <v>HELD</v>
      </c>
    </row>
    <row r="115" customFormat="false" ht="15" hidden="false" customHeight="false" outlineLevel="0" collapsed="false">
      <c r="A115" s="19" t="str">
        <f aca="false">"PAY-"&amp;B115&amp;"-FRAME"</f>
        <v>PAY-MTH-CT-CON-L1-FRAME</v>
      </c>
      <c r="B115" s="19" t="str">
        <f aca="false">'Object Crosswalk'!A34</f>
        <v>MTH-CT-CON-L1</v>
      </c>
      <c r="C115" s="19" t="str">
        <f aca="false">'Object Crosswalk'!B34</f>
        <v>Method lineage</v>
      </c>
      <c r="D115" s="19" t="str">
        <f aca="false">'Object Crosswalk'!C34</f>
        <v>Public</v>
      </c>
      <c r="E115" s="19" t="str">
        <f aca="false">'Object Crosswalk'!D34</f>
        <v>MS-CT</v>
      </c>
      <c r="F115" s="19" t="str">
        <f aca="false">'Object Crosswalk'!E34</f>
        <v>CT-C</v>
      </c>
      <c r="G115" s="9" t="s">
        <v>543</v>
      </c>
      <c r="H115" s="41" t="n">
        <v>0.25</v>
      </c>
      <c r="I115" s="50" t="n">
        <f aca="false">'Object Crosswalk'!I34</f>
        <v>0.09</v>
      </c>
      <c r="J115" s="50" t="n">
        <f aca="false">H115*I115</f>
        <v>0.0225</v>
      </c>
      <c r="K115" s="32" t="n">
        <f aca="false">0</f>
        <v>0</v>
      </c>
      <c r="L115" s="33" t="n">
        <f aca="false">Controls!B35</f>
        <v>0</v>
      </c>
      <c r="M115" s="33" t="n">
        <f aca="false">Controls!B36</f>
        <v>0</v>
      </c>
      <c r="N115" s="32" t="str">
        <f aca="false">IF(M115&gt;0,"PAID","HELD")</f>
        <v>HELD</v>
      </c>
    </row>
    <row r="116" customFormat="false" ht="15" hidden="false" customHeight="false" outlineLevel="0" collapsed="false">
      <c r="A116" s="19" t="str">
        <f aca="false">"PAY-"&amp;B116&amp;"-MAKE"</f>
        <v>PAY-MTH-CT-CON-L1-MAKE</v>
      </c>
      <c r="B116" s="19" t="str">
        <f aca="false">'Object Crosswalk'!A34</f>
        <v>MTH-CT-CON-L1</v>
      </c>
      <c r="C116" s="19" t="str">
        <f aca="false">'Object Crosswalk'!B34</f>
        <v>Method lineage</v>
      </c>
      <c r="D116" s="19" t="str">
        <f aca="false">'Object Crosswalk'!C34</f>
        <v>Public</v>
      </c>
      <c r="E116" s="19" t="str">
        <f aca="false">'Object Crosswalk'!D34</f>
        <v>MS-CT</v>
      </c>
      <c r="F116" s="19" t="str">
        <f aca="false">'Object Crosswalk'!E34</f>
        <v>CT-C</v>
      </c>
      <c r="G116" s="9" t="s">
        <v>546</v>
      </c>
      <c r="H116" s="41" t="n">
        <v>0.5</v>
      </c>
      <c r="I116" s="50" t="n">
        <f aca="false">'Object Crosswalk'!I34</f>
        <v>0.09</v>
      </c>
      <c r="J116" s="50" t="n">
        <f aca="false">H116*I116</f>
        <v>0.045</v>
      </c>
      <c r="K116" s="32" t="n">
        <f aca="false">0</f>
        <v>0</v>
      </c>
      <c r="L116" s="33" t="n">
        <f aca="false">Controls!B35</f>
        <v>0</v>
      </c>
      <c r="M116" s="33" t="n">
        <f aca="false">Controls!B36</f>
        <v>0</v>
      </c>
      <c r="N116" s="32" t="str">
        <f aca="false">IF(M116&gt;0,"PAID","HELD")</f>
        <v>HELD</v>
      </c>
    </row>
    <row r="117" customFormat="false" ht="15" hidden="false" customHeight="false" outlineLevel="0" collapsed="false">
      <c r="A117" s="19" t="str">
        <f aca="false">"PAY-"&amp;B117&amp;"-BREAK"</f>
        <v>PAY-MTH-CT-CON-L1-BREAK</v>
      </c>
      <c r="B117" s="19" t="str">
        <f aca="false">'Object Crosswalk'!A34</f>
        <v>MTH-CT-CON-L1</v>
      </c>
      <c r="C117" s="19" t="str">
        <f aca="false">'Object Crosswalk'!B34</f>
        <v>Method lineage</v>
      </c>
      <c r="D117" s="19" t="str">
        <f aca="false">'Object Crosswalk'!C34</f>
        <v>Public</v>
      </c>
      <c r="E117" s="19" t="str">
        <f aca="false">'Object Crosswalk'!D34</f>
        <v>MS-CT</v>
      </c>
      <c r="F117" s="19" t="str">
        <f aca="false">'Object Crosswalk'!E34</f>
        <v>CT-C</v>
      </c>
      <c r="G117" s="9" t="s">
        <v>1209</v>
      </c>
      <c r="H117" s="41" t="n">
        <v>0</v>
      </c>
      <c r="I117" s="50" t="n">
        <f aca="false">'Object Crosswalk'!I34</f>
        <v>0.09</v>
      </c>
      <c r="J117" s="50" t="n">
        <f aca="false">H117*I117</f>
        <v>0</v>
      </c>
      <c r="K117" s="32" t="n">
        <f aca="false">0</f>
        <v>0</v>
      </c>
      <c r="L117" s="33" t="n">
        <f aca="false">Controls!B35</f>
        <v>0</v>
      </c>
      <c r="M117" s="33" t="n">
        <f aca="false">Controls!B36</f>
        <v>0</v>
      </c>
      <c r="N117" s="32" t="str">
        <f aca="false">IF(M117&gt;0,"PAID","HELD")</f>
        <v>HELD</v>
      </c>
    </row>
    <row r="118" customFormat="false" ht="15" hidden="false" customHeight="false" outlineLevel="0" collapsed="false">
      <c r="A118" s="19" t="str">
        <f aca="false">"PAY-"&amp;B118&amp;"-TRANSFER"</f>
        <v>PAY-MTH-CT-CON-L1-TRANSFER</v>
      </c>
      <c r="B118" s="19" t="str">
        <f aca="false">'Object Crosswalk'!A34</f>
        <v>MTH-CT-CON-L1</v>
      </c>
      <c r="C118" s="19" t="str">
        <f aca="false">'Object Crosswalk'!B34</f>
        <v>Method lineage</v>
      </c>
      <c r="D118" s="19" t="str">
        <f aca="false">'Object Crosswalk'!C34</f>
        <v>Public</v>
      </c>
      <c r="E118" s="19" t="str">
        <f aca="false">'Object Crosswalk'!D34</f>
        <v>MS-CT</v>
      </c>
      <c r="F118" s="19" t="str">
        <f aca="false">'Object Crosswalk'!E34</f>
        <v>CT-C</v>
      </c>
      <c r="G118" s="9" t="s">
        <v>1210</v>
      </c>
      <c r="H118" s="41" t="n">
        <v>0.25</v>
      </c>
      <c r="I118" s="50" t="n">
        <f aca="false">'Object Crosswalk'!I34</f>
        <v>0.09</v>
      </c>
      <c r="J118" s="50" t="n">
        <f aca="false">H118*I118</f>
        <v>0.0225</v>
      </c>
      <c r="K118" s="32" t="n">
        <f aca="false">0</f>
        <v>0</v>
      </c>
      <c r="L118" s="33" t="n">
        <f aca="false">Controls!B35</f>
        <v>0</v>
      </c>
      <c r="M118" s="33" t="n">
        <f aca="false">Controls!B36</f>
        <v>0</v>
      </c>
      <c r="N118" s="32" t="str">
        <f aca="false">IF(M118&gt;0,"PAID","HELD")</f>
        <v>HELD</v>
      </c>
    </row>
    <row r="119" customFormat="false" ht="15" hidden="false" customHeight="false" outlineLevel="0" collapsed="false">
      <c r="A119" s="19" t="str">
        <f aca="false">"PAY-"&amp;B119&amp;"-FRAME"</f>
        <v>PAY-MTH-CT-CON-L2-FRAME</v>
      </c>
      <c r="B119" s="19" t="str">
        <f aca="false">'Object Crosswalk'!A35</f>
        <v>MTH-CT-CON-L2</v>
      </c>
      <c r="C119" s="19" t="str">
        <f aca="false">'Object Crosswalk'!B35</f>
        <v>Method lineage</v>
      </c>
      <c r="D119" s="19" t="str">
        <f aca="false">'Object Crosswalk'!C35</f>
        <v>Public</v>
      </c>
      <c r="E119" s="19" t="str">
        <f aca="false">'Object Crosswalk'!D35</f>
        <v>MS-CT</v>
      </c>
      <c r="F119" s="19" t="str">
        <f aca="false">'Object Crosswalk'!E35</f>
        <v>CT-C</v>
      </c>
      <c r="G119" s="9" t="s">
        <v>543</v>
      </c>
      <c r="H119" s="41" t="n">
        <v>0.25</v>
      </c>
      <c r="I119" s="50" t="n">
        <f aca="false">'Object Crosswalk'!I35</f>
        <v>0.09</v>
      </c>
      <c r="J119" s="50" t="n">
        <f aca="false">H119*I119</f>
        <v>0.0225</v>
      </c>
      <c r="K119" s="32" t="n">
        <f aca="false">0</f>
        <v>0</v>
      </c>
      <c r="L119" s="33" t="n">
        <f aca="false">Controls!B35</f>
        <v>0</v>
      </c>
      <c r="M119" s="33" t="n">
        <f aca="false">Controls!B36</f>
        <v>0</v>
      </c>
      <c r="N119" s="32" t="str">
        <f aca="false">IF(M119&gt;0,"PAID","HELD")</f>
        <v>HELD</v>
      </c>
    </row>
    <row r="120" customFormat="false" ht="15" hidden="false" customHeight="false" outlineLevel="0" collapsed="false">
      <c r="A120" s="19" t="str">
        <f aca="false">"PAY-"&amp;B120&amp;"-MAKE"</f>
        <v>PAY-MTH-CT-CON-L2-MAKE</v>
      </c>
      <c r="B120" s="19" t="str">
        <f aca="false">'Object Crosswalk'!A35</f>
        <v>MTH-CT-CON-L2</v>
      </c>
      <c r="C120" s="19" t="str">
        <f aca="false">'Object Crosswalk'!B35</f>
        <v>Method lineage</v>
      </c>
      <c r="D120" s="19" t="str">
        <f aca="false">'Object Crosswalk'!C35</f>
        <v>Public</v>
      </c>
      <c r="E120" s="19" t="str">
        <f aca="false">'Object Crosswalk'!D35</f>
        <v>MS-CT</v>
      </c>
      <c r="F120" s="19" t="str">
        <f aca="false">'Object Crosswalk'!E35</f>
        <v>CT-C</v>
      </c>
      <c r="G120" s="9" t="s">
        <v>546</v>
      </c>
      <c r="H120" s="41" t="n">
        <v>0.5</v>
      </c>
      <c r="I120" s="50" t="n">
        <f aca="false">'Object Crosswalk'!I35</f>
        <v>0.09</v>
      </c>
      <c r="J120" s="50" t="n">
        <f aca="false">H120*I120</f>
        <v>0.045</v>
      </c>
      <c r="K120" s="32" t="n">
        <f aca="false">0</f>
        <v>0</v>
      </c>
      <c r="L120" s="33" t="n">
        <f aca="false">Controls!B35</f>
        <v>0</v>
      </c>
      <c r="M120" s="33" t="n">
        <f aca="false">Controls!B36</f>
        <v>0</v>
      </c>
      <c r="N120" s="32" t="str">
        <f aca="false">IF(M120&gt;0,"PAID","HELD")</f>
        <v>HELD</v>
      </c>
    </row>
    <row r="121" customFormat="false" ht="15" hidden="false" customHeight="false" outlineLevel="0" collapsed="false">
      <c r="A121" s="19" t="str">
        <f aca="false">"PAY-"&amp;B121&amp;"-BREAK"</f>
        <v>PAY-MTH-CT-CON-L2-BREAK</v>
      </c>
      <c r="B121" s="19" t="str">
        <f aca="false">'Object Crosswalk'!A35</f>
        <v>MTH-CT-CON-L2</v>
      </c>
      <c r="C121" s="19" t="str">
        <f aca="false">'Object Crosswalk'!B35</f>
        <v>Method lineage</v>
      </c>
      <c r="D121" s="19" t="str">
        <f aca="false">'Object Crosswalk'!C35</f>
        <v>Public</v>
      </c>
      <c r="E121" s="19" t="str">
        <f aca="false">'Object Crosswalk'!D35</f>
        <v>MS-CT</v>
      </c>
      <c r="F121" s="19" t="str">
        <f aca="false">'Object Crosswalk'!E35</f>
        <v>CT-C</v>
      </c>
      <c r="G121" s="9" t="s">
        <v>1209</v>
      </c>
      <c r="H121" s="41" t="n">
        <v>0</v>
      </c>
      <c r="I121" s="50" t="n">
        <f aca="false">'Object Crosswalk'!I35</f>
        <v>0.09</v>
      </c>
      <c r="J121" s="50" t="n">
        <f aca="false">H121*I121</f>
        <v>0</v>
      </c>
      <c r="K121" s="32" t="n">
        <f aca="false">0</f>
        <v>0</v>
      </c>
      <c r="L121" s="33" t="n">
        <f aca="false">Controls!B35</f>
        <v>0</v>
      </c>
      <c r="M121" s="33" t="n">
        <f aca="false">Controls!B36</f>
        <v>0</v>
      </c>
      <c r="N121" s="32" t="str">
        <f aca="false">IF(M121&gt;0,"PAID","HELD")</f>
        <v>HELD</v>
      </c>
    </row>
    <row r="122" customFormat="false" ht="15" hidden="false" customHeight="false" outlineLevel="0" collapsed="false">
      <c r="A122" s="19" t="str">
        <f aca="false">"PAY-"&amp;B122&amp;"-TRANSFER"</f>
        <v>PAY-MTH-CT-CON-L2-TRANSFER</v>
      </c>
      <c r="B122" s="19" t="str">
        <f aca="false">'Object Crosswalk'!A35</f>
        <v>MTH-CT-CON-L2</v>
      </c>
      <c r="C122" s="19" t="str">
        <f aca="false">'Object Crosswalk'!B35</f>
        <v>Method lineage</v>
      </c>
      <c r="D122" s="19" t="str">
        <f aca="false">'Object Crosswalk'!C35</f>
        <v>Public</v>
      </c>
      <c r="E122" s="19" t="str">
        <f aca="false">'Object Crosswalk'!D35</f>
        <v>MS-CT</v>
      </c>
      <c r="F122" s="19" t="str">
        <f aca="false">'Object Crosswalk'!E35</f>
        <v>CT-C</v>
      </c>
      <c r="G122" s="9" t="s">
        <v>1210</v>
      </c>
      <c r="H122" s="41" t="n">
        <v>0.25</v>
      </c>
      <c r="I122" s="50" t="n">
        <f aca="false">'Object Crosswalk'!I35</f>
        <v>0.09</v>
      </c>
      <c r="J122" s="50" t="n">
        <f aca="false">H122*I122</f>
        <v>0.0225</v>
      </c>
      <c r="K122" s="32" t="n">
        <f aca="false">0</f>
        <v>0</v>
      </c>
      <c r="L122" s="33" t="n">
        <f aca="false">Controls!B35</f>
        <v>0</v>
      </c>
      <c r="M122" s="33" t="n">
        <f aca="false">Controls!B36</f>
        <v>0</v>
      </c>
      <c r="N122" s="32" t="str">
        <f aca="false">IF(M122&gt;0,"PAID","HELD")</f>
        <v>HELD</v>
      </c>
    </row>
    <row r="123" customFormat="false" ht="15" hidden="false" customHeight="false" outlineLevel="0" collapsed="false">
      <c r="A123" s="19" t="str">
        <f aca="false">"PAY-"&amp;B123&amp;"-FRAME"</f>
        <v>PAY-REG-CT-CON-FRAME</v>
      </c>
      <c r="B123" s="19" t="str">
        <f aca="false">'Object Crosswalk'!A36</f>
        <v>REG-CT-CON</v>
      </c>
      <c r="C123" s="19" t="str">
        <f aca="false">'Object Crosswalk'!B36</f>
        <v>Regeneration tool</v>
      </c>
      <c r="D123" s="19" t="str">
        <f aca="false">'Object Crosswalk'!C36</f>
        <v>Public</v>
      </c>
      <c r="E123" s="19" t="str">
        <f aca="false">'Object Crosswalk'!D36</f>
        <v>MS-CT</v>
      </c>
      <c r="F123" s="19" t="str">
        <f aca="false">'Object Crosswalk'!E36</f>
        <v>CT-C</v>
      </c>
      <c r="G123" s="9" t="s">
        <v>543</v>
      </c>
      <c r="H123" s="41" t="n">
        <v>0.25</v>
      </c>
      <c r="I123" s="50" t="n">
        <f aca="false">'Object Crosswalk'!I36</f>
        <v>0.0666666666666667</v>
      </c>
      <c r="J123" s="50" t="n">
        <f aca="false">H123*I123</f>
        <v>0.0166666666666667</v>
      </c>
      <c r="K123" s="32" t="n">
        <f aca="false">0</f>
        <v>0</v>
      </c>
      <c r="L123" s="33" t="n">
        <f aca="false">Controls!B35</f>
        <v>0</v>
      </c>
      <c r="M123" s="33" t="n">
        <f aca="false">Controls!B36</f>
        <v>0</v>
      </c>
      <c r="N123" s="32" t="str">
        <f aca="false">IF(M123&gt;0,"PAID","HELD")</f>
        <v>HELD</v>
      </c>
    </row>
    <row r="124" customFormat="false" ht="15" hidden="false" customHeight="false" outlineLevel="0" collapsed="false">
      <c r="A124" s="19" t="str">
        <f aca="false">"PAY-"&amp;B124&amp;"-MAKE"</f>
        <v>PAY-REG-CT-CON-MAKE</v>
      </c>
      <c r="B124" s="19" t="str">
        <f aca="false">'Object Crosswalk'!A36</f>
        <v>REG-CT-CON</v>
      </c>
      <c r="C124" s="19" t="str">
        <f aca="false">'Object Crosswalk'!B36</f>
        <v>Regeneration tool</v>
      </c>
      <c r="D124" s="19" t="str">
        <f aca="false">'Object Crosswalk'!C36</f>
        <v>Public</v>
      </c>
      <c r="E124" s="19" t="str">
        <f aca="false">'Object Crosswalk'!D36</f>
        <v>MS-CT</v>
      </c>
      <c r="F124" s="19" t="str">
        <f aca="false">'Object Crosswalk'!E36</f>
        <v>CT-C</v>
      </c>
      <c r="G124" s="9" t="s">
        <v>546</v>
      </c>
      <c r="H124" s="41" t="n">
        <v>0.5</v>
      </c>
      <c r="I124" s="50" t="n">
        <f aca="false">'Object Crosswalk'!I36</f>
        <v>0.0666666666666667</v>
      </c>
      <c r="J124" s="50" t="n">
        <f aca="false">H124*I124</f>
        <v>0.0333333333333333</v>
      </c>
      <c r="K124" s="32" t="n">
        <f aca="false">0</f>
        <v>0</v>
      </c>
      <c r="L124" s="33" t="n">
        <f aca="false">Controls!B35</f>
        <v>0</v>
      </c>
      <c r="M124" s="33" t="n">
        <f aca="false">Controls!B36</f>
        <v>0</v>
      </c>
      <c r="N124" s="32" t="str">
        <f aca="false">IF(M124&gt;0,"PAID","HELD")</f>
        <v>HELD</v>
      </c>
    </row>
    <row r="125" customFormat="false" ht="15" hidden="false" customHeight="false" outlineLevel="0" collapsed="false">
      <c r="A125" s="19" t="str">
        <f aca="false">"PAY-"&amp;B125&amp;"-BREAK"</f>
        <v>PAY-REG-CT-CON-BREAK</v>
      </c>
      <c r="B125" s="19" t="str">
        <f aca="false">'Object Crosswalk'!A36</f>
        <v>REG-CT-CON</v>
      </c>
      <c r="C125" s="19" t="str">
        <f aca="false">'Object Crosswalk'!B36</f>
        <v>Regeneration tool</v>
      </c>
      <c r="D125" s="19" t="str">
        <f aca="false">'Object Crosswalk'!C36</f>
        <v>Public</v>
      </c>
      <c r="E125" s="19" t="str">
        <f aca="false">'Object Crosswalk'!D36</f>
        <v>MS-CT</v>
      </c>
      <c r="F125" s="19" t="str">
        <f aca="false">'Object Crosswalk'!E36</f>
        <v>CT-C</v>
      </c>
      <c r="G125" s="9" t="s">
        <v>1209</v>
      </c>
      <c r="H125" s="41" t="n">
        <v>0</v>
      </c>
      <c r="I125" s="50" t="n">
        <f aca="false">'Object Crosswalk'!I36</f>
        <v>0.0666666666666667</v>
      </c>
      <c r="J125" s="50" t="n">
        <f aca="false">H125*I125</f>
        <v>0</v>
      </c>
      <c r="K125" s="32" t="n">
        <f aca="false">0</f>
        <v>0</v>
      </c>
      <c r="L125" s="33" t="n">
        <f aca="false">Controls!B35</f>
        <v>0</v>
      </c>
      <c r="M125" s="33" t="n">
        <f aca="false">Controls!B36</f>
        <v>0</v>
      </c>
      <c r="N125" s="32" t="str">
        <f aca="false">IF(M125&gt;0,"PAID","HELD")</f>
        <v>HELD</v>
      </c>
    </row>
    <row r="126" customFormat="false" ht="15" hidden="false" customHeight="false" outlineLevel="0" collapsed="false">
      <c r="A126" s="19" t="str">
        <f aca="false">"PAY-"&amp;B126&amp;"-TRANSFER"</f>
        <v>PAY-REG-CT-CON-TRANSFER</v>
      </c>
      <c r="B126" s="19" t="str">
        <f aca="false">'Object Crosswalk'!A36</f>
        <v>REG-CT-CON</v>
      </c>
      <c r="C126" s="19" t="str">
        <f aca="false">'Object Crosswalk'!B36</f>
        <v>Regeneration tool</v>
      </c>
      <c r="D126" s="19" t="str">
        <f aca="false">'Object Crosswalk'!C36</f>
        <v>Public</v>
      </c>
      <c r="E126" s="19" t="str">
        <f aca="false">'Object Crosswalk'!D36</f>
        <v>MS-CT</v>
      </c>
      <c r="F126" s="19" t="str">
        <f aca="false">'Object Crosswalk'!E36</f>
        <v>CT-C</v>
      </c>
      <c r="G126" s="9" t="s">
        <v>1210</v>
      </c>
      <c r="H126" s="41" t="n">
        <v>0.25</v>
      </c>
      <c r="I126" s="50" t="n">
        <f aca="false">'Object Crosswalk'!I36</f>
        <v>0.0666666666666667</v>
      </c>
      <c r="J126" s="50" t="n">
        <f aca="false">H126*I126</f>
        <v>0.0166666666666667</v>
      </c>
      <c r="K126" s="32" t="n">
        <f aca="false">0</f>
        <v>0</v>
      </c>
      <c r="L126" s="33" t="n">
        <f aca="false">Controls!B35</f>
        <v>0</v>
      </c>
      <c r="M126" s="33" t="n">
        <f aca="false">Controls!B36</f>
        <v>0</v>
      </c>
      <c r="N126" s="32" t="str">
        <f aca="false">IF(M126&gt;0,"PAID","HELD")</f>
        <v>HELD</v>
      </c>
    </row>
    <row r="127" customFormat="false" ht="15" hidden="false" customHeight="false" outlineLevel="0" collapsed="false">
      <c r="A127" s="19" t="str">
        <f aca="false">"PAY-"&amp;B127&amp;"-FRAME"</f>
        <v>PAY-INT-CT-CON-FRAME</v>
      </c>
      <c r="B127" s="19" t="str">
        <f aca="false">'Object Crosswalk'!A37</f>
        <v>INT-CT-CON</v>
      </c>
      <c r="C127" s="19" t="str">
        <f aca="false">'Object Crosswalk'!B37</f>
        <v>Station integration</v>
      </c>
      <c r="D127" s="19" t="str">
        <f aca="false">'Object Crosswalk'!C37</f>
        <v>Public</v>
      </c>
      <c r="E127" s="19" t="str">
        <f aca="false">'Object Crosswalk'!D37</f>
        <v>MS-CT</v>
      </c>
      <c r="F127" s="19" t="str">
        <f aca="false">'Object Crosswalk'!E37</f>
        <v>CT-C</v>
      </c>
      <c r="G127" s="9" t="s">
        <v>543</v>
      </c>
      <c r="H127" s="41" t="n">
        <v>0.25</v>
      </c>
      <c r="I127" s="50" t="n">
        <f aca="false">'Object Crosswalk'!I37</f>
        <v>0.0633333333333333</v>
      </c>
      <c r="J127" s="50" t="n">
        <f aca="false">H127*I127</f>
        <v>0.0158333333333333</v>
      </c>
      <c r="K127" s="32" t="n">
        <f aca="false">0</f>
        <v>0</v>
      </c>
      <c r="L127" s="33" t="n">
        <f aca="false">Controls!B35</f>
        <v>0</v>
      </c>
      <c r="M127" s="33" t="n">
        <f aca="false">Controls!B36</f>
        <v>0</v>
      </c>
      <c r="N127" s="32" t="str">
        <f aca="false">IF(M127&gt;0,"PAID","HELD")</f>
        <v>HELD</v>
      </c>
    </row>
    <row r="128" customFormat="false" ht="15" hidden="false" customHeight="false" outlineLevel="0" collapsed="false">
      <c r="A128" s="19" t="str">
        <f aca="false">"PAY-"&amp;B128&amp;"-MAKE"</f>
        <v>PAY-INT-CT-CON-MAKE</v>
      </c>
      <c r="B128" s="19" t="str">
        <f aca="false">'Object Crosswalk'!A37</f>
        <v>INT-CT-CON</v>
      </c>
      <c r="C128" s="19" t="str">
        <f aca="false">'Object Crosswalk'!B37</f>
        <v>Station integration</v>
      </c>
      <c r="D128" s="19" t="str">
        <f aca="false">'Object Crosswalk'!C37</f>
        <v>Public</v>
      </c>
      <c r="E128" s="19" t="str">
        <f aca="false">'Object Crosswalk'!D37</f>
        <v>MS-CT</v>
      </c>
      <c r="F128" s="19" t="str">
        <f aca="false">'Object Crosswalk'!E37</f>
        <v>CT-C</v>
      </c>
      <c r="G128" s="9" t="s">
        <v>546</v>
      </c>
      <c r="H128" s="41" t="n">
        <v>0.5</v>
      </c>
      <c r="I128" s="50" t="n">
        <f aca="false">'Object Crosswalk'!I37</f>
        <v>0.0633333333333333</v>
      </c>
      <c r="J128" s="50" t="n">
        <f aca="false">H128*I128</f>
        <v>0.0316666666666667</v>
      </c>
      <c r="K128" s="32" t="n">
        <f aca="false">0</f>
        <v>0</v>
      </c>
      <c r="L128" s="33" t="n">
        <f aca="false">Controls!B35</f>
        <v>0</v>
      </c>
      <c r="M128" s="33" t="n">
        <f aca="false">Controls!B36</f>
        <v>0</v>
      </c>
      <c r="N128" s="32" t="str">
        <f aca="false">IF(M128&gt;0,"PAID","HELD")</f>
        <v>HELD</v>
      </c>
    </row>
    <row r="129" customFormat="false" ht="15" hidden="false" customHeight="false" outlineLevel="0" collapsed="false">
      <c r="A129" s="19" t="str">
        <f aca="false">"PAY-"&amp;B129&amp;"-BREAK"</f>
        <v>PAY-INT-CT-CON-BREAK</v>
      </c>
      <c r="B129" s="19" t="str">
        <f aca="false">'Object Crosswalk'!A37</f>
        <v>INT-CT-CON</v>
      </c>
      <c r="C129" s="19" t="str">
        <f aca="false">'Object Crosswalk'!B37</f>
        <v>Station integration</v>
      </c>
      <c r="D129" s="19" t="str">
        <f aca="false">'Object Crosswalk'!C37</f>
        <v>Public</v>
      </c>
      <c r="E129" s="19" t="str">
        <f aca="false">'Object Crosswalk'!D37</f>
        <v>MS-CT</v>
      </c>
      <c r="F129" s="19" t="str">
        <f aca="false">'Object Crosswalk'!E37</f>
        <v>CT-C</v>
      </c>
      <c r="G129" s="9" t="s">
        <v>1209</v>
      </c>
      <c r="H129" s="41" t="n">
        <v>0</v>
      </c>
      <c r="I129" s="50" t="n">
        <f aca="false">'Object Crosswalk'!I37</f>
        <v>0.0633333333333333</v>
      </c>
      <c r="J129" s="50" t="n">
        <f aca="false">H129*I129</f>
        <v>0</v>
      </c>
      <c r="K129" s="32" t="n">
        <f aca="false">0</f>
        <v>0</v>
      </c>
      <c r="L129" s="33" t="n">
        <f aca="false">Controls!B35</f>
        <v>0</v>
      </c>
      <c r="M129" s="33" t="n">
        <f aca="false">Controls!B36</f>
        <v>0</v>
      </c>
      <c r="N129" s="32" t="str">
        <f aca="false">IF(M129&gt;0,"PAID","HELD")</f>
        <v>HELD</v>
      </c>
    </row>
    <row r="130" customFormat="false" ht="15" hidden="false" customHeight="false" outlineLevel="0" collapsed="false">
      <c r="A130" s="19" t="str">
        <f aca="false">"PAY-"&amp;B130&amp;"-TRANSFER"</f>
        <v>PAY-INT-CT-CON-TRANSFER</v>
      </c>
      <c r="B130" s="19" t="str">
        <f aca="false">'Object Crosswalk'!A37</f>
        <v>INT-CT-CON</v>
      </c>
      <c r="C130" s="19" t="str">
        <f aca="false">'Object Crosswalk'!B37</f>
        <v>Station integration</v>
      </c>
      <c r="D130" s="19" t="str">
        <f aca="false">'Object Crosswalk'!C37</f>
        <v>Public</v>
      </c>
      <c r="E130" s="19" t="str">
        <f aca="false">'Object Crosswalk'!D37</f>
        <v>MS-CT</v>
      </c>
      <c r="F130" s="19" t="str">
        <f aca="false">'Object Crosswalk'!E37</f>
        <v>CT-C</v>
      </c>
      <c r="G130" s="9" t="s">
        <v>1210</v>
      </c>
      <c r="H130" s="41" t="n">
        <v>0.25</v>
      </c>
      <c r="I130" s="50" t="n">
        <f aca="false">'Object Crosswalk'!I37</f>
        <v>0.0633333333333333</v>
      </c>
      <c r="J130" s="50" t="n">
        <f aca="false">H130*I130</f>
        <v>0.0158333333333333</v>
      </c>
      <c r="K130" s="32" t="n">
        <f aca="false">0</f>
        <v>0</v>
      </c>
      <c r="L130" s="33" t="n">
        <f aca="false">Controls!B35</f>
        <v>0</v>
      </c>
      <c r="M130" s="33" t="n">
        <f aca="false">Controls!B36</f>
        <v>0</v>
      </c>
      <c r="N130" s="32" t="str">
        <f aca="false">IF(M130&gt;0,"PAID","HELD")</f>
        <v>HELD</v>
      </c>
    </row>
    <row r="131" customFormat="false" ht="15" hidden="false" customHeight="false" outlineLevel="0" collapsed="false">
      <c r="A131" s="19" t="str">
        <f aca="false">"PAY-"&amp;B131&amp;"-FRAME"</f>
        <v>PAY-RIG-CT-REC-FRAME</v>
      </c>
      <c r="B131" s="19" t="str">
        <f aca="false">'Object Crosswalk'!A38</f>
        <v>RIG-CT-REC</v>
      </c>
      <c r="C131" s="19" t="str">
        <f aca="false">'Object Crosswalk'!B38</f>
        <v>Root-native rig</v>
      </c>
      <c r="D131" s="19" t="str">
        <f aca="false">'Object Crosswalk'!C38</f>
        <v>Public</v>
      </c>
      <c r="E131" s="19" t="str">
        <f aca="false">'Object Crosswalk'!D38</f>
        <v>MS-CT</v>
      </c>
      <c r="F131" s="19" t="str">
        <f aca="false">'Object Crosswalk'!E38</f>
        <v>CT-C</v>
      </c>
      <c r="G131" s="9" t="s">
        <v>543</v>
      </c>
      <c r="H131" s="41" t="n">
        <v>0.25</v>
      </c>
      <c r="I131" s="50" t="n">
        <f aca="false">'Object Crosswalk'!I38</f>
        <v>0.316666666666667</v>
      </c>
      <c r="J131" s="50" t="n">
        <f aca="false">H131*I131</f>
        <v>0.0791666666666667</v>
      </c>
      <c r="K131" s="32" t="n">
        <f aca="false">0</f>
        <v>0</v>
      </c>
      <c r="L131" s="33" t="n">
        <f aca="false">Controls!B35</f>
        <v>0</v>
      </c>
      <c r="M131" s="33" t="n">
        <f aca="false">Controls!B36</f>
        <v>0</v>
      </c>
      <c r="N131" s="32" t="str">
        <f aca="false">IF(M131&gt;0,"PAID","HELD")</f>
        <v>HELD</v>
      </c>
    </row>
    <row r="132" customFormat="false" ht="15" hidden="false" customHeight="false" outlineLevel="0" collapsed="false">
      <c r="A132" s="19" t="str">
        <f aca="false">"PAY-"&amp;B132&amp;"-MAKE"</f>
        <v>PAY-RIG-CT-REC-MAKE</v>
      </c>
      <c r="B132" s="19" t="str">
        <f aca="false">'Object Crosswalk'!A38</f>
        <v>RIG-CT-REC</v>
      </c>
      <c r="C132" s="19" t="str">
        <f aca="false">'Object Crosswalk'!B38</f>
        <v>Root-native rig</v>
      </c>
      <c r="D132" s="19" t="str">
        <f aca="false">'Object Crosswalk'!C38</f>
        <v>Public</v>
      </c>
      <c r="E132" s="19" t="str">
        <f aca="false">'Object Crosswalk'!D38</f>
        <v>MS-CT</v>
      </c>
      <c r="F132" s="19" t="str">
        <f aca="false">'Object Crosswalk'!E38</f>
        <v>CT-C</v>
      </c>
      <c r="G132" s="9" t="s">
        <v>546</v>
      </c>
      <c r="H132" s="41" t="n">
        <v>0.5</v>
      </c>
      <c r="I132" s="50" t="n">
        <f aca="false">'Object Crosswalk'!I38</f>
        <v>0.316666666666667</v>
      </c>
      <c r="J132" s="50" t="n">
        <f aca="false">H132*I132</f>
        <v>0.158333333333333</v>
      </c>
      <c r="K132" s="32" t="n">
        <f aca="false">0</f>
        <v>0</v>
      </c>
      <c r="L132" s="33" t="n">
        <f aca="false">Controls!B35</f>
        <v>0</v>
      </c>
      <c r="M132" s="33" t="n">
        <f aca="false">Controls!B36</f>
        <v>0</v>
      </c>
      <c r="N132" s="32" t="str">
        <f aca="false">IF(M132&gt;0,"PAID","HELD")</f>
        <v>HELD</v>
      </c>
    </row>
    <row r="133" customFormat="false" ht="15" hidden="false" customHeight="false" outlineLevel="0" collapsed="false">
      <c r="A133" s="19" t="str">
        <f aca="false">"PAY-"&amp;B133&amp;"-BREAK"</f>
        <v>PAY-RIG-CT-REC-BREAK</v>
      </c>
      <c r="B133" s="19" t="str">
        <f aca="false">'Object Crosswalk'!A38</f>
        <v>RIG-CT-REC</v>
      </c>
      <c r="C133" s="19" t="str">
        <f aca="false">'Object Crosswalk'!B38</f>
        <v>Root-native rig</v>
      </c>
      <c r="D133" s="19" t="str">
        <f aca="false">'Object Crosswalk'!C38</f>
        <v>Public</v>
      </c>
      <c r="E133" s="19" t="str">
        <f aca="false">'Object Crosswalk'!D38</f>
        <v>MS-CT</v>
      </c>
      <c r="F133" s="19" t="str">
        <f aca="false">'Object Crosswalk'!E38</f>
        <v>CT-C</v>
      </c>
      <c r="G133" s="9" t="s">
        <v>1209</v>
      </c>
      <c r="H133" s="41" t="n">
        <v>0</v>
      </c>
      <c r="I133" s="50" t="n">
        <f aca="false">'Object Crosswalk'!I38</f>
        <v>0.316666666666667</v>
      </c>
      <c r="J133" s="50" t="n">
        <f aca="false">H133*I133</f>
        <v>0</v>
      </c>
      <c r="K133" s="32" t="n">
        <f aca="false">0</f>
        <v>0</v>
      </c>
      <c r="L133" s="33" t="n">
        <f aca="false">Controls!B35</f>
        <v>0</v>
      </c>
      <c r="M133" s="33" t="n">
        <f aca="false">Controls!B36</f>
        <v>0</v>
      </c>
      <c r="N133" s="32" t="str">
        <f aca="false">IF(M133&gt;0,"PAID","HELD")</f>
        <v>HELD</v>
      </c>
    </row>
    <row r="134" customFormat="false" ht="15" hidden="false" customHeight="false" outlineLevel="0" collapsed="false">
      <c r="A134" s="19" t="str">
        <f aca="false">"PAY-"&amp;B134&amp;"-TRANSFER"</f>
        <v>PAY-RIG-CT-REC-TRANSFER</v>
      </c>
      <c r="B134" s="19" t="str">
        <f aca="false">'Object Crosswalk'!A38</f>
        <v>RIG-CT-REC</v>
      </c>
      <c r="C134" s="19" t="str">
        <f aca="false">'Object Crosswalk'!B38</f>
        <v>Root-native rig</v>
      </c>
      <c r="D134" s="19" t="str">
        <f aca="false">'Object Crosswalk'!C38</f>
        <v>Public</v>
      </c>
      <c r="E134" s="19" t="str">
        <f aca="false">'Object Crosswalk'!D38</f>
        <v>MS-CT</v>
      </c>
      <c r="F134" s="19" t="str">
        <f aca="false">'Object Crosswalk'!E38</f>
        <v>CT-C</v>
      </c>
      <c r="G134" s="9" t="s">
        <v>1210</v>
      </c>
      <c r="H134" s="41" t="n">
        <v>0.25</v>
      </c>
      <c r="I134" s="50" t="n">
        <f aca="false">'Object Crosswalk'!I38</f>
        <v>0.316666666666667</v>
      </c>
      <c r="J134" s="50" t="n">
        <f aca="false">H134*I134</f>
        <v>0.0791666666666667</v>
      </c>
      <c r="K134" s="32" t="n">
        <f aca="false">0</f>
        <v>0</v>
      </c>
      <c r="L134" s="33" t="n">
        <f aca="false">Controls!B35</f>
        <v>0</v>
      </c>
      <c r="M134" s="33" t="n">
        <f aca="false">Controls!B36</f>
        <v>0</v>
      </c>
      <c r="N134" s="32" t="str">
        <f aca="false">IF(M134&gt;0,"PAID","HELD")</f>
        <v>HELD</v>
      </c>
    </row>
    <row r="135" customFormat="false" ht="15" hidden="false" customHeight="false" outlineLevel="0" collapsed="false">
      <c r="A135" s="19" t="str">
        <f aca="false">"PAY-"&amp;B135&amp;"-FRAME"</f>
        <v>PAY-MTH-CT-REC-L1-FRAME</v>
      </c>
      <c r="B135" s="19" t="str">
        <f aca="false">'Object Crosswalk'!A39</f>
        <v>MTH-CT-REC-L1</v>
      </c>
      <c r="C135" s="19" t="str">
        <f aca="false">'Object Crosswalk'!B39</f>
        <v>Method lineage</v>
      </c>
      <c r="D135" s="19" t="str">
        <f aca="false">'Object Crosswalk'!C39</f>
        <v>Public</v>
      </c>
      <c r="E135" s="19" t="str">
        <f aca="false">'Object Crosswalk'!D39</f>
        <v>MS-CT</v>
      </c>
      <c r="F135" s="19" t="str">
        <f aca="false">'Object Crosswalk'!E39</f>
        <v>CT-C</v>
      </c>
      <c r="G135" s="9" t="s">
        <v>543</v>
      </c>
      <c r="H135" s="41" t="n">
        <v>0.25</v>
      </c>
      <c r="I135" s="50" t="n">
        <f aca="false">'Object Crosswalk'!I39</f>
        <v>0.09</v>
      </c>
      <c r="J135" s="50" t="n">
        <f aca="false">H135*I135</f>
        <v>0.0225</v>
      </c>
      <c r="K135" s="32" t="n">
        <f aca="false">0</f>
        <v>0</v>
      </c>
      <c r="L135" s="33" t="n">
        <f aca="false">Controls!B35</f>
        <v>0</v>
      </c>
      <c r="M135" s="33" t="n">
        <f aca="false">Controls!B36</f>
        <v>0</v>
      </c>
      <c r="N135" s="32" t="str">
        <f aca="false">IF(M135&gt;0,"PAID","HELD")</f>
        <v>HELD</v>
      </c>
    </row>
    <row r="136" customFormat="false" ht="15" hidden="false" customHeight="false" outlineLevel="0" collapsed="false">
      <c r="A136" s="19" t="str">
        <f aca="false">"PAY-"&amp;B136&amp;"-MAKE"</f>
        <v>PAY-MTH-CT-REC-L1-MAKE</v>
      </c>
      <c r="B136" s="19" t="str">
        <f aca="false">'Object Crosswalk'!A39</f>
        <v>MTH-CT-REC-L1</v>
      </c>
      <c r="C136" s="19" t="str">
        <f aca="false">'Object Crosswalk'!B39</f>
        <v>Method lineage</v>
      </c>
      <c r="D136" s="19" t="str">
        <f aca="false">'Object Crosswalk'!C39</f>
        <v>Public</v>
      </c>
      <c r="E136" s="19" t="str">
        <f aca="false">'Object Crosswalk'!D39</f>
        <v>MS-CT</v>
      </c>
      <c r="F136" s="19" t="str">
        <f aca="false">'Object Crosswalk'!E39</f>
        <v>CT-C</v>
      </c>
      <c r="G136" s="9" t="s">
        <v>546</v>
      </c>
      <c r="H136" s="41" t="n">
        <v>0.5</v>
      </c>
      <c r="I136" s="50" t="n">
        <f aca="false">'Object Crosswalk'!I39</f>
        <v>0.09</v>
      </c>
      <c r="J136" s="50" t="n">
        <f aca="false">H136*I136</f>
        <v>0.045</v>
      </c>
      <c r="K136" s="32" t="n">
        <f aca="false">0</f>
        <v>0</v>
      </c>
      <c r="L136" s="33" t="n">
        <f aca="false">Controls!B35</f>
        <v>0</v>
      </c>
      <c r="M136" s="33" t="n">
        <f aca="false">Controls!B36</f>
        <v>0</v>
      </c>
      <c r="N136" s="32" t="str">
        <f aca="false">IF(M136&gt;0,"PAID","HELD")</f>
        <v>HELD</v>
      </c>
    </row>
    <row r="137" customFormat="false" ht="15" hidden="false" customHeight="false" outlineLevel="0" collapsed="false">
      <c r="A137" s="19" t="str">
        <f aca="false">"PAY-"&amp;B137&amp;"-BREAK"</f>
        <v>PAY-MTH-CT-REC-L1-BREAK</v>
      </c>
      <c r="B137" s="19" t="str">
        <f aca="false">'Object Crosswalk'!A39</f>
        <v>MTH-CT-REC-L1</v>
      </c>
      <c r="C137" s="19" t="str">
        <f aca="false">'Object Crosswalk'!B39</f>
        <v>Method lineage</v>
      </c>
      <c r="D137" s="19" t="str">
        <f aca="false">'Object Crosswalk'!C39</f>
        <v>Public</v>
      </c>
      <c r="E137" s="19" t="str">
        <f aca="false">'Object Crosswalk'!D39</f>
        <v>MS-CT</v>
      </c>
      <c r="F137" s="19" t="str">
        <f aca="false">'Object Crosswalk'!E39</f>
        <v>CT-C</v>
      </c>
      <c r="G137" s="9" t="s">
        <v>1209</v>
      </c>
      <c r="H137" s="41" t="n">
        <v>0</v>
      </c>
      <c r="I137" s="50" t="n">
        <f aca="false">'Object Crosswalk'!I39</f>
        <v>0.09</v>
      </c>
      <c r="J137" s="50" t="n">
        <f aca="false">H137*I137</f>
        <v>0</v>
      </c>
      <c r="K137" s="32" t="n">
        <f aca="false">0</f>
        <v>0</v>
      </c>
      <c r="L137" s="33" t="n">
        <f aca="false">Controls!B35</f>
        <v>0</v>
      </c>
      <c r="M137" s="33" t="n">
        <f aca="false">Controls!B36</f>
        <v>0</v>
      </c>
      <c r="N137" s="32" t="str">
        <f aca="false">IF(M137&gt;0,"PAID","HELD")</f>
        <v>HELD</v>
      </c>
    </row>
    <row r="138" customFormat="false" ht="15" hidden="false" customHeight="false" outlineLevel="0" collapsed="false">
      <c r="A138" s="19" t="str">
        <f aca="false">"PAY-"&amp;B138&amp;"-TRANSFER"</f>
        <v>PAY-MTH-CT-REC-L1-TRANSFER</v>
      </c>
      <c r="B138" s="19" t="str">
        <f aca="false">'Object Crosswalk'!A39</f>
        <v>MTH-CT-REC-L1</v>
      </c>
      <c r="C138" s="19" t="str">
        <f aca="false">'Object Crosswalk'!B39</f>
        <v>Method lineage</v>
      </c>
      <c r="D138" s="19" t="str">
        <f aca="false">'Object Crosswalk'!C39</f>
        <v>Public</v>
      </c>
      <c r="E138" s="19" t="str">
        <f aca="false">'Object Crosswalk'!D39</f>
        <v>MS-CT</v>
      </c>
      <c r="F138" s="19" t="str">
        <f aca="false">'Object Crosswalk'!E39</f>
        <v>CT-C</v>
      </c>
      <c r="G138" s="9" t="s">
        <v>1210</v>
      </c>
      <c r="H138" s="41" t="n">
        <v>0.25</v>
      </c>
      <c r="I138" s="50" t="n">
        <f aca="false">'Object Crosswalk'!I39</f>
        <v>0.09</v>
      </c>
      <c r="J138" s="50" t="n">
        <f aca="false">H138*I138</f>
        <v>0.0225</v>
      </c>
      <c r="K138" s="32" t="n">
        <f aca="false">0</f>
        <v>0</v>
      </c>
      <c r="L138" s="33" t="n">
        <f aca="false">Controls!B35</f>
        <v>0</v>
      </c>
      <c r="M138" s="33" t="n">
        <f aca="false">Controls!B36</f>
        <v>0</v>
      </c>
      <c r="N138" s="32" t="str">
        <f aca="false">IF(M138&gt;0,"PAID","HELD")</f>
        <v>HELD</v>
      </c>
    </row>
    <row r="139" customFormat="false" ht="15" hidden="false" customHeight="false" outlineLevel="0" collapsed="false">
      <c r="A139" s="19" t="str">
        <f aca="false">"PAY-"&amp;B139&amp;"-FRAME"</f>
        <v>PAY-MTH-CT-REC-L2-FRAME</v>
      </c>
      <c r="B139" s="19" t="str">
        <f aca="false">'Object Crosswalk'!A40</f>
        <v>MTH-CT-REC-L2</v>
      </c>
      <c r="C139" s="19" t="str">
        <f aca="false">'Object Crosswalk'!B40</f>
        <v>Method lineage</v>
      </c>
      <c r="D139" s="19" t="str">
        <f aca="false">'Object Crosswalk'!C40</f>
        <v>Public</v>
      </c>
      <c r="E139" s="19" t="str">
        <f aca="false">'Object Crosswalk'!D40</f>
        <v>MS-CT</v>
      </c>
      <c r="F139" s="19" t="str">
        <f aca="false">'Object Crosswalk'!E40</f>
        <v>CT-C</v>
      </c>
      <c r="G139" s="9" t="s">
        <v>543</v>
      </c>
      <c r="H139" s="41" t="n">
        <v>0.25</v>
      </c>
      <c r="I139" s="50" t="n">
        <f aca="false">'Object Crosswalk'!I40</f>
        <v>0.09</v>
      </c>
      <c r="J139" s="50" t="n">
        <f aca="false">H139*I139</f>
        <v>0.0225</v>
      </c>
      <c r="K139" s="32" t="n">
        <f aca="false">0</f>
        <v>0</v>
      </c>
      <c r="L139" s="33" t="n">
        <f aca="false">Controls!B35</f>
        <v>0</v>
      </c>
      <c r="M139" s="33" t="n">
        <f aca="false">Controls!B36</f>
        <v>0</v>
      </c>
      <c r="N139" s="32" t="str">
        <f aca="false">IF(M139&gt;0,"PAID","HELD")</f>
        <v>HELD</v>
      </c>
    </row>
    <row r="140" customFormat="false" ht="15" hidden="false" customHeight="false" outlineLevel="0" collapsed="false">
      <c r="A140" s="19" t="str">
        <f aca="false">"PAY-"&amp;B140&amp;"-MAKE"</f>
        <v>PAY-MTH-CT-REC-L2-MAKE</v>
      </c>
      <c r="B140" s="19" t="str">
        <f aca="false">'Object Crosswalk'!A40</f>
        <v>MTH-CT-REC-L2</v>
      </c>
      <c r="C140" s="19" t="str">
        <f aca="false">'Object Crosswalk'!B40</f>
        <v>Method lineage</v>
      </c>
      <c r="D140" s="19" t="str">
        <f aca="false">'Object Crosswalk'!C40</f>
        <v>Public</v>
      </c>
      <c r="E140" s="19" t="str">
        <f aca="false">'Object Crosswalk'!D40</f>
        <v>MS-CT</v>
      </c>
      <c r="F140" s="19" t="str">
        <f aca="false">'Object Crosswalk'!E40</f>
        <v>CT-C</v>
      </c>
      <c r="G140" s="9" t="s">
        <v>546</v>
      </c>
      <c r="H140" s="41" t="n">
        <v>0.5</v>
      </c>
      <c r="I140" s="50" t="n">
        <f aca="false">'Object Crosswalk'!I40</f>
        <v>0.09</v>
      </c>
      <c r="J140" s="50" t="n">
        <f aca="false">H140*I140</f>
        <v>0.045</v>
      </c>
      <c r="K140" s="32" t="n">
        <f aca="false">0</f>
        <v>0</v>
      </c>
      <c r="L140" s="33" t="n">
        <f aca="false">Controls!B35</f>
        <v>0</v>
      </c>
      <c r="M140" s="33" t="n">
        <f aca="false">Controls!B36</f>
        <v>0</v>
      </c>
      <c r="N140" s="32" t="str">
        <f aca="false">IF(M140&gt;0,"PAID","HELD")</f>
        <v>HELD</v>
      </c>
    </row>
    <row r="141" customFormat="false" ht="15" hidden="false" customHeight="false" outlineLevel="0" collapsed="false">
      <c r="A141" s="19" t="str">
        <f aca="false">"PAY-"&amp;B141&amp;"-BREAK"</f>
        <v>PAY-MTH-CT-REC-L2-BREAK</v>
      </c>
      <c r="B141" s="19" t="str">
        <f aca="false">'Object Crosswalk'!A40</f>
        <v>MTH-CT-REC-L2</v>
      </c>
      <c r="C141" s="19" t="str">
        <f aca="false">'Object Crosswalk'!B40</f>
        <v>Method lineage</v>
      </c>
      <c r="D141" s="19" t="str">
        <f aca="false">'Object Crosswalk'!C40</f>
        <v>Public</v>
      </c>
      <c r="E141" s="19" t="str">
        <f aca="false">'Object Crosswalk'!D40</f>
        <v>MS-CT</v>
      </c>
      <c r="F141" s="19" t="str">
        <f aca="false">'Object Crosswalk'!E40</f>
        <v>CT-C</v>
      </c>
      <c r="G141" s="9" t="s">
        <v>1209</v>
      </c>
      <c r="H141" s="41" t="n">
        <v>0</v>
      </c>
      <c r="I141" s="50" t="n">
        <f aca="false">'Object Crosswalk'!I40</f>
        <v>0.09</v>
      </c>
      <c r="J141" s="50" t="n">
        <f aca="false">H141*I141</f>
        <v>0</v>
      </c>
      <c r="K141" s="32" t="n">
        <f aca="false">0</f>
        <v>0</v>
      </c>
      <c r="L141" s="33" t="n">
        <f aca="false">Controls!B35</f>
        <v>0</v>
      </c>
      <c r="M141" s="33" t="n">
        <f aca="false">Controls!B36</f>
        <v>0</v>
      </c>
      <c r="N141" s="32" t="str">
        <f aca="false">IF(M141&gt;0,"PAID","HELD")</f>
        <v>HELD</v>
      </c>
    </row>
    <row r="142" customFormat="false" ht="15" hidden="false" customHeight="false" outlineLevel="0" collapsed="false">
      <c r="A142" s="19" t="str">
        <f aca="false">"PAY-"&amp;B142&amp;"-TRANSFER"</f>
        <v>PAY-MTH-CT-REC-L2-TRANSFER</v>
      </c>
      <c r="B142" s="19" t="str">
        <f aca="false">'Object Crosswalk'!A40</f>
        <v>MTH-CT-REC-L2</v>
      </c>
      <c r="C142" s="19" t="str">
        <f aca="false">'Object Crosswalk'!B40</f>
        <v>Method lineage</v>
      </c>
      <c r="D142" s="19" t="str">
        <f aca="false">'Object Crosswalk'!C40</f>
        <v>Public</v>
      </c>
      <c r="E142" s="19" t="str">
        <f aca="false">'Object Crosswalk'!D40</f>
        <v>MS-CT</v>
      </c>
      <c r="F142" s="19" t="str">
        <f aca="false">'Object Crosswalk'!E40</f>
        <v>CT-C</v>
      </c>
      <c r="G142" s="9" t="s">
        <v>1210</v>
      </c>
      <c r="H142" s="41" t="n">
        <v>0.25</v>
      </c>
      <c r="I142" s="50" t="n">
        <f aca="false">'Object Crosswalk'!I40</f>
        <v>0.09</v>
      </c>
      <c r="J142" s="50" t="n">
        <f aca="false">H142*I142</f>
        <v>0.0225</v>
      </c>
      <c r="K142" s="32" t="n">
        <f aca="false">0</f>
        <v>0</v>
      </c>
      <c r="L142" s="33" t="n">
        <f aca="false">Controls!B35</f>
        <v>0</v>
      </c>
      <c r="M142" s="33" t="n">
        <f aca="false">Controls!B36</f>
        <v>0</v>
      </c>
      <c r="N142" s="32" t="str">
        <f aca="false">IF(M142&gt;0,"PAID","HELD")</f>
        <v>HELD</v>
      </c>
    </row>
    <row r="143" customFormat="false" ht="15" hidden="false" customHeight="false" outlineLevel="0" collapsed="false">
      <c r="A143" s="19" t="str">
        <f aca="false">"PAY-"&amp;B143&amp;"-FRAME"</f>
        <v>PAY-REG-CT-REC-FRAME</v>
      </c>
      <c r="B143" s="19" t="str">
        <f aca="false">'Object Crosswalk'!A41</f>
        <v>REG-CT-REC</v>
      </c>
      <c r="C143" s="19" t="str">
        <f aca="false">'Object Crosswalk'!B41</f>
        <v>Regeneration tool</v>
      </c>
      <c r="D143" s="19" t="str">
        <f aca="false">'Object Crosswalk'!C41</f>
        <v>Public</v>
      </c>
      <c r="E143" s="19" t="str">
        <f aca="false">'Object Crosswalk'!D41</f>
        <v>MS-CT</v>
      </c>
      <c r="F143" s="19" t="str">
        <f aca="false">'Object Crosswalk'!E41</f>
        <v>CT-C</v>
      </c>
      <c r="G143" s="9" t="s">
        <v>543</v>
      </c>
      <c r="H143" s="41" t="n">
        <v>0.25</v>
      </c>
      <c r="I143" s="50" t="n">
        <f aca="false">'Object Crosswalk'!I41</f>
        <v>0.0666666666666667</v>
      </c>
      <c r="J143" s="50" t="n">
        <f aca="false">H143*I143</f>
        <v>0.0166666666666667</v>
      </c>
      <c r="K143" s="32" t="n">
        <f aca="false">0</f>
        <v>0</v>
      </c>
      <c r="L143" s="33" t="n">
        <f aca="false">Controls!B35</f>
        <v>0</v>
      </c>
      <c r="M143" s="33" t="n">
        <f aca="false">Controls!B36</f>
        <v>0</v>
      </c>
      <c r="N143" s="32" t="str">
        <f aca="false">IF(M143&gt;0,"PAID","HELD")</f>
        <v>HELD</v>
      </c>
    </row>
    <row r="144" customFormat="false" ht="15" hidden="false" customHeight="false" outlineLevel="0" collapsed="false">
      <c r="A144" s="19" t="str">
        <f aca="false">"PAY-"&amp;B144&amp;"-MAKE"</f>
        <v>PAY-REG-CT-REC-MAKE</v>
      </c>
      <c r="B144" s="19" t="str">
        <f aca="false">'Object Crosswalk'!A41</f>
        <v>REG-CT-REC</v>
      </c>
      <c r="C144" s="19" t="str">
        <f aca="false">'Object Crosswalk'!B41</f>
        <v>Regeneration tool</v>
      </c>
      <c r="D144" s="19" t="str">
        <f aca="false">'Object Crosswalk'!C41</f>
        <v>Public</v>
      </c>
      <c r="E144" s="19" t="str">
        <f aca="false">'Object Crosswalk'!D41</f>
        <v>MS-CT</v>
      </c>
      <c r="F144" s="19" t="str">
        <f aca="false">'Object Crosswalk'!E41</f>
        <v>CT-C</v>
      </c>
      <c r="G144" s="9" t="s">
        <v>546</v>
      </c>
      <c r="H144" s="41" t="n">
        <v>0.5</v>
      </c>
      <c r="I144" s="50" t="n">
        <f aca="false">'Object Crosswalk'!I41</f>
        <v>0.0666666666666667</v>
      </c>
      <c r="J144" s="50" t="n">
        <f aca="false">H144*I144</f>
        <v>0.0333333333333333</v>
      </c>
      <c r="K144" s="32" t="n">
        <f aca="false">0</f>
        <v>0</v>
      </c>
      <c r="L144" s="33" t="n">
        <f aca="false">Controls!B35</f>
        <v>0</v>
      </c>
      <c r="M144" s="33" t="n">
        <f aca="false">Controls!B36</f>
        <v>0</v>
      </c>
      <c r="N144" s="32" t="str">
        <f aca="false">IF(M144&gt;0,"PAID","HELD")</f>
        <v>HELD</v>
      </c>
    </row>
    <row r="145" customFormat="false" ht="15" hidden="false" customHeight="false" outlineLevel="0" collapsed="false">
      <c r="A145" s="19" t="str">
        <f aca="false">"PAY-"&amp;B145&amp;"-BREAK"</f>
        <v>PAY-REG-CT-REC-BREAK</v>
      </c>
      <c r="B145" s="19" t="str">
        <f aca="false">'Object Crosswalk'!A41</f>
        <v>REG-CT-REC</v>
      </c>
      <c r="C145" s="19" t="str">
        <f aca="false">'Object Crosswalk'!B41</f>
        <v>Regeneration tool</v>
      </c>
      <c r="D145" s="19" t="str">
        <f aca="false">'Object Crosswalk'!C41</f>
        <v>Public</v>
      </c>
      <c r="E145" s="19" t="str">
        <f aca="false">'Object Crosswalk'!D41</f>
        <v>MS-CT</v>
      </c>
      <c r="F145" s="19" t="str">
        <f aca="false">'Object Crosswalk'!E41</f>
        <v>CT-C</v>
      </c>
      <c r="G145" s="9" t="s">
        <v>1209</v>
      </c>
      <c r="H145" s="41" t="n">
        <v>0</v>
      </c>
      <c r="I145" s="50" t="n">
        <f aca="false">'Object Crosswalk'!I41</f>
        <v>0.0666666666666667</v>
      </c>
      <c r="J145" s="50" t="n">
        <f aca="false">H145*I145</f>
        <v>0</v>
      </c>
      <c r="K145" s="32" t="n">
        <f aca="false">0</f>
        <v>0</v>
      </c>
      <c r="L145" s="33" t="n">
        <f aca="false">Controls!B35</f>
        <v>0</v>
      </c>
      <c r="M145" s="33" t="n">
        <f aca="false">Controls!B36</f>
        <v>0</v>
      </c>
      <c r="N145" s="32" t="str">
        <f aca="false">IF(M145&gt;0,"PAID","HELD")</f>
        <v>HELD</v>
      </c>
    </row>
    <row r="146" customFormat="false" ht="15" hidden="false" customHeight="false" outlineLevel="0" collapsed="false">
      <c r="A146" s="19" t="str">
        <f aca="false">"PAY-"&amp;B146&amp;"-TRANSFER"</f>
        <v>PAY-REG-CT-REC-TRANSFER</v>
      </c>
      <c r="B146" s="19" t="str">
        <f aca="false">'Object Crosswalk'!A41</f>
        <v>REG-CT-REC</v>
      </c>
      <c r="C146" s="19" t="str">
        <f aca="false">'Object Crosswalk'!B41</f>
        <v>Regeneration tool</v>
      </c>
      <c r="D146" s="19" t="str">
        <f aca="false">'Object Crosswalk'!C41</f>
        <v>Public</v>
      </c>
      <c r="E146" s="19" t="str">
        <f aca="false">'Object Crosswalk'!D41</f>
        <v>MS-CT</v>
      </c>
      <c r="F146" s="19" t="str">
        <f aca="false">'Object Crosswalk'!E41</f>
        <v>CT-C</v>
      </c>
      <c r="G146" s="9" t="s">
        <v>1210</v>
      </c>
      <c r="H146" s="41" t="n">
        <v>0.25</v>
      </c>
      <c r="I146" s="50" t="n">
        <f aca="false">'Object Crosswalk'!I41</f>
        <v>0.0666666666666667</v>
      </c>
      <c r="J146" s="50" t="n">
        <f aca="false">H146*I146</f>
        <v>0.0166666666666667</v>
      </c>
      <c r="K146" s="32" t="n">
        <f aca="false">0</f>
        <v>0</v>
      </c>
      <c r="L146" s="33" t="n">
        <f aca="false">Controls!B35</f>
        <v>0</v>
      </c>
      <c r="M146" s="33" t="n">
        <f aca="false">Controls!B36</f>
        <v>0</v>
      </c>
      <c r="N146" s="32" t="str">
        <f aca="false">IF(M146&gt;0,"PAID","HELD")</f>
        <v>HELD</v>
      </c>
    </row>
    <row r="147" customFormat="false" ht="15" hidden="false" customHeight="false" outlineLevel="0" collapsed="false">
      <c r="A147" s="19" t="str">
        <f aca="false">"PAY-"&amp;B147&amp;"-FRAME"</f>
        <v>PAY-INT-CT-REC-FRAME</v>
      </c>
      <c r="B147" s="19" t="str">
        <f aca="false">'Object Crosswalk'!A42</f>
        <v>INT-CT-REC</v>
      </c>
      <c r="C147" s="19" t="str">
        <f aca="false">'Object Crosswalk'!B42</f>
        <v>Station integration</v>
      </c>
      <c r="D147" s="19" t="str">
        <f aca="false">'Object Crosswalk'!C42</f>
        <v>Public</v>
      </c>
      <c r="E147" s="19" t="str">
        <f aca="false">'Object Crosswalk'!D42</f>
        <v>MS-CT</v>
      </c>
      <c r="F147" s="19" t="str">
        <f aca="false">'Object Crosswalk'!E42</f>
        <v>CT-C</v>
      </c>
      <c r="G147" s="9" t="s">
        <v>543</v>
      </c>
      <c r="H147" s="41" t="n">
        <v>0.25</v>
      </c>
      <c r="I147" s="50" t="n">
        <f aca="false">'Object Crosswalk'!I42</f>
        <v>0.0633333333333333</v>
      </c>
      <c r="J147" s="50" t="n">
        <f aca="false">H147*I147</f>
        <v>0.0158333333333333</v>
      </c>
      <c r="K147" s="32" t="n">
        <f aca="false">0</f>
        <v>0</v>
      </c>
      <c r="L147" s="33" t="n">
        <f aca="false">Controls!B35</f>
        <v>0</v>
      </c>
      <c r="M147" s="33" t="n">
        <f aca="false">Controls!B36</f>
        <v>0</v>
      </c>
      <c r="N147" s="32" t="str">
        <f aca="false">IF(M147&gt;0,"PAID","HELD")</f>
        <v>HELD</v>
      </c>
    </row>
    <row r="148" customFormat="false" ht="15" hidden="false" customHeight="false" outlineLevel="0" collapsed="false">
      <c r="A148" s="19" t="str">
        <f aca="false">"PAY-"&amp;B148&amp;"-MAKE"</f>
        <v>PAY-INT-CT-REC-MAKE</v>
      </c>
      <c r="B148" s="19" t="str">
        <f aca="false">'Object Crosswalk'!A42</f>
        <v>INT-CT-REC</v>
      </c>
      <c r="C148" s="19" t="str">
        <f aca="false">'Object Crosswalk'!B42</f>
        <v>Station integration</v>
      </c>
      <c r="D148" s="19" t="str">
        <f aca="false">'Object Crosswalk'!C42</f>
        <v>Public</v>
      </c>
      <c r="E148" s="19" t="str">
        <f aca="false">'Object Crosswalk'!D42</f>
        <v>MS-CT</v>
      </c>
      <c r="F148" s="19" t="str">
        <f aca="false">'Object Crosswalk'!E42</f>
        <v>CT-C</v>
      </c>
      <c r="G148" s="9" t="s">
        <v>546</v>
      </c>
      <c r="H148" s="41" t="n">
        <v>0.5</v>
      </c>
      <c r="I148" s="50" t="n">
        <f aca="false">'Object Crosswalk'!I42</f>
        <v>0.0633333333333333</v>
      </c>
      <c r="J148" s="50" t="n">
        <f aca="false">H148*I148</f>
        <v>0.0316666666666667</v>
      </c>
      <c r="K148" s="32" t="n">
        <f aca="false">0</f>
        <v>0</v>
      </c>
      <c r="L148" s="33" t="n">
        <f aca="false">Controls!B35</f>
        <v>0</v>
      </c>
      <c r="M148" s="33" t="n">
        <f aca="false">Controls!B36</f>
        <v>0</v>
      </c>
      <c r="N148" s="32" t="str">
        <f aca="false">IF(M148&gt;0,"PAID","HELD")</f>
        <v>HELD</v>
      </c>
    </row>
    <row r="149" customFormat="false" ht="15" hidden="false" customHeight="false" outlineLevel="0" collapsed="false">
      <c r="A149" s="19" t="str">
        <f aca="false">"PAY-"&amp;B149&amp;"-BREAK"</f>
        <v>PAY-INT-CT-REC-BREAK</v>
      </c>
      <c r="B149" s="19" t="str">
        <f aca="false">'Object Crosswalk'!A42</f>
        <v>INT-CT-REC</v>
      </c>
      <c r="C149" s="19" t="str">
        <f aca="false">'Object Crosswalk'!B42</f>
        <v>Station integration</v>
      </c>
      <c r="D149" s="19" t="str">
        <f aca="false">'Object Crosswalk'!C42</f>
        <v>Public</v>
      </c>
      <c r="E149" s="19" t="str">
        <f aca="false">'Object Crosswalk'!D42</f>
        <v>MS-CT</v>
      </c>
      <c r="F149" s="19" t="str">
        <f aca="false">'Object Crosswalk'!E42</f>
        <v>CT-C</v>
      </c>
      <c r="G149" s="9" t="s">
        <v>1209</v>
      </c>
      <c r="H149" s="41" t="n">
        <v>0</v>
      </c>
      <c r="I149" s="50" t="n">
        <f aca="false">'Object Crosswalk'!I42</f>
        <v>0.0633333333333333</v>
      </c>
      <c r="J149" s="50" t="n">
        <f aca="false">H149*I149</f>
        <v>0</v>
      </c>
      <c r="K149" s="32" t="n">
        <f aca="false">0</f>
        <v>0</v>
      </c>
      <c r="L149" s="33" t="n">
        <f aca="false">Controls!B35</f>
        <v>0</v>
      </c>
      <c r="M149" s="33" t="n">
        <f aca="false">Controls!B36</f>
        <v>0</v>
      </c>
      <c r="N149" s="32" t="str">
        <f aca="false">IF(M149&gt;0,"PAID","HELD")</f>
        <v>HELD</v>
      </c>
    </row>
    <row r="150" customFormat="false" ht="15" hidden="false" customHeight="false" outlineLevel="0" collapsed="false">
      <c r="A150" s="19" t="str">
        <f aca="false">"PAY-"&amp;B150&amp;"-TRANSFER"</f>
        <v>PAY-INT-CT-REC-TRANSFER</v>
      </c>
      <c r="B150" s="19" t="str">
        <f aca="false">'Object Crosswalk'!A42</f>
        <v>INT-CT-REC</v>
      </c>
      <c r="C150" s="19" t="str">
        <f aca="false">'Object Crosswalk'!B42</f>
        <v>Station integration</v>
      </c>
      <c r="D150" s="19" t="str">
        <f aca="false">'Object Crosswalk'!C42</f>
        <v>Public</v>
      </c>
      <c r="E150" s="19" t="str">
        <f aca="false">'Object Crosswalk'!D42</f>
        <v>MS-CT</v>
      </c>
      <c r="F150" s="19" t="str">
        <f aca="false">'Object Crosswalk'!E42</f>
        <v>CT-C</v>
      </c>
      <c r="G150" s="9" t="s">
        <v>1210</v>
      </c>
      <c r="H150" s="41" t="n">
        <v>0.25</v>
      </c>
      <c r="I150" s="50" t="n">
        <f aca="false">'Object Crosswalk'!I42</f>
        <v>0.0633333333333333</v>
      </c>
      <c r="J150" s="50" t="n">
        <f aca="false">H150*I150</f>
        <v>0.0158333333333333</v>
      </c>
      <c r="K150" s="32" t="n">
        <f aca="false">0</f>
        <v>0</v>
      </c>
      <c r="L150" s="33" t="n">
        <f aca="false">Controls!B35</f>
        <v>0</v>
      </c>
      <c r="M150" s="33" t="n">
        <f aca="false">Controls!B36</f>
        <v>0</v>
      </c>
      <c r="N150" s="32" t="str">
        <f aca="false">IF(M150&gt;0,"PAID","HELD")</f>
        <v>HELD</v>
      </c>
    </row>
    <row r="151" customFormat="false" ht="15" hidden="false" customHeight="false" outlineLevel="0" collapsed="false">
      <c r="A151" s="19" t="str">
        <f aca="false">"PAY-"&amp;B151&amp;"-FRAME"</f>
        <v>PAY-RIG-HC-CHA-FRAME</v>
      </c>
      <c r="B151" s="19" t="str">
        <f aca="false">'Object Crosswalk'!A43</f>
        <v>RIG-HC-CHA</v>
      </c>
      <c r="C151" s="19" t="str">
        <f aca="false">'Object Crosswalk'!B43</f>
        <v>Root-native rig</v>
      </c>
      <c r="D151" s="19" t="str">
        <f aca="false">'Object Crosswalk'!C43</f>
        <v>Public</v>
      </c>
      <c r="E151" s="19" t="str">
        <f aca="false">'Object Crosswalk'!D43</f>
        <v>MS-HC</v>
      </c>
      <c r="F151" s="19" t="str">
        <f aca="false">'Object Crosswalk'!E43</f>
        <v>HC-A</v>
      </c>
      <c r="G151" s="9" t="s">
        <v>543</v>
      </c>
      <c r="H151" s="41" t="n">
        <v>0.25</v>
      </c>
      <c r="I151" s="50" t="n">
        <f aca="false">'Object Crosswalk'!I43</f>
        <v>0.316666666666667</v>
      </c>
      <c r="J151" s="50" t="n">
        <f aca="false">H151*I151</f>
        <v>0.0791666666666667</v>
      </c>
      <c r="K151" s="32" t="n">
        <f aca="false">0</f>
        <v>0</v>
      </c>
      <c r="L151" s="33" t="n">
        <f aca="false">Controls!B35</f>
        <v>0</v>
      </c>
      <c r="M151" s="33" t="n">
        <f aca="false">Controls!B36</f>
        <v>0</v>
      </c>
      <c r="N151" s="32" t="str">
        <f aca="false">IF(M151&gt;0,"PAID","HELD")</f>
        <v>HELD</v>
      </c>
    </row>
    <row r="152" customFormat="false" ht="15" hidden="false" customHeight="false" outlineLevel="0" collapsed="false">
      <c r="A152" s="19" t="str">
        <f aca="false">"PAY-"&amp;B152&amp;"-MAKE"</f>
        <v>PAY-RIG-HC-CHA-MAKE</v>
      </c>
      <c r="B152" s="19" t="str">
        <f aca="false">'Object Crosswalk'!A43</f>
        <v>RIG-HC-CHA</v>
      </c>
      <c r="C152" s="19" t="str">
        <f aca="false">'Object Crosswalk'!B43</f>
        <v>Root-native rig</v>
      </c>
      <c r="D152" s="19" t="str">
        <f aca="false">'Object Crosswalk'!C43</f>
        <v>Public</v>
      </c>
      <c r="E152" s="19" t="str">
        <f aca="false">'Object Crosswalk'!D43</f>
        <v>MS-HC</v>
      </c>
      <c r="F152" s="19" t="str">
        <f aca="false">'Object Crosswalk'!E43</f>
        <v>HC-A</v>
      </c>
      <c r="G152" s="9" t="s">
        <v>546</v>
      </c>
      <c r="H152" s="41" t="n">
        <v>0.5</v>
      </c>
      <c r="I152" s="50" t="n">
        <f aca="false">'Object Crosswalk'!I43</f>
        <v>0.316666666666667</v>
      </c>
      <c r="J152" s="50" t="n">
        <f aca="false">H152*I152</f>
        <v>0.158333333333333</v>
      </c>
      <c r="K152" s="32" t="n">
        <f aca="false">0</f>
        <v>0</v>
      </c>
      <c r="L152" s="33" t="n">
        <f aca="false">Controls!B35</f>
        <v>0</v>
      </c>
      <c r="M152" s="33" t="n">
        <f aca="false">Controls!B36</f>
        <v>0</v>
      </c>
      <c r="N152" s="32" t="str">
        <f aca="false">IF(M152&gt;0,"PAID","HELD")</f>
        <v>HELD</v>
      </c>
    </row>
    <row r="153" customFormat="false" ht="15" hidden="false" customHeight="false" outlineLevel="0" collapsed="false">
      <c r="A153" s="19" t="str">
        <f aca="false">"PAY-"&amp;B153&amp;"-BREAK"</f>
        <v>PAY-RIG-HC-CHA-BREAK</v>
      </c>
      <c r="B153" s="19" t="str">
        <f aca="false">'Object Crosswalk'!A43</f>
        <v>RIG-HC-CHA</v>
      </c>
      <c r="C153" s="19" t="str">
        <f aca="false">'Object Crosswalk'!B43</f>
        <v>Root-native rig</v>
      </c>
      <c r="D153" s="19" t="str">
        <f aca="false">'Object Crosswalk'!C43</f>
        <v>Public</v>
      </c>
      <c r="E153" s="19" t="str">
        <f aca="false">'Object Crosswalk'!D43</f>
        <v>MS-HC</v>
      </c>
      <c r="F153" s="19" t="str">
        <f aca="false">'Object Crosswalk'!E43</f>
        <v>HC-A</v>
      </c>
      <c r="G153" s="9" t="s">
        <v>1209</v>
      </c>
      <c r="H153" s="41" t="n">
        <v>0</v>
      </c>
      <c r="I153" s="50" t="n">
        <f aca="false">'Object Crosswalk'!I43</f>
        <v>0.316666666666667</v>
      </c>
      <c r="J153" s="50" t="n">
        <f aca="false">H153*I153</f>
        <v>0</v>
      </c>
      <c r="K153" s="32" t="n">
        <f aca="false">0</f>
        <v>0</v>
      </c>
      <c r="L153" s="33" t="n">
        <f aca="false">Controls!B35</f>
        <v>0</v>
      </c>
      <c r="M153" s="33" t="n">
        <f aca="false">Controls!B36</f>
        <v>0</v>
      </c>
      <c r="N153" s="32" t="str">
        <f aca="false">IF(M153&gt;0,"PAID","HELD")</f>
        <v>HELD</v>
      </c>
    </row>
    <row r="154" customFormat="false" ht="15" hidden="false" customHeight="false" outlineLevel="0" collapsed="false">
      <c r="A154" s="19" t="str">
        <f aca="false">"PAY-"&amp;B154&amp;"-TRANSFER"</f>
        <v>PAY-RIG-HC-CHA-TRANSFER</v>
      </c>
      <c r="B154" s="19" t="str">
        <f aca="false">'Object Crosswalk'!A43</f>
        <v>RIG-HC-CHA</v>
      </c>
      <c r="C154" s="19" t="str">
        <f aca="false">'Object Crosswalk'!B43</f>
        <v>Root-native rig</v>
      </c>
      <c r="D154" s="19" t="str">
        <f aca="false">'Object Crosswalk'!C43</f>
        <v>Public</v>
      </c>
      <c r="E154" s="19" t="str">
        <f aca="false">'Object Crosswalk'!D43</f>
        <v>MS-HC</v>
      </c>
      <c r="F154" s="19" t="str">
        <f aca="false">'Object Crosswalk'!E43</f>
        <v>HC-A</v>
      </c>
      <c r="G154" s="9" t="s">
        <v>1210</v>
      </c>
      <c r="H154" s="41" t="n">
        <v>0.25</v>
      </c>
      <c r="I154" s="50" t="n">
        <f aca="false">'Object Crosswalk'!I43</f>
        <v>0.316666666666667</v>
      </c>
      <c r="J154" s="50" t="n">
        <f aca="false">H154*I154</f>
        <v>0.0791666666666667</v>
      </c>
      <c r="K154" s="32" t="n">
        <f aca="false">0</f>
        <v>0</v>
      </c>
      <c r="L154" s="33" t="n">
        <f aca="false">Controls!B35</f>
        <v>0</v>
      </c>
      <c r="M154" s="33" t="n">
        <f aca="false">Controls!B36</f>
        <v>0</v>
      </c>
      <c r="N154" s="32" t="str">
        <f aca="false">IF(M154&gt;0,"PAID","HELD")</f>
        <v>HELD</v>
      </c>
    </row>
    <row r="155" customFormat="false" ht="15" hidden="false" customHeight="false" outlineLevel="0" collapsed="false">
      <c r="A155" s="19" t="str">
        <f aca="false">"PAY-"&amp;B155&amp;"-FRAME"</f>
        <v>PAY-MTH-HC-CHA-L1-FRAME</v>
      </c>
      <c r="B155" s="19" t="str">
        <f aca="false">'Object Crosswalk'!A44</f>
        <v>MTH-HC-CHA-L1</v>
      </c>
      <c r="C155" s="19" t="str">
        <f aca="false">'Object Crosswalk'!B44</f>
        <v>Method lineage</v>
      </c>
      <c r="D155" s="19" t="str">
        <f aca="false">'Object Crosswalk'!C44</f>
        <v>Public</v>
      </c>
      <c r="E155" s="19" t="str">
        <f aca="false">'Object Crosswalk'!D44</f>
        <v>MS-HC</v>
      </c>
      <c r="F155" s="19" t="str">
        <f aca="false">'Object Crosswalk'!E44</f>
        <v>HC-A</v>
      </c>
      <c r="G155" s="9" t="s">
        <v>543</v>
      </c>
      <c r="H155" s="41" t="n">
        <v>0.25</v>
      </c>
      <c r="I155" s="50" t="n">
        <f aca="false">'Object Crosswalk'!I44</f>
        <v>0.09</v>
      </c>
      <c r="J155" s="50" t="n">
        <f aca="false">H155*I155</f>
        <v>0.0225</v>
      </c>
      <c r="K155" s="32" t="n">
        <f aca="false">0</f>
        <v>0</v>
      </c>
      <c r="L155" s="33" t="n">
        <f aca="false">Controls!B35</f>
        <v>0</v>
      </c>
      <c r="M155" s="33" t="n">
        <f aca="false">Controls!B36</f>
        <v>0</v>
      </c>
      <c r="N155" s="32" t="str">
        <f aca="false">IF(M155&gt;0,"PAID","HELD")</f>
        <v>HELD</v>
      </c>
    </row>
    <row r="156" customFormat="false" ht="15" hidden="false" customHeight="false" outlineLevel="0" collapsed="false">
      <c r="A156" s="19" t="str">
        <f aca="false">"PAY-"&amp;B156&amp;"-MAKE"</f>
        <v>PAY-MTH-HC-CHA-L1-MAKE</v>
      </c>
      <c r="B156" s="19" t="str">
        <f aca="false">'Object Crosswalk'!A44</f>
        <v>MTH-HC-CHA-L1</v>
      </c>
      <c r="C156" s="19" t="str">
        <f aca="false">'Object Crosswalk'!B44</f>
        <v>Method lineage</v>
      </c>
      <c r="D156" s="19" t="str">
        <f aca="false">'Object Crosswalk'!C44</f>
        <v>Public</v>
      </c>
      <c r="E156" s="19" t="str">
        <f aca="false">'Object Crosswalk'!D44</f>
        <v>MS-HC</v>
      </c>
      <c r="F156" s="19" t="str">
        <f aca="false">'Object Crosswalk'!E44</f>
        <v>HC-A</v>
      </c>
      <c r="G156" s="9" t="s">
        <v>546</v>
      </c>
      <c r="H156" s="41" t="n">
        <v>0.5</v>
      </c>
      <c r="I156" s="50" t="n">
        <f aca="false">'Object Crosswalk'!I44</f>
        <v>0.09</v>
      </c>
      <c r="J156" s="50" t="n">
        <f aca="false">H156*I156</f>
        <v>0.045</v>
      </c>
      <c r="K156" s="32" t="n">
        <f aca="false">0</f>
        <v>0</v>
      </c>
      <c r="L156" s="33" t="n">
        <f aca="false">Controls!B35</f>
        <v>0</v>
      </c>
      <c r="M156" s="33" t="n">
        <f aca="false">Controls!B36</f>
        <v>0</v>
      </c>
      <c r="N156" s="32" t="str">
        <f aca="false">IF(M156&gt;0,"PAID","HELD")</f>
        <v>HELD</v>
      </c>
    </row>
    <row r="157" customFormat="false" ht="15" hidden="false" customHeight="false" outlineLevel="0" collapsed="false">
      <c r="A157" s="19" t="str">
        <f aca="false">"PAY-"&amp;B157&amp;"-BREAK"</f>
        <v>PAY-MTH-HC-CHA-L1-BREAK</v>
      </c>
      <c r="B157" s="19" t="str">
        <f aca="false">'Object Crosswalk'!A44</f>
        <v>MTH-HC-CHA-L1</v>
      </c>
      <c r="C157" s="19" t="str">
        <f aca="false">'Object Crosswalk'!B44</f>
        <v>Method lineage</v>
      </c>
      <c r="D157" s="19" t="str">
        <f aca="false">'Object Crosswalk'!C44</f>
        <v>Public</v>
      </c>
      <c r="E157" s="19" t="str">
        <f aca="false">'Object Crosswalk'!D44</f>
        <v>MS-HC</v>
      </c>
      <c r="F157" s="19" t="str">
        <f aca="false">'Object Crosswalk'!E44</f>
        <v>HC-A</v>
      </c>
      <c r="G157" s="9" t="s">
        <v>1209</v>
      </c>
      <c r="H157" s="41" t="n">
        <v>0</v>
      </c>
      <c r="I157" s="50" t="n">
        <f aca="false">'Object Crosswalk'!I44</f>
        <v>0.09</v>
      </c>
      <c r="J157" s="50" t="n">
        <f aca="false">H157*I157</f>
        <v>0</v>
      </c>
      <c r="K157" s="32" t="n">
        <f aca="false">0</f>
        <v>0</v>
      </c>
      <c r="L157" s="33" t="n">
        <f aca="false">Controls!B35</f>
        <v>0</v>
      </c>
      <c r="M157" s="33" t="n">
        <f aca="false">Controls!B36</f>
        <v>0</v>
      </c>
      <c r="N157" s="32" t="str">
        <f aca="false">IF(M157&gt;0,"PAID","HELD")</f>
        <v>HELD</v>
      </c>
    </row>
    <row r="158" customFormat="false" ht="15" hidden="false" customHeight="false" outlineLevel="0" collapsed="false">
      <c r="A158" s="19" t="str">
        <f aca="false">"PAY-"&amp;B158&amp;"-TRANSFER"</f>
        <v>PAY-MTH-HC-CHA-L1-TRANSFER</v>
      </c>
      <c r="B158" s="19" t="str">
        <f aca="false">'Object Crosswalk'!A44</f>
        <v>MTH-HC-CHA-L1</v>
      </c>
      <c r="C158" s="19" t="str">
        <f aca="false">'Object Crosswalk'!B44</f>
        <v>Method lineage</v>
      </c>
      <c r="D158" s="19" t="str">
        <f aca="false">'Object Crosswalk'!C44</f>
        <v>Public</v>
      </c>
      <c r="E158" s="19" t="str">
        <f aca="false">'Object Crosswalk'!D44</f>
        <v>MS-HC</v>
      </c>
      <c r="F158" s="19" t="str">
        <f aca="false">'Object Crosswalk'!E44</f>
        <v>HC-A</v>
      </c>
      <c r="G158" s="9" t="s">
        <v>1210</v>
      </c>
      <c r="H158" s="41" t="n">
        <v>0.25</v>
      </c>
      <c r="I158" s="50" t="n">
        <f aca="false">'Object Crosswalk'!I44</f>
        <v>0.09</v>
      </c>
      <c r="J158" s="50" t="n">
        <f aca="false">H158*I158</f>
        <v>0.0225</v>
      </c>
      <c r="K158" s="32" t="n">
        <f aca="false">0</f>
        <v>0</v>
      </c>
      <c r="L158" s="33" t="n">
        <f aca="false">Controls!B35</f>
        <v>0</v>
      </c>
      <c r="M158" s="33" t="n">
        <f aca="false">Controls!B36</f>
        <v>0</v>
      </c>
      <c r="N158" s="32" t="str">
        <f aca="false">IF(M158&gt;0,"PAID","HELD")</f>
        <v>HELD</v>
      </c>
    </row>
    <row r="159" customFormat="false" ht="15" hidden="false" customHeight="false" outlineLevel="0" collapsed="false">
      <c r="A159" s="19" t="str">
        <f aca="false">"PAY-"&amp;B159&amp;"-FRAME"</f>
        <v>PAY-MTH-HC-CHA-L2-FRAME</v>
      </c>
      <c r="B159" s="19" t="str">
        <f aca="false">'Object Crosswalk'!A45</f>
        <v>MTH-HC-CHA-L2</v>
      </c>
      <c r="C159" s="19" t="str">
        <f aca="false">'Object Crosswalk'!B45</f>
        <v>Method lineage</v>
      </c>
      <c r="D159" s="19" t="str">
        <f aca="false">'Object Crosswalk'!C45</f>
        <v>Public</v>
      </c>
      <c r="E159" s="19" t="str">
        <f aca="false">'Object Crosswalk'!D45</f>
        <v>MS-HC</v>
      </c>
      <c r="F159" s="19" t="str">
        <f aca="false">'Object Crosswalk'!E45</f>
        <v>HC-A</v>
      </c>
      <c r="G159" s="9" t="s">
        <v>543</v>
      </c>
      <c r="H159" s="41" t="n">
        <v>0.25</v>
      </c>
      <c r="I159" s="50" t="n">
        <f aca="false">'Object Crosswalk'!I45</f>
        <v>0.09</v>
      </c>
      <c r="J159" s="50" t="n">
        <f aca="false">H159*I159</f>
        <v>0.0225</v>
      </c>
      <c r="K159" s="32" t="n">
        <f aca="false">0</f>
        <v>0</v>
      </c>
      <c r="L159" s="33" t="n">
        <f aca="false">Controls!B35</f>
        <v>0</v>
      </c>
      <c r="M159" s="33" t="n">
        <f aca="false">Controls!B36</f>
        <v>0</v>
      </c>
      <c r="N159" s="32" t="str">
        <f aca="false">IF(M159&gt;0,"PAID","HELD")</f>
        <v>HELD</v>
      </c>
    </row>
    <row r="160" customFormat="false" ht="15" hidden="false" customHeight="false" outlineLevel="0" collapsed="false">
      <c r="A160" s="19" t="str">
        <f aca="false">"PAY-"&amp;B160&amp;"-MAKE"</f>
        <v>PAY-MTH-HC-CHA-L2-MAKE</v>
      </c>
      <c r="B160" s="19" t="str">
        <f aca="false">'Object Crosswalk'!A45</f>
        <v>MTH-HC-CHA-L2</v>
      </c>
      <c r="C160" s="19" t="str">
        <f aca="false">'Object Crosswalk'!B45</f>
        <v>Method lineage</v>
      </c>
      <c r="D160" s="19" t="str">
        <f aca="false">'Object Crosswalk'!C45</f>
        <v>Public</v>
      </c>
      <c r="E160" s="19" t="str">
        <f aca="false">'Object Crosswalk'!D45</f>
        <v>MS-HC</v>
      </c>
      <c r="F160" s="19" t="str">
        <f aca="false">'Object Crosswalk'!E45</f>
        <v>HC-A</v>
      </c>
      <c r="G160" s="9" t="s">
        <v>546</v>
      </c>
      <c r="H160" s="41" t="n">
        <v>0.5</v>
      </c>
      <c r="I160" s="50" t="n">
        <f aca="false">'Object Crosswalk'!I45</f>
        <v>0.09</v>
      </c>
      <c r="J160" s="50" t="n">
        <f aca="false">H160*I160</f>
        <v>0.045</v>
      </c>
      <c r="K160" s="32" t="n">
        <f aca="false">0</f>
        <v>0</v>
      </c>
      <c r="L160" s="33" t="n">
        <f aca="false">Controls!B35</f>
        <v>0</v>
      </c>
      <c r="M160" s="33" t="n">
        <f aca="false">Controls!B36</f>
        <v>0</v>
      </c>
      <c r="N160" s="32" t="str">
        <f aca="false">IF(M160&gt;0,"PAID","HELD")</f>
        <v>HELD</v>
      </c>
    </row>
    <row r="161" customFormat="false" ht="15" hidden="false" customHeight="false" outlineLevel="0" collapsed="false">
      <c r="A161" s="19" t="str">
        <f aca="false">"PAY-"&amp;B161&amp;"-BREAK"</f>
        <v>PAY-MTH-HC-CHA-L2-BREAK</v>
      </c>
      <c r="B161" s="19" t="str">
        <f aca="false">'Object Crosswalk'!A45</f>
        <v>MTH-HC-CHA-L2</v>
      </c>
      <c r="C161" s="19" t="str">
        <f aca="false">'Object Crosswalk'!B45</f>
        <v>Method lineage</v>
      </c>
      <c r="D161" s="19" t="str">
        <f aca="false">'Object Crosswalk'!C45</f>
        <v>Public</v>
      </c>
      <c r="E161" s="19" t="str">
        <f aca="false">'Object Crosswalk'!D45</f>
        <v>MS-HC</v>
      </c>
      <c r="F161" s="19" t="str">
        <f aca="false">'Object Crosswalk'!E45</f>
        <v>HC-A</v>
      </c>
      <c r="G161" s="9" t="s">
        <v>1209</v>
      </c>
      <c r="H161" s="41" t="n">
        <v>0</v>
      </c>
      <c r="I161" s="50" t="n">
        <f aca="false">'Object Crosswalk'!I45</f>
        <v>0.09</v>
      </c>
      <c r="J161" s="50" t="n">
        <f aca="false">H161*I161</f>
        <v>0</v>
      </c>
      <c r="K161" s="32" t="n">
        <f aca="false">0</f>
        <v>0</v>
      </c>
      <c r="L161" s="33" t="n">
        <f aca="false">Controls!B35</f>
        <v>0</v>
      </c>
      <c r="M161" s="33" t="n">
        <f aca="false">Controls!B36</f>
        <v>0</v>
      </c>
      <c r="N161" s="32" t="str">
        <f aca="false">IF(M161&gt;0,"PAID","HELD")</f>
        <v>HELD</v>
      </c>
    </row>
    <row r="162" customFormat="false" ht="15" hidden="false" customHeight="false" outlineLevel="0" collapsed="false">
      <c r="A162" s="19" t="str">
        <f aca="false">"PAY-"&amp;B162&amp;"-TRANSFER"</f>
        <v>PAY-MTH-HC-CHA-L2-TRANSFER</v>
      </c>
      <c r="B162" s="19" t="str">
        <f aca="false">'Object Crosswalk'!A45</f>
        <v>MTH-HC-CHA-L2</v>
      </c>
      <c r="C162" s="19" t="str">
        <f aca="false">'Object Crosswalk'!B45</f>
        <v>Method lineage</v>
      </c>
      <c r="D162" s="19" t="str">
        <f aca="false">'Object Crosswalk'!C45</f>
        <v>Public</v>
      </c>
      <c r="E162" s="19" t="str">
        <f aca="false">'Object Crosswalk'!D45</f>
        <v>MS-HC</v>
      </c>
      <c r="F162" s="19" t="str">
        <f aca="false">'Object Crosswalk'!E45</f>
        <v>HC-A</v>
      </c>
      <c r="G162" s="9" t="s">
        <v>1210</v>
      </c>
      <c r="H162" s="41" t="n">
        <v>0.25</v>
      </c>
      <c r="I162" s="50" t="n">
        <f aca="false">'Object Crosswalk'!I45</f>
        <v>0.09</v>
      </c>
      <c r="J162" s="50" t="n">
        <f aca="false">H162*I162</f>
        <v>0.0225</v>
      </c>
      <c r="K162" s="32" t="n">
        <f aca="false">0</f>
        <v>0</v>
      </c>
      <c r="L162" s="33" t="n">
        <f aca="false">Controls!B35</f>
        <v>0</v>
      </c>
      <c r="M162" s="33" t="n">
        <f aca="false">Controls!B36</f>
        <v>0</v>
      </c>
      <c r="N162" s="32" t="str">
        <f aca="false">IF(M162&gt;0,"PAID","HELD")</f>
        <v>HELD</v>
      </c>
    </row>
    <row r="163" customFormat="false" ht="15" hidden="false" customHeight="false" outlineLevel="0" collapsed="false">
      <c r="A163" s="19" t="str">
        <f aca="false">"PAY-"&amp;B163&amp;"-FRAME"</f>
        <v>PAY-REG-HC-CHA-FRAME</v>
      </c>
      <c r="B163" s="19" t="str">
        <f aca="false">'Object Crosswalk'!A46</f>
        <v>REG-HC-CHA</v>
      </c>
      <c r="C163" s="19" t="str">
        <f aca="false">'Object Crosswalk'!B46</f>
        <v>Regeneration tool</v>
      </c>
      <c r="D163" s="19" t="str">
        <f aca="false">'Object Crosswalk'!C46</f>
        <v>Public</v>
      </c>
      <c r="E163" s="19" t="str">
        <f aca="false">'Object Crosswalk'!D46</f>
        <v>MS-HC</v>
      </c>
      <c r="F163" s="19" t="str">
        <f aca="false">'Object Crosswalk'!E46</f>
        <v>HC-A</v>
      </c>
      <c r="G163" s="9" t="s">
        <v>543</v>
      </c>
      <c r="H163" s="41" t="n">
        <v>0.25</v>
      </c>
      <c r="I163" s="50" t="n">
        <f aca="false">'Object Crosswalk'!I46</f>
        <v>0.0666666666666667</v>
      </c>
      <c r="J163" s="50" t="n">
        <f aca="false">H163*I163</f>
        <v>0.0166666666666667</v>
      </c>
      <c r="K163" s="32" t="n">
        <f aca="false">0</f>
        <v>0</v>
      </c>
      <c r="L163" s="33" t="n">
        <f aca="false">Controls!B35</f>
        <v>0</v>
      </c>
      <c r="M163" s="33" t="n">
        <f aca="false">Controls!B36</f>
        <v>0</v>
      </c>
      <c r="N163" s="32" t="str">
        <f aca="false">IF(M163&gt;0,"PAID","HELD")</f>
        <v>HELD</v>
      </c>
    </row>
    <row r="164" customFormat="false" ht="15" hidden="false" customHeight="false" outlineLevel="0" collapsed="false">
      <c r="A164" s="19" t="str">
        <f aca="false">"PAY-"&amp;B164&amp;"-MAKE"</f>
        <v>PAY-REG-HC-CHA-MAKE</v>
      </c>
      <c r="B164" s="19" t="str">
        <f aca="false">'Object Crosswalk'!A46</f>
        <v>REG-HC-CHA</v>
      </c>
      <c r="C164" s="19" t="str">
        <f aca="false">'Object Crosswalk'!B46</f>
        <v>Regeneration tool</v>
      </c>
      <c r="D164" s="19" t="str">
        <f aca="false">'Object Crosswalk'!C46</f>
        <v>Public</v>
      </c>
      <c r="E164" s="19" t="str">
        <f aca="false">'Object Crosswalk'!D46</f>
        <v>MS-HC</v>
      </c>
      <c r="F164" s="19" t="str">
        <f aca="false">'Object Crosswalk'!E46</f>
        <v>HC-A</v>
      </c>
      <c r="G164" s="9" t="s">
        <v>546</v>
      </c>
      <c r="H164" s="41" t="n">
        <v>0.5</v>
      </c>
      <c r="I164" s="50" t="n">
        <f aca="false">'Object Crosswalk'!I46</f>
        <v>0.0666666666666667</v>
      </c>
      <c r="J164" s="50" t="n">
        <f aca="false">H164*I164</f>
        <v>0.0333333333333333</v>
      </c>
      <c r="K164" s="32" t="n">
        <f aca="false">0</f>
        <v>0</v>
      </c>
      <c r="L164" s="33" t="n">
        <f aca="false">Controls!B35</f>
        <v>0</v>
      </c>
      <c r="M164" s="33" t="n">
        <f aca="false">Controls!B36</f>
        <v>0</v>
      </c>
      <c r="N164" s="32" t="str">
        <f aca="false">IF(M164&gt;0,"PAID","HELD")</f>
        <v>HELD</v>
      </c>
    </row>
    <row r="165" customFormat="false" ht="15" hidden="false" customHeight="false" outlineLevel="0" collapsed="false">
      <c r="A165" s="19" t="str">
        <f aca="false">"PAY-"&amp;B165&amp;"-BREAK"</f>
        <v>PAY-REG-HC-CHA-BREAK</v>
      </c>
      <c r="B165" s="19" t="str">
        <f aca="false">'Object Crosswalk'!A46</f>
        <v>REG-HC-CHA</v>
      </c>
      <c r="C165" s="19" t="str">
        <f aca="false">'Object Crosswalk'!B46</f>
        <v>Regeneration tool</v>
      </c>
      <c r="D165" s="19" t="str">
        <f aca="false">'Object Crosswalk'!C46</f>
        <v>Public</v>
      </c>
      <c r="E165" s="19" t="str">
        <f aca="false">'Object Crosswalk'!D46</f>
        <v>MS-HC</v>
      </c>
      <c r="F165" s="19" t="str">
        <f aca="false">'Object Crosswalk'!E46</f>
        <v>HC-A</v>
      </c>
      <c r="G165" s="9" t="s">
        <v>1209</v>
      </c>
      <c r="H165" s="41" t="n">
        <v>0</v>
      </c>
      <c r="I165" s="50" t="n">
        <f aca="false">'Object Crosswalk'!I46</f>
        <v>0.0666666666666667</v>
      </c>
      <c r="J165" s="50" t="n">
        <f aca="false">H165*I165</f>
        <v>0</v>
      </c>
      <c r="K165" s="32" t="n">
        <f aca="false">0</f>
        <v>0</v>
      </c>
      <c r="L165" s="33" t="n">
        <f aca="false">Controls!B35</f>
        <v>0</v>
      </c>
      <c r="M165" s="33" t="n">
        <f aca="false">Controls!B36</f>
        <v>0</v>
      </c>
      <c r="N165" s="32" t="str">
        <f aca="false">IF(M165&gt;0,"PAID","HELD")</f>
        <v>HELD</v>
      </c>
    </row>
    <row r="166" customFormat="false" ht="15" hidden="false" customHeight="false" outlineLevel="0" collapsed="false">
      <c r="A166" s="19" t="str">
        <f aca="false">"PAY-"&amp;B166&amp;"-TRANSFER"</f>
        <v>PAY-REG-HC-CHA-TRANSFER</v>
      </c>
      <c r="B166" s="19" t="str">
        <f aca="false">'Object Crosswalk'!A46</f>
        <v>REG-HC-CHA</v>
      </c>
      <c r="C166" s="19" t="str">
        <f aca="false">'Object Crosswalk'!B46</f>
        <v>Regeneration tool</v>
      </c>
      <c r="D166" s="19" t="str">
        <f aca="false">'Object Crosswalk'!C46</f>
        <v>Public</v>
      </c>
      <c r="E166" s="19" t="str">
        <f aca="false">'Object Crosswalk'!D46</f>
        <v>MS-HC</v>
      </c>
      <c r="F166" s="19" t="str">
        <f aca="false">'Object Crosswalk'!E46</f>
        <v>HC-A</v>
      </c>
      <c r="G166" s="9" t="s">
        <v>1210</v>
      </c>
      <c r="H166" s="41" t="n">
        <v>0.25</v>
      </c>
      <c r="I166" s="50" t="n">
        <f aca="false">'Object Crosswalk'!I46</f>
        <v>0.0666666666666667</v>
      </c>
      <c r="J166" s="50" t="n">
        <f aca="false">H166*I166</f>
        <v>0.0166666666666667</v>
      </c>
      <c r="K166" s="32" t="n">
        <f aca="false">0</f>
        <v>0</v>
      </c>
      <c r="L166" s="33" t="n">
        <f aca="false">Controls!B35</f>
        <v>0</v>
      </c>
      <c r="M166" s="33" t="n">
        <f aca="false">Controls!B36</f>
        <v>0</v>
      </c>
      <c r="N166" s="32" t="str">
        <f aca="false">IF(M166&gt;0,"PAID","HELD")</f>
        <v>HELD</v>
      </c>
    </row>
    <row r="167" customFormat="false" ht="15" hidden="false" customHeight="false" outlineLevel="0" collapsed="false">
      <c r="A167" s="19" t="str">
        <f aca="false">"PAY-"&amp;B167&amp;"-FRAME"</f>
        <v>PAY-INT-HC-CHA-FRAME</v>
      </c>
      <c r="B167" s="19" t="str">
        <f aca="false">'Object Crosswalk'!A47</f>
        <v>INT-HC-CHA</v>
      </c>
      <c r="C167" s="19" t="str">
        <f aca="false">'Object Crosswalk'!B47</f>
        <v>Station integration</v>
      </c>
      <c r="D167" s="19" t="str">
        <f aca="false">'Object Crosswalk'!C47</f>
        <v>Public</v>
      </c>
      <c r="E167" s="19" t="str">
        <f aca="false">'Object Crosswalk'!D47</f>
        <v>MS-HC</v>
      </c>
      <c r="F167" s="19" t="str">
        <f aca="false">'Object Crosswalk'!E47</f>
        <v>HC-A</v>
      </c>
      <c r="G167" s="9" t="s">
        <v>543</v>
      </c>
      <c r="H167" s="41" t="n">
        <v>0.25</v>
      </c>
      <c r="I167" s="50" t="n">
        <f aca="false">'Object Crosswalk'!I47</f>
        <v>0.0633333333333333</v>
      </c>
      <c r="J167" s="50" t="n">
        <f aca="false">H167*I167</f>
        <v>0.0158333333333333</v>
      </c>
      <c r="K167" s="32" t="n">
        <f aca="false">0</f>
        <v>0</v>
      </c>
      <c r="L167" s="33" t="n">
        <f aca="false">Controls!B35</f>
        <v>0</v>
      </c>
      <c r="M167" s="33" t="n">
        <f aca="false">Controls!B36</f>
        <v>0</v>
      </c>
      <c r="N167" s="32" t="str">
        <f aca="false">IF(M167&gt;0,"PAID","HELD")</f>
        <v>HELD</v>
      </c>
    </row>
    <row r="168" customFormat="false" ht="15" hidden="false" customHeight="false" outlineLevel="0" collapsed="false">
      <c r="A168" s="19" t="str">
        <f aca="false">"PAY-"&amp;B168&amp;"-MAKE"</f>
        <v>PAY-INT-HC-CHA-MAKE</v>
      </c>
      <c r="B168" s="19" t="str">
        <f aca="false">'Object Crosswalk'!A47</f>
        <v>INT-HC-CHA</v>
      </c>
      <c r="C168" s="19" t="str">
        <f aca="false">'Object Crosswalk'!B47</f>
        <v>Station integration</v>
      </c>
      <c r="D168" s="19" t="str">
        <f aca="false">'Object Crosswalk'!C47</f>
        <v>Public</v>
      </c>
      <c r="E168" s="19" t="str">
        <f aca="false">'Object Crosswalk'!D47</f>
        <v>MS-HC</v>
      </c>
      <c r="F168" s="19" t="str">
        <f aca="false">'Object Crosswalk'!E47</f>
        <v>HC-A</v>
      </c>
      <c r="G168" s="9" t="s">
        <v>546</v>
      </c>
      <c r="H168" s="41" t="n">
        <v>0.5</v>
      </c>
      <c r="I168" s="50" t="n">
        <f aca="false">'Object Crosswalk'!I47</f>
        <v>0.0633333333333333</v>
      </c>
      <c r="J168" s="50" t="n">
        <f aca="false">H168*I168</f>
        <v>0.0316666666666667</v>
      </c>
      <c r="K168" s="32" t="n">
        <f aca="false">0</f>
        <v>0</v>
      </c>
      <c r="L168" s="33" t="n">
        <f aca="false">Controls!B35</f>
        <v>0</v>
      </c>
      <c r="M168" s="33" t="n">
        <f aca="false">Controls!B36</f>
        <v>0</v>
      </c>
      <c r="N168" s="32" t="str">
        <f aca="false">IF(M168&gt;0,"PAID","HELD")</f>
        <v>HELD</v>
      </c>
    </row>
    <row r="169" customFormat="false" ht="15" hidden="false" customHeight="false" outlineLevel="0" collapsed="false">
      <c r="A169" s="19" t="str">
        <f aca="false">"PAY-"&amp;B169&amp;"-BREAK"</f>
        <v>PAY-INT-HC-CHA-BREAK</v>
      </c>
      <c r="B169" s="19" t="str">
        <f aca="false">'Object Crosswalk'!A47</f>
        <v>INT-HC-CHA</v>
      </c>
      <c r="C169" s="19" t="str">
        <f aca="false">'Object Crosswalk'!B47</f>
        <v>Station integration</v>
      </c>
      <c r="D169" s="19" t="str">
        <f aca="false">'Object Crosswalk'!C47</f>
        <v>Public</v>
      </c>
      <c r="E169" s="19" t="str">
        <f aca="false">'Object Crosswalk'!D47</f>
        <v>MS-HC</v>
      </c>
      <c r="F169" s="19" t="str">
        <f aca="false">'Object Crosswalk'!E47</f>
        <v>HC-A</v>
      </c>
      <c r="G169" s="9" t="s">
        <v>1209</v>
      </c>
      <c r="H169" s="41" t="n">
        <v>0</v>
      </c>
      <c r="I169" s="50" t="n">
        <f aca="false">'Object Crosswalk'!I47</f>
        <v>0.0633333333333333</v>
      </c>
      <c r="J169" s="50" t="n">
        <f aca="false">H169*I169</f>
        <v>0</v>
      </c>
      <c r="K169" s="32" t="n">
        <f aca="false">0</f>
        <v>0</v>
      </c>
      <c r="L169" s="33" t="n">
        <f aca="false">Controls!B35</f>
        <v>0</v>
      </c>
      <c r="M169" s="33" t="n">
        <f aca="false">Controls!B36</f>
        <v>0</v>
      </c>
      <c r="N169" s="32" t="str">
        <f aca="false">IF(M169&gt;0,"PAID","HELD")</f>
        <v>HELD</v>
      </c>
    </row>
    <row r="170" customFormat="false" ht="15" hidden="false" customHeight="false" outlineLevel="0" collapsed="false">
      <c r="A170" s="19" t="str">
        <f aca="false">"PAY-"&amp;B170&amp;"-TRANSFER"</f>
        <v>PAY-INT-HC-CHA-TRANSFER</v>
      </c>
      <c r="B170" s="19" t="str">
        <f aca="false">'Object Crosswalk'!A47</f>
        <v>INT-HC-CHA</v>
      </c>
      <c r="C170" s="19" t="str">
        <f aca="false">'Object Crosswalk'!B47</f>
        <v>Station integration</v>
      </c>
      <c r="D170" s="19" t="str">
        <f aca="false">'Object Crosswalk'!C47</f>
        <v>Public</v>
      </c>
      <c r="E170" s="19" t="str">
        <f aca="false">'Object Crosswalk'!D47</f>
        <v>MS-HC</v>
      </c>
      <c r="F170" s="19" t="str">
        <f aca="false">'Object Crosswalk'!E47</f>
        <v>HC-A</v>
      </c>
      <c r="G170" s="9" t="s">
        <v>1210</v>
      </c>
      <c r="H170" s="41" t="n">
        <v>0.25</v>
      </c>
      <c r="I170" s="50" t="n">
        <f aca="false">'Object Crosswalk'!I47</f>
        <v>0.0633333333333333</v>
      </c>
      <c r="J170" s="50" t="n">
        <f aca="false">H170*I170</f>
        <v>0.0158333333333333</v>
      </c>
      <c r="K170" s="32" t="n">
        <f aca="false">0</f>
        <v>0</v>
      </c>
      <c r="L170" s="33" t="n">
        <f aca="false">Controls!B35</f>
        <v>0</v>
      </c>
      <c r="M170" s="33" t="n">
        <f aca="false">Controls!B36</f>
        <v>0</v>
      </c>
      <c r="N170" s="32" t="str">
        <f aca="false">IF(M170&gt;0,"PAID","HELD")</f>
        <v>HELD</v>
      </c>
    </row>
    <row r="171" customFormat="false" ht="15" hidden="false" customHeight="false" outlineLevel="0" collapsed="false">
      <c r="A171" s="19" t="str">
        <f aca="false">"PAY-"&amp;B171&amp;"-FRAME"</f>
        <v>PAY-RIG-HC-CON-FRAME</v>
      </c>
      <c r="B171" s="19" t="str">
        <f aca="false">'Object Crosswalk'!A48</f>
        <v>RIG-HC-CON</v>
      </c>
      <c r="C171" s="19" t="str">
        <f aca="false">'Object Crosswalk'!B48</f>
        <v>Root-native rig</v>
      </c>
      <c r="D171" s="19" t="str">
        <f aca="false">'Object Crosswalk'!C48</f>
        <v>Public</v>
      </c>
      <c r="E171" s="19" t="str">
        <f aca="false">'Object Crosswalk'!D48</f>
        <v>MS-HC</v>
      </c>
      <c r="F171" s="19" t="str">
        <f aca="false">'Object Crosswalk'!E48</f>
        <v>HC-A</v>
      </c>
      <c r="G171" s="9" t="s">
        <v>543</v>
      </c>
      <c r="H171" s="41" t="n">
        <v>0.25</v>
      </c>
      <c r="I171" s="50" t="n">
        <f aca="false">'Object Crosswalk'!I48</f>
        <v>0.316666666666667</v>
      </c>
      <c r="J171" s="50" t="n">
        <f aca="false">H171*I171</f>
        <v>0.0791666666666667</v>
      </c>
      <c r="K171" s="32" t="n">
        <f aca="false">0</f>
        <v>0</v>
      </c>
      <c r="L171" s="33" t="n">
        <f aca="false">Controls!B35</f>
        <v>0</v>
      </c>
      <c r="M171" s="33" t="n">
        <f aca="false">Controls!B36</f>
        <v>0</v>
      </c>
      <c r="N171" s="32" t="str">
        <f aca="false">IF(M171&gt;0,"PAID","HELD")</f>
        <v>HELD</v>
      </c>
    </row>
    <row r="172" customFormat="false" ht="15" hidden="false" customHeight="false" outlineLevel="0" collapsed="false">
      <c r="A172" s="19" t="str">
        <f aca="false">"PAY-"&amp;B172&amp;"-MAKE"</f>
        <v>PAY-RIG-HC-CON-MAKE</v>
      </c>
      <c r="B172" s="19" t="str">
        <f aca="false">'Object Crosswalk'!A48</f>
        <v>RIG-HC-CON</v>
      </c>
      <c r="C172" s="19" t="str">
        <f aca="false">'Object Crosswalk'!B48</f>
        <v>Root-native rig</v>
      </c>
      <c r="D172" s="19" t="str">
        <f aca="false">'Object Crosswalk'!C48</f>
        <v>Public</v>
      </c>
      <c r="E172" s="19" t="str">
        <f aca="false">'Object Crosswalk'!D48</f>
        <v>MS-HC</v>
      </c>
      <c r="F172" s="19" t="str">
        <f aca="false">'Object Crosswalk'!E48</f>
        <v>HC-A</v>
      </c>
      <c r="G172" s="9" t="s">
        <v>546</v>
      </c>
      <c r="H172" s="41" t="n">
        <v>0.5</v>
      </c>
      <c r="I172" s="50" t="n">
        <f aca="false">'Object Crosswalk'!I48</f>
        <v>0.316666666666667</v>
      </c>
      <c r="J172" s="50" t="n">
        <f aca="false">H172*I172</f>
        <v>0.158333333333333</v>
      </c>
      <c r="K172" s="32" t="n">
        <f aca="false">0</f>
        <v>0</v>
      </c>
      <c r="L172" s="33" t="n">
        <f aca="false">Controls!B35</f>
        <v>0</v>
      </c>
      <c r="M172" s="33" t="n">
        <f aca="false">Controls!B36</f>
        <v>0</v>
      </c>
      <c r="N172" s="32" t="str">
        <f aca="false">IF(M172&gt;0,"PAID","HELD")</f>
        <v>HELD</v>
      </c>
    </row>
    <row r="173" customFormat="false" ht="15" hidden="false" customHeight="false" outlineLevel="0" collapsed="false">
      <c r="A173" s="19" t="str">
        <f aca="false">"PAY-"&amp;B173&amp;"-BREAK"</f>
        <v>PAY-RIG-HC-CON-BREAK</v>
      </c>
      <c r="B173" s="19" t="str">
        <f aca="false">'Object Crosswalk'!A48</f>
        <v>RIG-HC-CON</v>
      </c>
      <c r="C173" s="19" t="str">
        <f aca="false">'Object Crosswalk'!B48</f>
        <v>Root-native rig</v>
      </c>
      <c r="D173" s="19" t="str">
        <f aca="false">'Object Crosswalk'!C48</f>
        <v>Public</v>
      </c>
      <c r="E173" s="19" t="str">
        <f aca="false">'Object Crosswalk'!D48</f>
        <v>MS-HC</v>
      </c>
      <c r="F173" s="19" t="str">
        <f aca="false">'Object Crosswalk'!E48</f>
        <v>HC-A</v>
      </c>
      <c r="G173" s="9" t="s">
        <v>1209</v>
      </c>
      <c r="H173" s="41" t="n">
        <v>0</v>
      </c>
      <c r="I173" s="50" t="n">
        <f aca="false">'Object Crosswalk'!I48</f>
        <v>0.316666666666667</v>
      </c>
      <c r="J173" s="50" t="n">
        <f aca="false">H173*I173</f>
        <v>0</v>
      </c>
      <c r="K173" s="32" t="n">
        <f aca="false">0</f>
        <v>0</v>
      </c>
      <c r="L173" s="33" t="n">
        <f aca="false">Controls!B35</f>
        <v>0</v>
      </c>
      <c r="M173" s="33" t="n">
        <f aca="false">Controls!B36</f>
        <v>0</v>
      </c>
      <c r="N173" s="32" t="str">
        <f aca="false">IF(M173&gt;0,"PAID","HELD")</f>
        <v>HELD</v>
      </c>
    </row>
    <row r="174" customFormat="false" ht="15" hidden="false" customHeight="false" outlineLevel="0" collapsed="false">
      <c r="A174" s="19" t="str">
        <f aca="false">"PAY-"&amp;B174&amp;"-TRANSFER"</f>
        <v>PAY-RIG-HC-CON-TRANSFER</v>
      </c>
      <c r="B174" s="19" t="str">
        <f aca="false">'Object Crosswalk'!A48</f>
        <v>RIG-HC-CON</v>
      </c>
      <c r="C174" s="19" t="str">
        <f aca="false">'Object Crosswalk'!B48</f>
        <v>Root-native rig</v>
      </c>
      <c r="D174" s="19" t="str">
        <f aca="false">'Object Crosswalk'!C48</f>
        <v>Public</v>
      </c>
      <c r="E174" s="19" t="str">
        <f aca="false">'Object Crosswalk'!D48</f>
        <v>MS-HC</v>
      </c>
      <c r="F174" s="19" t="str">
        <f aca="false">'Object Crosswalk'!E48</f>
        <v>HC-A</v>
      </c>
      <c r="G174" s="9" t="s">
        <v>1210</v>
      </c>
      <c r="H174" s="41" t="n">
        <v>0.25</v>
      </c>
      <c r="I174" s="50" t="n">
        <f aca="false">'Object Crosswalk'!I48</f>
        <v>0.316666666666667</v>
      </c>
      <c r="J174" s="50" t="n">
        <f aca="false">H174*I174</f>
        <v>0.0791666666666667</v>
      </c>
      <c r="K174" s="32" t="n">
        <f aca="false">0</f>
        <v>0</v>
      </c>
      <c r="L174" s="33" t="n">
        <f aca="false">Controls!B35</f>
        <v>0</v>
      </c>
      <c r="M174" s="33" t="n">
        <f aca="false">Controls!B36</f>
        <v>0</v>
      </c>
      <c r="N174" s="32" t="str">
        <f aca="false">IF(M174&gt;0,"PAID","HELD")</f>
        <v>HELD</v>
      </c>
    </row>
    <row r="175" customFormat="false" ht="15" hidden="false" customHeight="false" outlineLevel="0" collapsed="false">
      <c r="A175" s="19" t="str">
        <f aca="false">"PAY-"&amp;B175&amp;"-FRAME"</f>
        <v>PAY-MTH-HC-CON-L1-FRAME</v>
      </c>
      <c r="B175" s="19" t="str">
        <f aca="false">'Object Crosswalk'!A49</f>
        <v>MTH-HC-CON-L1</v>
      </c>
      <c r="C175" s="19" t="str">
        <f aca="false">'Object Crosswalk'!B49</f>
        <v>Method lineage</v>
      </c>
      <c r="D175" s="19" t="str">
        <f aca="false">'Object Crosswalk'!C49</f>
        <v>Public</v>
      </c>
      <c r="E175" s="19" t="str">
        <f aca="false">'Object Crosswalk'!D49</f>
        <v>MS-HC</v>
      </c>
      <c r="F175" s="19" t="str">
        <f aca="false">'Object Crosswalk'!E49</f>
        <v>HC-A</v>
      </c>
      <c r="G175" s="9" t="s">
        <v>543</v>
      </c>
      <c r="H175" s="41" t="n">
        <v>0.25</v>
      </c>
      <c r="I175" s="50" t="n">
        <f aca="false">'Object Crosswalk'!I49</f>
        <v>0.09</v>
      </c>
      <c r="J175" s="50" t="n">
        <f aca="false">H175*I175</f>
        <v>0.0225</v>
      </c>
      <c r="K175" s="32" t="n">
        <f aca="false">0</f>
        <v>0</v>
      </c>
      <c r="L175" s="33" t="n">
        <f aca="false">Controls!B35</f>
        <v>0</v>
      </c>
      <c r="M175" s="33" t="n">
        <f aca="false">Controls!B36</f>
        <v>0</v>
      </c>
      <c r="N175" s="32" t="str">
        <f aca="false">IF(M175&gt;0,"PAID","HELD")</f>
        <v>HELD</v>
      </c>
    </row>
    <row r="176" customFormat="false" ht="15" hidden="false" customHeight="false" outlineLevel="0" collapsed="false">
      <c r="A176" s="19" t="str">
        <f aca="false">"PAY-"&amp;B176&amp;"-MAKE"</f>
        <v>PAY-MTH-HC-CON-L1-MAKE</v>
      </c>
      <c r="B176" s="19" t="str">
        <f aca="false">'Object Crosswalk'!A49</f>
        <v>MTH-HC-CON-L1</v>
      </c>
      <c r="C176" s="19" t="str">
        <f aca="false">'Object Crosswalk'!B49</f>
        <v>Method lineage</v>
      </c>
      <c r="D176" s="19" t="str">
        <f aca="false">'Object Crosswalk'!C49</f>
        <v>Public</v>
      </c>
      <c r="E176" s="19" t="str">
        <f aca="false">'Object Crosswalk'!D49</f>
        <v>MS-HC</v>
      </c>
      <c r="F176" s="19" t="str">
        <f aca="false">'Object Crosswalk'!E49</f>
        <v>HC-A</v>
      </c>
      <c r="G176" s="9" t="s">
        <v>546</v>
      </c>
      <c r="H176" s="41" t="n">
        <v>0.5</v>
      </c>
      <c r="I176" s="50" t="n">
        <f aca="false">'Object Crosswalk'!I49</f>
        <v>0.09</v>
      </c>
      <c r="J176" s="50" t="n">
        <f aca="false">H176*I176</f>
        <v>0.045</v>
      </c>
      <c r="K176" s="32" t="n">
        <f aca="false">0</f>
        <v>0</v>
      </c>
      <c r="L176" s="33" t="n">
        <f aca="false">Controls!B35</f>
        <v>0</v>
      </c>
      <c r="M176" s="33" t="n">
        <f aca="false">Controls!B36</f>
        <v>0</v>
      </c>
      <c r="N176" s="32" t="str">
        <f aca="false">IF(M176&gt;0,"PAID","HELD")</f>
        <v>HELD</v>
      </c>
    </row>
    <row r="177" customFormat="false" ht="15" hidden="false" customHeight="false" outlineLevel="0" collapsed="false">
      <c r="A177" s="19" t="str">
        <f aca="false">"PAY-"&amp;B177&amp;"-BREAK"</f>
        <v>PAY-MTH-HC-CON-L1-BREAK</v>
      </c>
      <c r="B177" s="19" t="str">
        <f aca="false">'Object Crosswalk'!A49</f>
        <v>MTH-HC-CON-L1</v>
      </c>
      <c r="C177" s="19" t="str">
        <f aca="false">'Object Crosswalk'!B49</f>
        <v>Method lineage</v>
      </c>
      <c r="D177" s="19" t="str">
        <f aca="false">'Object Crosswalk'!C49</f>
        <v>Public</v>
      </c>
      <c r="E177" s="19" t="str">
        <f aca="false">'Object Crosswalk'!D49</f>
        <v>MS-HC</v>
      </c>
      <c r="F177" s="19" t="str">
        <f aca="false">'Object Crosswalk'!E49</f>
        <v>HC-A</v>
      </c>
      <c r="G177" s="9" t="s">
        <v>1209</v>
      </c>
      <c r="H177" s="41" t="n">
        <v>0</v>
      </c>
      <c r="I177" s="50" t="n">
        <f aca="false">'Object Crosswalk'!I49</f>
        <v>0.09</v>
      </c>
      <c r="J177" s="50" t="n">
        <f aca="false">H177*I177</f>
        <v>0</v>
      </c>
      <c r="K177" s="32" t="n">
        <f aca="false">0</f>
        <v>0</v>
      </c>
      <c r="L177" s="33" t="n">
        <f aca="false">Controls!B35</f>
        <v>0</v>
      </c>
      <c r="M177" s="33" t="n">
        <f aca="false">Controls!B36</f>
        <v>0</v>
      </c>
      <c r="N177" s="32" t="str">
        <f aca="false">IF(M177&gt;0,"PAID","HELD")</f>
        <v>HELD</v>
      </c>
    </row>
    <row r="178" customFormat="false" ht="15" hidden="false" customHeight="false" outlineLevel="0" collapsed="false">
      <c r="A178" s="19" t="str">
        <f aca="false">"PAY-"&amp;B178&amp;"-TRANSFER"</f>
        <v>PAY-MTH-HC-CON-L1-TRANSFER</v>
      </c>
      <c r="B178" s="19" t="str">
        <f aca="false">'Object Crosswalk'!A49</f>
        <v>MTH-HC-CON-L1</v>
      </c>
      <c r="C178" s="19" t="str">
        <f aca="false">'Object Crosswalk'!B49</f>
        <v>Method lineage</v>
      </c>
      <c r="D178" s="19" t="str">
        <f aca="false">'Object Crosswalk'!C49</f>
        <v>Public</v>
      </c>
      <c r="E178" s="19" t="str">
        <f aca="false">'Object Crosswalk'!D49</f>
        <v>MS-HC</v>
      </c>
      <c r="F178" s="19" t="str">
        <f aca="false">'Object Crosswalk'!E49</f>
        <v>HC-A</v>
      </c>
      <c r="G178" s="9" t="s">
        <v>1210</v>
      </c>
      <c r="H178" s="41" t="n">
        <v>0.25</v>
      </c>
      <c r="I178" s="50" t="n">
        <f aca="false">'Object Crosswalk'!I49</f>
        <v>0.09</v>
      </c>
      <c r="J178" s="50" t="n">
        <f aca="false">H178*I178</f>
        <v>0.0225</v>
      </c>
      <c r="K178" s="32" t="n">
        <f aca="false">0</f>
        <v>0</v>
      </c>
      <c r="L178" s="33" t="n">
        <f aca="false">Controls!B35</f>
        <v>0</v>
      </c>
      <c r="M178" s="33" t="n">
        <f aca="false">Controls!B36</f>
        <v>0</v>
      </c>
      <c r="N178" s="32" t="str">
        <f aca="false">IF(M178&gt;0,"PAID","HELD")</f>
        <v>HELD</v>
      </c>
    </row>
    <row r="179" customFormat="false" ht="15" hidden="false" customHeight="false" outlineLevel="0" collapsed="false">
      <c r="A179" s="19" t="str">
        <f aca="false">"PAY-"&amp;B179&amp;"-FRAME"</f>
        <v>PAY-MTH-HC-CON-L2-FRAME</v>
      </c>
      <c r="B179" s="19" t="str">
        <f aca="false">'Object Crosswalk'!A50</f>
        <v>MTH-HC-CON-L2</v>
      </c>
      <c r="C179" s="19" t="str">
        <f aca="false">'Object Crosswalk'!B50</f>
        <v>Method lineage</v>
      </c>
      <c r="D179" s="19" t="str">
        <f aca="false">'Object Crosswalk'!C50</f>
        <v>Public</v>
      </c>
      <c r="E179" s="19" t="str">
        <f aca="false">'Object Crosswalk'!D50</f>
        <v>MS-HC</v>
      </c>
      <c r="F179" s="19" t="str">
        <f aca="false">'Object Crosswalk'!E50</f>
        <v>HC-A</v>
      </c>
      <c r="G179" s="9" t="s">
        <v>543</v>
      </c>
      <c r="H179" s="41" t="n">
        <v>0.25</v>
      </c>
      <c r="I179" s="50" t="n">
        <f aca="false">'Object Crosswalk'!I50</f>
        <v>0.09</v>
      </c>
      <c r="J179" s="50" t="n">
        <f aca="false">H179*I179</f>
        <v>0.0225</v>
      </c>
      <c r="K179" s="32" t="n">
        <f aca="false">0</f>
        <v>0</v>
      </c>
      <c r="L179" s="33" t="n">
        <f aca="false">Controls!B35</f>
        <v>0</v>
      </c>
      <c r="M179" s="33" t="n">
        <f aca="false">Controls!B36</f>
        <v>0</v>
      </c>
      <c r="N179" s="32" t="str">
        <f aca="false">IF(M179&gt;0,"PAID","HELD")</f>
        <v>HELD</v>
      </c>
    </row>
    <row r="180" customFormat="false" ht="15" hidden="false" customHeight="false" outlineLevel="0" collapsed="false">
      <c r="A180" s="19" t="str">
        <f aca="false">"PAY-"&amp;B180&amp;"-MAKE"</f>
        <v>PAY-MTH-HC-CON-L2-MAKE</v>
      </c>
      <c r="B180" s="19" t="str">
        <f aca="false">'Object Crosswalk'!A50</f>
        <v>MTH-HC-CON-L2</v>
      </c>
      <c r="C180" s="19" t="str">
        <f aca="false">'Object Crosswalk'!B50</f>
        <v>Method lineage</v>
      </c>
      <c r="D180" s="19" t="str">
        <f aca="false">'Object Crosswalk'!C50</f>
        <v>Public</v>
      </c>
      <c r="E180" s="19" t="str">
        <f aca="false">'Object Crosswalk'!D50</f>
        <v>MS-HC</v>
      </c>
      <c r="F180" s="19" t="str">
        <f aca="false">'Object Crosswalk'!E50</f>
        <v>HC-A</v>
      </c>
      <c r="G180" s="9" t="s">
        <v>546</v>
      </c>
      <c r="H180" s="41" t="n">
        <v>0.5</v>
      </c>
      <c r="I180" s="50" t="n">
        <f aca="false">'Object Crosswalk'!I50</f>
        <v>0.09</v>
      </c>
      <c r="J180" s="50" t="n">
        <f aca="false">H180*I180</f>
        <v>0.045</v>
      </c>
      <c r="K180" s="32" t="n">
        <f aca="false">0</f>
        <v>0</v>
      </c>
      <c r="L180" s="33" t="n">
        <f aca="false">Controls!B35</f>
        <v>0</v>
      </c>
      <c r="M180" s="33" t="n">
        <f aca="false">Controls!B36</f>
        <v>0</v>
      </c>
      <c r="N180" s="32" t="str">
        <f aca="false">IF(M180&gt;0,"PAID","HELD")</f>
        <v>HELD</v>
      </c>
    </row>
    <row r="181" customFormat="false" ht="15" hidden="false" customHeight="false" outlineLevel="0" collapsed="false">
      <c r="A181" s="19" t="str">
        <f aca="false">"PAY-"&amp;B181&amp;"-BREAK"</f>
        <v>PAY-MTH-HC-CON-L2-BREAK</v>
      </c>
      <c r="B181" s="19" t="str">
        <f aca="false">'Object Crosswalk'!A50</f>
        <v>MTH-HC-CON-L2</v>
      </c>
      <c r="C181" s="19" t="str">
        <f aca="false">'Object Crosswalk'!B50</f>
        <v>Method lineage</v>
      </c>
      <c r="D181" s="19" t="str">
        <f aca="false">'Object Crosswalk'!C50</f>
        <v>Public</v>
      </c>
      <c r="E181" s="19" t="str">
        <f aca="false">'Object Crosswalk'!D50</f>
        <v>MS-HC</v>
      </c>
      <c r="F181" s="19" t="str">
        <f aca="false">'Object Crosswalk'!E50</f>
        <v>HC-A</v>
      </c>
      <c r="G181" s="9" t="s">
        <v>1209</v>
      </c>
      <c r="H181" s="41" t="n">
        <v>0</v>
      </c>
      <c r="I181" s="50" t="n">
        <f aca="false">'Object Crosswalk'!I50</f>
        <v>0.09</v>
      </c>
      <c r="J181" s="50" t="n">
        <f aca="false">H181*I181</f>
        <v>0</v>
      </c>
      <c r="K181" s="32" t="n">
        <f aca="false">0</f>
        <v>0</v>
      </c>
      <c r="L181" s="33" t="n">
        <f aca="false">Controls!B35</f>
        <v>0</v>
      </c>
      <c r="M181" s="33" t="n">
        <f aca="false">Controls!B36</f>
        <v>0</v>
      </c>
      <c r="N181" s="32" t="str">
        <f aca="false">IF(M181&gt;0,"PAID","HELD")</f>
        <v>HELD</v>
      </c>
    </row>
    <row r="182" customFormat="false" ht="15" hidden="false" customHeight="false" outlineLevel="0" collapsed="false">
      <c r="A182" s="19" t="str">
        <f aca="false">"PAY-"&amp;B182&amp;"-TRANSFER"</f>
        <v>PAY-MTH-HC-CON-L2-TRANSFER</v>
      </c>
      <c r="B182" s="19" t="str">
        <f aca="false">'Object Crosswalk'!A50</f>
        <v>MTH-HC-CON-L2</v>
      </c>
      <c r="C182" s="19" t="str">
        <f aca="false">'Object Crosswalk'!B50</f>
        <v>Method lineage</v>
      </c>
      <c r="D182" s="19" t="str">
        <f aca="false">'Object Crosswalk'!C50</f>
        <v>Public</v>
      </c>
      <c r="E182" s="19" t="str">
        <f aca="false">'Object Crosswalk'!D50</f>
        <v>MS-HC</v>
      </c>
      <c r="F182" s="19" t="str">
        <f aca="false">'Object Crosswalk'!E50</f>
        <v>HC-A</v>
      </c>
      <c r="G182" s="9" t="s">
        <v>1210</v>
      </c>
      <c r="H182" s="41" t="n">
        <v>0.25</v>
      </c>
      <c r="I182" s="50" t="n">
        <f aca="false">'Object Crosswalk'!I50</f>
        <v>0.09</v>
      </c>
      <c r="J182" s="50" t="n">
        <f aca="false">H182*I182</f>
        <v>0.0225</v>
      </c>
      <c r="K182" s="32" t="n">
        <f aca="false">0</f>
        <v>0</v>
      </c>
      <c r="L182" s="33" t="n">
        <f aca="false">Controls!B35</f>
        <v>0</v>
      </c>
      <c r="M182" s="33" t="n">
        <f aca="false">Controls!B36</f>
        <v>0</v>
      </c>
      <c r="N182" s="32" t="str">
        <f aca="false">IF(M182&gt;0,"PAID","HELD")</f>
        <v>HELD</v>
      </c>
    </row>
    <row r="183" customFormat="false" ht="15" hidden="false" customHeight="false" outlineLevel="0" collapsed="false">
      <c r="A183" s="19" t="str">
        <f aca="false">"PAY-"&amp;B183&amp;"-FRAME"</f>
        <v>PAY-REG-HC-CON-FRAME</v>
      </c>
      <c r="B183" s="19" t="str">
        <f aca="false">'Object Crosswalk'!A51</f>
        <v>REG-HC-CON</v>
      </c>
      <c r="C183" s="19" t="str">
        <f aca="false">'Object Crosswalk'!B51</f>
        <v>Regeneration tool</v>
      </c>
      <c r="D183" s="19" t="str">
        <f aca="false">'Object Crosswalk'!C51</f>
        <v>Public</v>
      </c>
      <c r="E183" s="19" t="str">
        <f aca="false">'Object Crosswalk'!D51</f>
        <v>MS-HC</v>
      </c>
      <c r="F183" s="19" t="str">
        <f aca="false">'Object Crosswalk'!E51</f>
        <v>HC-A</v>
      </c>
      <c r="G183" s="9" t="s">
        <v>543</v>
      </c>
      <c r="H183" s="41" t="n">
        <v>0.25</v>
      </c>
      <c r="I183" s="50" t="n">
        <f aca="false">'Object Crosswalk'!I51</f>
        <v>0.0666666666666667</v>
      </c>
      <c r="J183" s="50" t="n">
        <f aca="false">H183*I183</f>
        <v>0.0166666666666667</v>
      </c>
      <c r="K183" s="32" t="n">
        <f aca="false">0</f>
        <v>0</v>
      </c>
      <c r="L183" s="33" t="n">
        <f aca="false">Controls!B35</f>
        <v>0</v>
      </c>
      <c r="M183" s="33" t="n">
        <f aca="false">Controls!B36</f>
        <v>0</v>
      </c>
      <c r="N183" s="32" t="str">
        <f aca="false">IF(M183&gt;0,"PAID","HELD")</f>
        <v>HELD</v>
      </c>
    </row>
    <row r="184" customFormat="false" ht="15" hidden="false" customHeight="false" outlineLevel="0" collapsed="false">
      <c r="A184" s="19" t="str">
        <f aca="false">"PAY-"&amp;B184&amp;"-MAKE"</f>
        <v>PAY-REG-HC-CON-MAKE</v>
      </c>
      <c r="B184" s="19" t="str">
        <f aca="false">'Object Crosswalk'!A51</f>
        <v>REG-HC-CON</v>
      </c>
      <c r="C184" s="19" t="str">
        <f aca="false">'Object Crosswalk'!B51</f>
        <v>Regeneration tool</v>
      </c>
      <c r="D184" s="19" t="str">
        <f aca="false">'Object Crosswalk'!C51</f>
        <v>Public</v>
      </c>
      <c r="E184" s="19" t="str">
        <f aca="false">'Object Crosswalk'!D51</f>
        <v>MS-HC</v>
      </c>
      <c r="F184" s="19" t="str">
        <f aca="false">'Object Crosswalk'!E51</f>
        <v>HC-A</v>
      </c>
      <c r="G184" s="9" t="s">
        <v>546</v>
      </c>
      <c r="H184" s="41" t="n">
        <v>0.5</v>
      </c>
      <c r="I184" s="50" t="n">
        <f aca="false">'Object Crosswalk'!I51</f>
        <v>0.0666666666666667</v>
      </c>
      <c r="J184" s="50" t="n">
        <f aca="false">H184*I184</f>
        <v>0.0333333333333333</v>
      </c>
      <c r="K184" s="32" t="n">
        <f aca="false">0</f>
        <v>0</v>
      </c>
      <c r="L184" s="33" t="n">
        <f aca="false">Controls!B35</f>
        <v>0</v>
      </c>
      <c r="M184" s="33" t="n">
        <f aca="false">Controls!B36</f>
        <v>0</v>
      </c>
      <c r="N184" s="32" t="str">
        <f aca="false">IF(M184&gt;0,"PAID","HELD")</f>
        <v>HELD</v>
      </c>
    </row>
    <row r="185" customFormat="false" ht="15" hidden="false" customHeight="false" outlineLevel="0" collapsed="false">
      <c r="A185" s="19" t="str">
        <f aca="false">"PAY-"&amp;B185&amp;"-BREAK"</f>
        <v>PAY-REG-HC-CON-BREAK</v>
      </c>
      <c r="B185" s="19" t="str">
        <f aca="false">'Object Crosswalk'!A51</f>
        <v>REG-HC-CON</v>
      </c>
      <c r="C185" s="19" t="str">
        <f aca="false">'Object Crosswalk'!B51</f>
        <v>Regeneration tool</v>
      </c>
      <c r="D185" s="19" t="str">
        <f aca="false">'Object Crosswalk'!C51</f>
        <v>Public</v>
      </c>
      <c r="E185" s="19" t="str">
        <f aca="false">'Object Crosswalk'!D51</f>
        <v>MS-HC</v>
      </c>
      <c r="F185" s="19" t="str">
        <f aca="false">'Object Crosswalk'!E51</f>
        <v>HC-A</v>
      </c>
      <c r="G185" s="9" t="s">
        <v>1209</v>
      </c>
      <c r="H185" s="41" t="n">
        <v>0</v>
      </c>
      <c r="I185" s="50" t="n">
        <f aca="false">'Object Crosswalk'!I51</f>
        <v>0.0666666666666667</v>
      </c>
      <c r="J185" s="50" t="n">
        <f aca="false">H185*I185</f>
        <v>0</v>
      </c>
      <c r="K185" s="32" t="n">
        <f aca="false">0</f>
        <v>0</v>
      </c>
      <c r="L185" s="33" t="n">
        <f aca="false">Controls!B35</f>
        <v>0</v>
      </c>
      <c r="M185" s="33" t="n">
        <f aca="false">Controls!B36</f>
        <v>0</v>
      </c>
      <c r="N185" s="32" t="str">
        <f aca="false">IF(M185&gt;0,"PAID","HELD")</f>
        <v>HELD</v>
      </c>
    </row>
    <row r="186" customFormat="false" ht="15" hidden="false" customHeight="false" outlineLevel="0" collapsed="false">
      <c r="A186" s="19" t="str">
        <f aca="false">"PAY-"&amp;B186&amp;"-TRANSFER"</f>
        <v>PAY-REG-HC-CON-TRANSFER</v>
      </c>
      <c r="B186" s="19" t="str">
        <f aca="false">'Object Crosswalk'!A51</f>
        <v>REG-HC-CON</v>
      </c>
      <c r="C186" s="19" t="str">
        <f aca="false">'Object Crosswalk'!B51</f>
        <v>Regeneration tool</v>
      </c>
      <c r="D186" s="19" t="str">
        <f aca="false">'Object Crosswalk'!C51</f>
        <v>Public</v>
      </c>
      <c r="E186" s="19" t="str">
        <f aca="false">'Object Crosswalk'!D51</f>
        <v>MS-HC</v>
      </c>
      <c r="F186" s="19" t="str">
        <f aca="false">'Object Crosswalk'!E51</f>
        <v>HC-A</v>
      </c>
      <c r="G186" s="9" t="s">
        <v>1210</v>
      </c>
      <c r="H186" s="41" t="n">
        <v>0.25</v>
      </c>
      <c r="I186" s="50" t="n">
        <f aca="false">'Object Crosswalk'!I51</f>
        <v>0.0666666666666667</v>
      </c>
      <c r="J186" s="50" t="n">
        <f aca="false">H186*I186</f>
        <v>0.0166666666666667</v>
      </c>
      <c r="K186" s="32" t="n">
        <f aca="false">0</f>
        <v>0</v>
      </c>
      <c r="L186" s="33" t="n">
        <f aca="false">Controls!B35</f>
        <v>0</v>
      </c>
      <c r="M186" s="33" t="n">
        <f aca="false">Controls!B36</f>
        <v>0</v>
      </c>
      <c r="N186" s="32" t="str">
        <f aca="false">IF(M186&gt;0,"PAID","HELD")</f>
        <v>HELD</v>
      </c>
    </row>
    <row r="187" customFormat="false" ht="15" hidden="false" customHeight="false" outlineLevel="0" collapsed="false">
      <c r="A187" s="19" t="str">
        <f aca="false">"PAY-"&amp;B187&amp;"-FRAME"</f>
        <v>PAY-INT-HC-CON-FRAME</v>
      </c>
      <c r="B187" s="19" t="str">
        <f aca="false">'Object Crosswalk'!A52</f>
        <v>INT-HC-CON</v>
      </c>
      <c r="C187" s="19" t="str">
        <f aca="false">'Object Crosswalk'!B52</f>
        <v>Station integration</v>
      </c>
      <c r="D187" s="19" t="str">
        <f aca="false">'Object Crosswalk'!C52</f>
        <v>Public</v>
      </c>
      <c r="E187" s="19" t="str">
        <f aca="false">'Object Crosswalk'!D52</f>
        <v>MS-HC</v>
      </c>
      <c r="F187" s="19" t="str">
        <f aca="false">'Object Crosswalk'!E52</f>
        <v>HC-A</v>
      </c>
      <c r="G187" s="9" t="s">
        <v>543</v>
      </c>
      <c r="H187" s="41" t="n">
        <v>0.25</v>
      </c>
      <c r="I187" s="50" t="n">
        <f aca="false">'Object Crosswalk'!I52</f>
        <v>0.0633333333333333</v>
      </c>
      <c r="J187" s="50" t="n">
        <f aca="false">H187*I187</f>
        <v>0.0158333333333333</v>
      </c>
      <c r="K187" s="32" t="n">
        <f aca="false">0</f>
        <v>0</v>
      </c>
      <c r="L187" s="33" t="n">
        <f aca="false">Controls!B35</f>
        <v>0</v>
      </c>
      <c r="M187" s="33" t="n">
        <f aca="false">Controls!B36</f>
        <v>0</v>
      </c>
      <c r="N187" s="32" t="str">
        <f aca="false">IF(M187&gt;0,"PAID","HELD")</f>
        <v>HELD</v>
      </c>
    </row>
    <row r="188" customFormat="false" ht="15" hidden="false" customHeight="false" outlineLevel="0" collapsed="false">
      <c r="A188" s="19" t="str">
        <f aca="false">"PAY-"&amp;B188&amp;"-MAKE"</f>
        <v>PAY-INT-HC-CON-MAKE</v>
      </c>
      <c r="B188" s="19" t="str">
        <f aca="false">'Object Crosswalk'!A52</f>
        <v>INT-HC-CON</v>
      </c>
      <c r="C188" s="19" t="str">
        <f aca="false">'Object Crosswalk'!B52</f>
        <v>Station integration</v>
      </c>
      <c r="D188" s="19" t="str">
        <f aca="false">'Object Crosswalk'!C52</f>
        <v>Public</v>
      </c>
      <c r="E188" s="19" t="str">
        <f aca="false">'Object Crosswalk'!D52</f>
        <v>MS-HC</v>
      </c>
      <c r="F188" s="19" t="str">
        <f aca="false">'Object Crosswalk'!E52</f>
        <v>HC-A</v>
      </c>
      <c r="G188" s="9" t="s">
        <v>546</v>
      </c>
      <c r="H188" s="41" t="n">
        <v>0.5</v>
      </c>
      <c r="I188" s="50" t="n">
        <f aca="false">'Object Crosswalk'!I52</f>
        <v>0.0633333333333333</v>
      </c>
      <c r="J188" s="50" t="n">
        <f aca="false">H188*I188</f>
        <v>0.0316666666666667</v>
      </c>
      <c r="K188" s="32" t="n">
        <f aca="false">0</f>
        <v>0</v>
      </c>
      <c r="L188" s="33" t="n">
        <f aca="false">Controls!B35</f>
        <v>0</v>
      </c>
      <c r="M188" s="33" t="n">
        <f aca="false">Controls!B36</f>
        <v>0</v>
      </c>
      <c r="N188" s="32" t="str">
        <f aca="false">IF(M188&gt;0,"PAID","HELD")</f>
        <v>HELD</v>
      </c>
    </row>
    <row r="189" customFormat="false" ht="15" hidden="false" customHeight="false" outlineLevel="0" collapsed="false">
      <c r="A189" s="19" t="str">
        <f aca="false">"PAY-"&amp;B189&amp;"-BREAK"</f>
        <v>PAY-INT-HC-CON-BREAK</v>
      </c>
      <c r="B189" s="19" t="str">
        <f aca="false">'Object Crosswalk'!A52</f>
        <v>INT-HC-CON</v>
      </c>
      <c r="C189" s="19" t="str">
        <f aca="false">'Object Crosswalk'!B52</f>
        <v>Station integration</v>
      </c>
      <c r="D189" s="19" t="str">
        <f aca="false">'Object Crosswalk'!C52</f>
        <v>Public</v>
      </c>
      <c r="E189" s="19" t="str">
        <f aca="false">'Object Crosswalk'!D52</f>
        <v>MS-HC</v>
      </c>
      <c r="F189" s="19" t="str">
        <f aca="false">'Object Crosswalk'!E52</f>
        <v>HC-A</v>
      </c>
      <c r="G189" s="9" t="s">
        <v>1209</v>
      </c>
      <c r="H189" s="41" t="n">
        <v>0</v>
      </c>
      <c r="I189" s="50" t="n">
        <f aca="false">'Object Crosswalk'!I52</f>
        <v>0.0633333333333333</v>
      </c>
      <c r="J189" s="50" t="n">
        <f aca="false">H189*I189</f>
        <v>0</v>
      </c>
      <c r="K189" s="32" t="n">
        <f aca="false">0</f>
        <v>0</v>
      </c>
      <c r="L189" s="33" t="n">
        <f aca="false">Controls!B35</f>
        <v>0</v>
      </c>
      <c r="M189" s="33" t="n">
        <f aca="false">Controls!B36</f>
        <v>0</v>
      </c>
      <c r="N189" s="32" t="str">
        <f aca="false">IF(M189&gt;0,"PAID","HELD")</f>
        <v>HELD</v>
      </c>
    </row>
    <row r="190" customFormat="false" ht="15" hidden="false" customHeight="false" outlineLevel="0" collapsed="false">
      <c r="A190" s="19" t="str">
        <f aca="false">"PAY-"&amp;B190&amp;"-TRANSFER"</f>
        <v>PAY-INT-HC-CON-TRANSFER</v>
      </c>
      <c r="B190" s="19" t="str">
        <f aca="false">'Object Crosswalk'!A52</f>
        <v>INT-HC-CON</v>
      </c>
      <c r="C190" s="19" t="str">
        <f aca="false">'Object Crosswalk'!B52</f>
        <v>Station integration</v>
      </c>
      <c r="D190" s="19" t="str">
        <f aca="false">'Object Crosswalk'!C52</f>
        <v>Public</v>
      </c>
      <c r="E190" s="19" t="str">
        <f aca="false">'Object Crosswalk'!D52</f>
        <v>MS-HC</v>
      </c>
      <c r="F190" s="19" t="str">
        <f aca="false">'Object Crosswalk'!E52</f>
        <v>HC-A</v>
      </c>
      <c r="G190" s="9" t="s">
        <v>1210</v>
      </c>
      <c r="H190" s="41" t="n">
        <v>0.25</v>
      </c>
      <c r="I190" s="50" t="n">
        <f aca="false">'Object Crosswalk'!I52</f>
        <v>0.0633333333333333</v>
      </c>
      <c r="J190" s="50" t="n">
        <f aca="false">H190*I190</f>
        <v>0.0158333333333333</v>
      </c>
      <c r="K190" s="32" t="n">
        <f aca="false">0</f>
        <v>0</v>
      </c>
      <c r="L190" s="33" t="n">
        <f aca="false">Controls!B35</f>
        <v>0</v>
      </c>
      <c r="M190" s="33" t="n">
        <f aca="false">Controls!B36</f>
        <v>0</v>
      </c>
      <c r="N190" s="32" t="str">
        <f aca="false">IF(M190&gt;0,"PAID","HELD")</f>
        <v>HELD</v>
      </c>
    </row>
    <row r="191" customFormat="false" ht="15" hidden="false" customHeight="false" outlineLevel="0" collapsed="false">
      <c r="A191" s="19" t="str">
        <f aca="false">"PAY-"&amp;B191&amp;"-FRAME"</f>
        <v>PAY-RIG-HC-REC-FRAME</v>
      </c>
      <c r="B191" s="19" t="str">
        <f aca="false">'Object Crosswalk'!A53</f>
        <v>RIG-HC-REC</v>
      </c>
      <c r="C191" s="19" t="str">
        <f aca="false">'Object Crosswalk'!B53</f>
        <v>Root-native rig</v>
      </c>
      <c r="D191" s="19" t="str">
        <f aca="false">'Object Crosswalk'!C53</f>
        <v>Public</v>
      </c>
      <c r="E191" s="19" t="str">
        <f aca="false">'Object Crosswalk'!D53</f>
        <v>MS-HC</v>
      </c>
      <c r="F191" s="19" t="str">
        <f aca="false">'Object Crosswalk'!E53</f>
        <v>HC-A</v>
      </c>
      <c r="G191" s="9" t="s">
        <v>543</v>
      </c>
      <c r="H191" s="41" t="n">
        <v>0.25</v>
      </c>
      <c r="I191" s="50" t="n">
        <f aca="false">'Object Crosswalk'!I53</f>
        <v>0.316666666666667</v>
      </c>
      <c r="J191" s="50" t="n">
        <f aca="false">H191*I191</f>
        <v>0.0791666666666667</v>
      </c>
      <c r="K191" s="32" t="n">
        <f aca="false">0</f>
        <v>0</v>
      </c>
      <c r="L191" s="33" t="n">
        <f aca="false">Controls!B35</f>
        <v>0</v>
      </c>
      <c r="M191" s="33" t="n">
        <f aca="false">Controls!B36</f>
        <v>0</v>
      </c>
      <c r="N191" s="32" t="str">
        <f aca="false">IF(M191&gt;0,"PAID","HELD")</f>
        <v>HELD</v>
      </c>
    </row>
    <row r="192" customFormat="false" ht="15" hidden="false" customHeight="false" outlineLevel="0" collapsed="false">
      <c r="A192" s="19" t="str">
        <f aca="false">"PAY-"&amp;B192&amp;"-MAKE"</f>
        <v>PAY-RIG-HC-REC-MAKE</v>
      </c>
      <c r="B192" s="19" t="str">
        <f aca="false">'Object Crosswalk'!A53</f>
        <v>RIG-HC-REC</v>
      </c>
      <c r="C192" s="19" t="str">
        <f aca="false">'Object Crosswalk'!B53</f>
        <v>Root-native rig</v>
      </c>
      <c r="D192" s="19" t="str">
        <f aca="false">'Object Crosswalk'!C53</f>
        <v>Public</v>
      </c>
      <c r="E192" s="19" t="str">
        <f aca="false">'Object Crosswalk'!D53</f>
        <v>MS-HC</v>
      </c>
      <c r="F192" s="19" t="str">
        <f aca="false">'Object Crosswalk'!E53</f>
        <v>HC-A</v>
      </c>
      <c r="G192" s="9" t="s">
        <v>546</v>
      </c>
      <c r="H192" s="41" t="n">
        <v>0.5</v>
      </c>
      <c r="I192" s="50" t="n">
        <f aca="false">'Object Crosswalk'!I53</f>
        <v>0.316666666666667</v>
      </c>
      <c r="J192" s="50" t="n">
        <f aca="false">H192*I192</f>
        <v>0.158333333333333</v>
      </c>
      <c r="K192" s="32" t="n">
        <f aca="false">0</f>
        <v>0</v>
      </c>
      <c r="L192" s="33" t="n">
        <f aca="false">Controls!B35</f>
        <v>0</v>
      </c>
      <c r="M192" s="33" t="n">
        <f aca="false">Controls!B36</f>
        <v>0</v>
      </c>
      <c r="N192" s="32" t="str">
        <f aca="false">IF(M192&gt;0,"PAID","HELD")</f>
        <v>HELD</v>
      </c>
    </row>
    <row r="193" customFormat="false" ht="15" hidden="false" customHeight="false" outlineLevel="0" collapsed="false">
      <c r="A193" s="19" t="str">
        <f aca="false">"PAY-"&amp;B193&amp;"-BREAK"</f>
        <v>PAY-RIG-HC-REC-BREAK</v>
      </c>
      <c r="B193" s="19" t="str">
        <f aca="false">'Object Crosswalk'!A53</f>
        <v>RIG-HC-REC</v>
      </c>
      <c r="C193" s="19" t="str">
        <f aca="false">'Object Crosswalk'!B53</f>
        <v>Root-native rig</v>
      </c>
      <c r="D193" s="19" t="str">
        <f aca="false">'Object Crosswalk'!C53</f>
        <v>Public</v>
      </c>
      <c r="E193" s="19" t="str">
        <f aca="false">'Object Crosswalk'!D53</f>
        <v>MS-HC</v>
      </c>
      <c r="F193" s="19" t="str">
        <f aca="false">'Object Crosswalk'!E53</f>
        <v>HC-A</v>
      </c>
      <c r="G193" s="9" t="s">
        <v>1209</v>
      </c>
      <c r="H193" s="41" t="n">
        <v>0</v>
      </c>
      <c r="I193" s="50" t="n">
        <f aca="false">'Object Crosswalk'!I53</f>
        <v>0.316666666666667</v>
      </c>
      <c r="J193" s="50" t="n">
        <f aca="false">H193*I193</f>
        <v>0</v>
      </c>
      <c r="K193" s="32" t="n">
        <f aca="false">0</f>
        <v>0</v>
      </c>
      <c r="L193" s="33" t="n">
        <f aca="false">Controls!B35</f>
        <v>0</v>
      </c>
      <c r="M193" s="33" t="n">
        <f aca="false">Controls!B36</f>
        <v>0</v>
      </c>
      <c r="N193" s="32" t="str">
        <f aca="false">IF(M193&gt;0,"PAID","HELD")</f>
        <v>HELD</v>
      </c>
    </row>
    <row r="194" customFormat="false" ht="15" hidden="false" customHeight="false" outlineLevel="0" collapsed="false">
      <c r="A194" s="19" t="str">
        <f aca="false">"PAY-"&amp;B194&amp;"-TRANSFER"</f>
        <v>PAY-RIG-HC-REC-TRANSFER</v>
      </c>
      <c r="B194" s="19" t="str">
        <f aca="false">'Object Crosswalk'!A53</f>
        <v>RIG-HC-REC</v>
      </c>
      <c r="C194" s="19" t="str">
        <f aca="false">'Object Crosswalk'!B53</f>
        <v>Root-native rig</v>
      </c>
      <c r="D194" s="19" t="str">
        <f aca="false">'Object Crosswalk'!C53</f>
        <v>Public</v>
      </c>
      <c r="E194" s="19" t="str">
        <f aca="false">'Object Crosswalk'!D53</f>
        <v>MS-HC</v>
      </c>
      <c r="F194" s="19" t="str">
        <f aca="false">'Object Crosswalk'!E53</f>
        <v>HC-A</v>
      </c>
      <c r="G194" s="9" t="s">
        <v>1210</v>
      </c>
      <c r="H194" s="41" t="n">
        <v>0.25</v>
      </c>
      <c r="I194" s="50" t="n">
        <f aca="false">'Object Crosswalk'!I53</f>
        <v>0.316666666666667</v>
      </c>
      <c r="J194" s="50" t="n">
        <f aca="false">H194*I194</f>
        <v>0.0791666666666667</v>
      </c>
      <c r="K194" s="32" t="n">
        <f aca="false">0</f>
        <v>0</v>
      </c>
      <c r="L194" s="33" t="n">
        <f aca="false">Controls!B35</f>
        <v>0</v>
      </c>
      <c r="M194" s="33" t="n">
        <f aca="false">Controls!B36</f>
        <v>0</v>
      </c>
      <c r="N194" s="32" t="str">
        <f aca="false">IF(M194&gt;0,"PAID","HELD")</f>
        <v>HELD</v>
      </c>
    </row>
    <row r="195" customFormat="false" ht="15" hidden="false" customHeight="false" outlineLevel="0" collapsed="false">
      <c r="A195" s="19" t="str">
        <f aca="false">"PAY-"&amp;B195&amp;"-FRAME"</f>
        <v>PAY-MTH-HC-REC-L1-FRAME</v>
      </c>
      <c r="B195" s="19" t="str">
        <f aca="false">'Object Crosswalk'!A54</f>
        <v>MTH-HC-REC-L1</v>
      </c>
      <c r="C195" s="19" t="str">
        <f aca="false">'Object Crosswalk'!B54</f>
        <v>Method lineage</v>
      </c>
      <c r="D195" s="19" t="str">
        <f aca="false">'Object Crosswalk'!C54</f>
        <v>Public</v>
      </c>
      <c r="E195" s="19" t="str">
        <f aca="false">'Object Crosswalk'!D54</f>
        <v>MS-HC</v>
      </c>
      <c r="F195" s="19" t="str">
        <f aca="false">'Object Crosswalk'!E54</f>
        <v>HC-A</v>
      </c>
      <c r="G195" s="9" t="s">
        <v>543</v>
      </c>
      <c r="H195" s="41" t="n">
        <v>0.25</v>
      </c>
      <c r="I195" s="50" t="n">
        <f aca="false">'Object Crosswalk'!I54</f>
        <v>0.09</v>
      </c>
      <c r="J195" s="50" t="n">
        <f aca="false">H195*I195</f>
        <v>0.0225</v>
      </c>
      <c r="K195" s="32" t="n">
        <f aca="false">0</f>
        <v>0</v>
      </c>
      <c r="L195" s="33" t="n">
        <f aca="false">Controls!B35</f>
        <v>0</v>
      </c>
      <c r="M195" s="33" t="n">
        <f aca="false">Controls!B36</f>
        <v>0</v>
      </c>
      <c r="N195" s="32" t="str">
        <f aca="false">IF(M195&gt;0,"PAID","HELD")</f>
        <v>HELD</v>
      </c>
    </row>
    <row r="196" customFormat="false" ht="15" hidden="false" customHeight="false" outlineLevel="0" collapsed="false">
      <c r="A196" s="19" t="str">
        <f aca="false">"PAY-"&amp;B196&amp;"-MAKE"</f>
        <v>PAY-MTH-HC-REC-L1-MAKE</v>
      </c>
      <c r="B196" s="19" t="str">
        <f aca="false">'Object Crosswalk'!A54</f>
        <v>MTH-HC-REC-L1</v>
      </c>
      <c r="C196" s="19" t="str">
        <f aca="false">'Object Crosswalk'!B54</f>
        <v>Method lineage</v>
      </c>
      <c r="D196" s="19" t="str">
        <f aca="false">'Object Crosswalk'!C54</f>
        <v>Public</v>
      </c>
      <c r="E196" s="19" t="str">
        <f aca="false">'Object Crosswalk'!D54</f>
        <v>MS-HC</v>
      </c>
      <c r="F196" s="19" t="str">
        <f aca="false">'Object Crosswalk'!E54</f>
        <v>HC-A</v>
      </c>
      <c r="G196" s="9" t="s">
        <v>546</v>
      </c>
      <c r="H196" s="41" t="n">
        <v>0.5</v>
      </c>
      <c r="I196" s="50" t="n">
        <f aca="false">'Object Crosswalk'!I54</f>
        <v>0.09</v>
      </c>
      <c r="J196" s="50" t="n">
        <f aca="false">H196*I196</f>
        <v>0.045</v>
      </c>
      <c r="K196" s="32" t="n">
        <f aca="false">0</f>
        <v>0</v>
      </c>
      <c r="L196" s="33" t="n">
        <f aca="false">Controls!B35</f>
        <v>0</v>
      </c>
      <c r="M196" s="33" t="n">
        <f aca="false">Controls!B36</f>
        <v>0</v>
      </c>
      <c r="N196" s="32" t="str">
        <f aca="false">IF(M196&gt;0,"PAID","HELD")</f>
        <v>HELD</v>
      </c>
    </row>
    <row r="197" customFormat="false" ht="15" hidden="false" customHeight="false" outlineLevel="0" collapsed="false">
      <c r="A197" s="19" t="str">
        <f aca="false">"PAY-"&amp;B197&amp;"-BREAK"</f>
        <v>PAY-MTH-HC-REC-L1-BREAK</v>
      </c>
      <c r="B197" s="19" t="str">
        <f aca="false">'Object Crosswalk'!A54</f>
        <v>MTH-HC-REC-L1</v>
      </c>
      <c r="C197" s="19" t="str">
        <f aca="false">'Object Crosswalk'!B54</f>
        <v>Method lineage</v>
      </c>
      <c r="D197" s="19" t="str">
        <f aca="false">'Object Crosswalk'!C54</f>
        <v>Public</v>
      </c>
      <c r="E197" s="19" t="str">
        <f aca="false">'Object Crosswalk'!D54</f>
        <v>MS-HC</v>
      </c>
      <c r="F197" s="19" t="str">
        <f aca="false">'Object Crosswalk'!E54</f>
        <v>HC-A</v>
      </c>
      <c r="G197" s="9" t="s">
        <v>1209</v>
      </c>
      <c r="H197" s="41" t="n">
        <v>0</v>
      </c>
      <c r="I197" s="50" t="n">
        <f aca="false">'Object Crosswalk'!I54</f>
        <v>0.09</v>
      </c>
      <c r="J197" s="50" t="n">
        <f aca="false">H197*I197</f>
        <v>0</v>
      </c>
      <c r="K197" s="32" t="n">
        <f aca="false">0</f>
        <v>0</v>
      </c>
      <c r="L197" s="33" t="n">
        <f aca="false">Controls!B35</f>
        <v>0</v>
      </c>
      <c r="M197" s="33" t="n">
        <f aca="false">Controls!B36</f>
        <v>0</v>
      </c>
      <c r="N197" s="32" t="str">
        <f aca="false">IF(M197&gt;0,"PAID","HELD")</f>
        <v>HELD</v>
      </c>
    </row>
    <row r="198" customFormat="false" ht="15" hidden="false" customHeight="false" outlineLevel="0" collapsed="false">
      <c r="A198" s="19" t="str">
        <f aca="false">"PAY-"&amp;B198&amp;"-TRANSFER"</f>
        <v>PAY-MTH-HC-REC-L1-TRANSFER</v>
      </c>
      <c r="B198" s="19" t="str">
        <f aca="false">'Object Crosswalk'!A54</f>
        <v>MTH-HC-REC-L1</v>
      </c>
      <c r="C198" s="19" t="str">
        <f aca="false">'Object Crosswalk'!B54</f>
        <v>Method lineage</v>
      </c>
      <c r="D198" s="19" t="str">
        <f aca="false">'Object Crosswalk'!C54</f>
        <v>Public</v>
      </c>
      <c r="E198" s="19" t="str">
        <f aca="false">'Object Crosswalk'!D54</f>
        <v>MS-HC</v>
      </c>
      <c r="F198" s="19" t="str">
        <f aca="false">'Object Crosswalk'!E54</f>
        <v>HC-A</v>
      </c>
      <c r="G198" s="9" t="s">
        <v>1210</v>
      </c>
      <c r="H198" s="41" t="n">
        <v>0.25</v>
      </c>
      <c r="I198" s="50" t="n">
        <f aca="false">'Object Crosswalk'!I54</f>
        <v>0.09</v>
      </c>
      <c r="J198" s="50" t="n">
        <f aca="false">H198*I198</f>
        <v>0.0225</v>
      </c>
      <c r="K198" s="32" t="n">
        <f aca="false">0</f>
        <v>0</v>
      </c>
      <c r="L198" s="33" t="n">
        <f aca="false">Controls!B35</f>
        <v>0</v>
      </c>
      <c r="M198" s="33" t="n">
        <f aca="false">Controls!B36</f>
        <v>0</v>
      </c>
      <c r="N198" s="32" t="str">
        <f aca="false">IF(M198&gt;0,"PAID","HELD")</f>
        <v>HELD</v>
      </c>
    </row>
    <row r="199" customFormat="false" ht="15" hidden="false" customHeight="false" outlineLevel="0" collapsed="false">
      <c r="A199" s="19" t="str">
        <f aca="false">"PAY-"&amp;B199&amp;"-FRAME"</f>
        <v>PAY-MTH-HC-REC-L2-FRAME</v>
      </c>
      <c r="B199" s="19" t="str">
        <f aca="false">'Object Crosswalk'!A55</f>
        <v>MTH-HC-REC-L2</v>
      </c>
      <c r="C199" s="19" t="str">
        <f aca="false">'Object Crosswalk'!B55</f>
        <v>Method lineage</v>
      </c>
      <c r="D199" s="19" t="str">
        <f aca="false">'Object Crosswalk'!C55</f>
        <v>Public</v>
      </c>
      <c r="E199" s="19" t="str">
        <f aca="false">'Object Crosswalk'!D55</f>
        <v>MS-HC</v>
      </c>
      <c r="F199" s="19" t="str">
        <f aca="false">'Object Crosswalk'!E55</f>
        <v>HC-A</v>
      </c>
      <c r="G199" s="9" t="s">
        <v>543</v>
      </c>
      <c r="H199" s="41" t="n">
        <v>0.25</v>
      </c>
      <c r="I199" s="50" t="n">
        <f aca="false">'Object Crosswalk'!I55</f>
        <v>0.09</v>
      </c>
      <c r="J199" s="50" t="n">
        <f aca="false">H199*I199</f>
        <v>0.0225</v>
      </c>
      <c r="K199" s="32" t="n">
        <f aca="false">0</f>
        <v>0</v>
      </c>
      <c r="L199" s="33" t="n">
        <f aca="false">Controls!B35</f>
        <v>0</v>
      </c>
      <c r="M199" s="33" t="n">
        <f aca="false">Controls!B36</f>
        <v>0</v>
      </c>
      <c r="N199" s="32" t="str">
        <f aca="false">IF(M199&gt;0,"PAID","HELD")</f>
        <v>HELD</v>
      </c>
    </row>
    <row r="200" customFormat="false" ht="15" hidden="false" customHeight="false" outlineLevel="0" collapsed="false">
      <c r="A200" s="19" t="str">
        <f aca="false">"PAY-"&amp;B200&amp;"-MAKE"</f>
        <v>PAY-MTH-HC-REC-L2-MAKE</v>
      </c>
      <c r="B200" s="19" t="str">
        <f aca="false">'Object Crosswalk'!A55</f>
        <v>MTH-HC-REC-L2</v>
      </c>
      <c r="C200" s="19" t="str">
        <f aca="false">'Object Crosswalk'!B55</f>
        <v>Method lineage</v>
      </c>
      <c r="D200" s="19" t="str">
        <f aca="false">'Object Crosswalk'!C55</f>
        <v>Public</v>
      </c>
      <c r="E200" s="19" t="str">
        <f aca="false">'Object Crosswalk'!D55</f>
        <v>MS-HC</v>
      </c>
      <c r="F200" s="19" t="str">
        <f aca="false">'Object Crosswalk'!E55</f>
        <v>HC-A</v>
      </c>
      <c r="G200" s="9" t="s">
        <v>546</v>
      </c>
      <c r="H200" s="41" t="n">
        <v>0.5</v>
      </c>
      <c r="I200" s="50" t="n">
        <f aca="false">'Object Crosswalk'!I55</f>
        <v>0.09</v>
      </c>
      <c r="J200" s="50" t="n">
        <f aca="false">H200*I200</f>
        <v>0.045</v>
      </c>
      <c r="K200" s="32" t="n">
        <f aca="false">0</f>
        <v>0</v>
      </c>
      <c r="L200" s="33" t="n">
        <f aca="false">Controls!B35</f>
        <v>0</v>
      </c>
      <c r="M200" s="33" t="n">
        <f aca="false">Controls!B36</f>
        <v>0</v>
      </c>
      <c r="N200" s="32" t="str">
        <f aca="false">IF(M200&gt;0,"PAID","HELD")</f>
        <v>HELD</v>
      </c>
    </row>
    <row r="201" customFormat="false" ht="15" hidden="false" customHeight="false" outlineLevel="0" collapsed="false">
      <c r="A201" s="19" t="str">
        <f aca="false">"PAY-"&amp;B201&amp;"-BREAK"</f>
        <v>PAY-MTH-HC-REC-L2-BREAK</v>
      </c>
      <c r="B201" s="19" t="str">
        <f aca="false">'Object Crosswalk'!A55</f>
        <v>MTH-HC-REC-L2</v>
      </c>
      <c r="C201" s="19" t="str">
        <f aca="false">'Object Crosswalk'!B55</f>
        <v>Method lineage</v>
      </c>
      <c r="D201" s="19" t="str">
        <f aca="false">'Object Crosswalk'!C55</f>
        <v>Public</v>
      </c>
      <c r="E201" s="19" t="str">
        <f aca="false">'Object Crosswalk'!D55</f>
        <v>MS-HC</v>
      </c>
      <c r="F201" s="19" t="str">
        <f aca="false">'Object Crosswalk'!E55</f>
        <v>HC-A</v>
      </c>
      <c r="G201" s="9" t="s">
        <v>1209</v>
      </c>
      <c r="H201" s="41" t="n">
        <v>0</v>
      </c>
      <c r="I201" s="50" t="n">
        <f aca="false">'Object Crosswalk'!I55</f>
        <v>0.09</v>
      </c>
      <c r="J201" s="50" t="n">
        <f aca="false">H201*I201</f>
        <v>0</v>
      </c>
      <c r="K201" s="32" t="n">
        <f aca="false">0</f>
        <v>0</v>
      </c>
      <c r="L201" s="33" t="n">
        <f aca="false">Controls!B35</f>
        <v>0</v>
      </c>
      <c r="M201" s="33" t="n">
        <f aca="false">Controls!B36</f>
        <v>0</v>
      </c>
      <c r="N201" s="32" t="str">
        <f aca="false">IF(M201&gt;0,"PAID","HELD")</f>
        <v>HELD</v>
      </c>
    </row>
    <row r="202" customFormat="false" ht="15" hidden="false" customHeight="false" outlineLevel="0" collapsed="false">
      <c r="A202" s="19" t="str">
        <f aca="false">"PAY-"&amp;B202&amp;"-TRANSFER"</f>
        <v>PAY-MTH-HC-REC-L2-TRANSFER</v>
      </c>
      <c r="B202" s="19" t="str">
        <f aca="false">'Object Crosswalk'!A55</f>
        <v>MTH-HC-REC-L2</v>
      </c>
      <c r="C202" s="19" t="str">
        <f aca="false">'Object Crosswalk'!B55</f>
        <v>Method lineage</v>
      </c>
      <c r="D202" s="19" t="str">
        <f aca="false">'Object Crosswalk'!C55</f>
        <v>Public</v>
      </c>
      <c r="E202" s="19" t="str">
        <f aca="false">'Object Crosswalk'!D55</f>
        <v>MS-HC</v>
      </c>
      <c r="F202" s="19" t="str">
        <f aca="false">'Object Crosswalk'!E55</f>
        <v>HC-A</v>
      </c>
      <c r="G202" s="9" t="s">
        <v>1210</v>
      </c>
      <c r="H202" s="41" t="n">
        <v>0.25</v>
      </c>
      <c r="I202" s="50" t="n">
        <f aca="false">'Object Crosswalk'!I55</f>
        <v>0.09</v>
      </c>
      <c r="J202" s="50" t="n">
        <f aca="false">H202*I202</f>
        <v>0.0225</v>
      </c>
      <c r="K202" s="32" t="n">
        <f aca="false">0</f>
        <v>0</v>
      </c>
      <c r="L202" s="33" t="n">
        <f aca="false">Controls!B35</f>
        <v>0</v>
      </c>
      <c r="M202" s="33" t="n">
        <f aca="false">Controls!B36</f>
        <v>0</v>
      </c>
      <c r="N202" s="32" t="str">
        <f aca="false">IF(M202&gt;0,"PAID","HELD")</f>
        <v>HELD</v>
      </c>
    </row>
    <row r="203" customFormat="false" ht="15" hidden="false" customHeight="false" outlineLevel="0" collapsed="false">
      <c r="A203" s="19" t="str">
        <f aca="false">"PAY-"&amp;B203&amp;"-FRAME"</f>
        <v>PAY-REG-HC-REC-FRAME</v>
      </c>
      <c r="B203" s="19" t="str">
        <f aca="false">'Object Crosswalk'!A56</f>
        <v>REG-HC-REC</v>
      </c>
      <c r="C203" s="19" t="str">
        <f aca="false">'Object Crosswalk'!B56</f>
        <v>Regeneration tool</v>
      </c>
      <c r="D203" s="19" t="str">
        <f aca="false">'Object Crosswalk'!C56</f>
        <v>Public</v>
      </c>
      <c r="E203" s="19" t="str">
        <f aca="false">'Object Crosswalk'!D56</f>
        <v>MS-HC</v>
      </c>
      <c r="F203" s="19" t="str">
        <f aca="false">'Object Crosswalk'!E56</f>
        <v>HC-A</v>
      </c>
      <c r="G203" s="9" t="s">
        <v>543</v>
      </c>
      <c r="H203" s="41" t="n">
        <v>0.25</v>
      </c>
      <c r="I203" s="50" t="n">
        <f aca="false">'Object Crosswalk'!I56</f>
        <v>0.0666666666666667</v>
      </c>
      <c r="J203" s="50" t="n">
        <f aca="false">H203*I203</f>
        <v>0.0166666666666667</v>
      </c>
      <c r="K203" s="32" t="n">
        <f aca="false">0</f>
        <v>0</v>
      </c>
      <c r="L203" s="33" t="n">
        <f aca="false">Controls!B35</f>
        <v>0</v>
      </c>
      <c r="M203" s="33" t="n">
        <f aca="false">Controls!B36</f>
        <v>0</v>
      </c>
      <c r="N203" s="32" t="str">
        <f aca="false">IF(M203&gt;0,"PAID","HELD")</f>
        <v>HELD</v>
      </c>
    </row>
    <row r="204" customFormat="false" ht="15" hidden="false" customHeight="false" outlineLevel="0" collapsed="false">
      <c r="A204" s="19" t="str">
        <f aca="false">"PAY-"&amp;B204&amp;"-MAKE"</f>
        <v>PAY-REG-HC-REC-MAKE</v>
      </c>
      <c r="B204" s="19" t="str">
        <f aca="false">'Object Crosswalk'!A56</f>
        <v>REG-HC-REC</v>
      </c>
      <c r="C204" s="19" t="str">
        <f aca="false">'Object Crosswalk'!B56</f>
        <v>Regeneration tool</v>
      </c>
      <c r="D204" s="19" t="str">
        <f aca="false">'Object Crosswalk'!C56</f>
        <v>Public</v>
      </c>
      <c r="E204" s="19" t="str">
        <f aca="false">'Object Crosswalk'!D56</f>
        <v>MS-HC</v>
      </c>
      <c r="F204" s="19" t="str">
        <f aca="false">'Object Crosswalk'!E56</f>
        <v>HC-A</v>
      </c>
      <c r="G204" s="9" t="s">
        <v>546</v>
      </c>
      <c r="H204" s="41" t="n">
        <v>0.5</v>
      </c>
      <c r="I204" s="50" t="n">
        <f aca="false">'Object Crosswalk'!I56</f>
        <v>0.0666666666666667</v>
      </c>
      <c r="J204" s="50" t="n">
        <f aca="false">H204*I204</f>
        <v>0.0333333333333333</v>
      </c>
      <c r="K204" s="32" t="n">
        <f aca="false">0</f>
        <v>0</v>
      </c>
      <c r="L204" s="33" t="n">
        <f aca="false">Controls!B35</f>
        <v>0</v>
      </c>
      <c r="M204" s="33" t="n">
        <f aca="false">Controls!B36</f>
        <v>0</v>
      </c>
      <c r="N204" s="32" t="str">
        <f aca="false">IF(M204&gt;0,"PAID","HELD")</f>
        <v>HELD</v>
      </c>
    </row>
    <row r="205" customFormat="false" ht="15" hidden="false" customHeight="false" outlineLevel="0" collapsed="false">
      <c r="A205" s="19" t="str">
        <f aca="false">"PAY-"&amp;B205&amp;"-BREAK"</f>
        <v>PAY-REG-HC-REC-BREAK</v>
      </c>
      <c r="B205" s="19" t="str">
        <f aca="false">'Object Crosswalk'!A56</f>
        <v>REG-HC-REC</v>
      </c>
      <c r="C205" s="19" t="str">
        <f aca="false">'Object Crosswalk'!B56</f>
        <v>Regeneration tool</v>
      </c>
      <c r="D205" s="19" t="str">
        <f aca="false">'Object Crosswalk'!C56</f>
        <v>Public</v>
      </c>
      <c r="E205" s="19" t="str">
        <f aca="false">'Object Crosswalk'!D56</f>
        <v>MS-HC</v>
      </c>
      <c r="F205" s="19" t="str">
        <f aca="false">'Object Crosswalk'!E56</f>
        <v>HC-A</v>
      </c>
      <c r="G205" s="9" t="s">
        <v>1209</v>
      </c>
      <c r="H205" s="41" t="n">
        <v>0</v>
      </c>
      <c r="I205" s="50" t="n">
        <f aca="false">'Object Crosswalk'!I56</f>
        <v>0.0666666666666667</v>
      </c>
      <c r="J205" s="50" t="n">
        <f aca="false">H205*I205</f>
        <v>0</v>
      </c>
      <c r="K205" s="32" t="n">
        <f aca="false">0</f>
        <v>0</v>
      </c>
      <c r="L205" s="33" t="n">
        <f aca="false">Controls!B35</f>
        <v>0</v>
      </c>
      <c r="M205" s="33" t="n">
        <f aca="false">Controls!B36</f>
        <v>0</v>
      </c>
      <c r="N205" s="32" t="str">
        <f aca="false">IF(M205&gt;0,"PAID","HELD")</f>
        <v>HELD</v>
      </c>
    </row>
    <row r="206" customFormat="false" ht="15" hidden="false" customHeight="false" outlineLevel="0" collapsed="false">
      <c r="A206" s="19" t="str">
        <f aca="false">"PAY-"&amp;B206&amp;"-TRANSFER"</f>
        <v>PAY-REG-HC-REC-TRANSFER</v>
      </c>
      <c r="B206" s="19" t="str">
        <f aca="false">'Object Crosswalk'!A56</f>
        <v>REG-HC-REC</v>
      </c>
      <c r="C206" s="19" t="str">
        <f aca="false">'Object Crosswalk'!B56</f>
        <v>Regeneration tool</v>
      </c>
      <c r="D206" s="19" t="str">
        <f aca="false">'Object Crosswalk'!C56</f>
        <v>Public</v>
      </c>
      <c r="E206" s="19" t="str">
        <f aca="false">'Object Crosswalk'!D56</f>
        <v>MS-HC</v>
      </c>
      <c r="F206" s="19" t="str">
        <f aca="false">'Object Crosswalk'!E56</f>
        <v>HC-A</v>
      </c>
      <c r="G206" s="9" t="s">
        <v>1210</v>
      </c>
      <c r="H206" s="41" t="n">
        <v>0.25</v>
      </c>
      <c r="I206" s="50" t="n">
        <f aca="false">'Object Crosswalk'!I56</f>
        <v>0.0666666666666667</v>
      </c>
      <c r="J206" s="50" t="n">
        <f aca="false">H206*I206</f>
        <v>0.0166666666666667</v>
      </c>
      <c r="K206" s="32" t="n">
        <f aca="false">0</f>
        <v>0</v>
      </c>
      <c r="L206" s="33" t="n">
        <f aca="false">Controls!B35</f>
        <v>0</v>
      </c>
      <c r="M206" s="33" t="n">
        <f aca="false">Controls!B36</f>
        <v>0</v>
      </c>
      <c r="N206" s="32" t="str">
        <f aca="false">IF(M206&gt;0,"PAID","HELD")</f>
        <v>HELD</v>
      </c>
    </row>
    <row r="207" customFormat="false" ht="15" hidden="false" customHeight="false" outlineLevel="0" collapsed="false">
      <c r="A207" s="19" t="str">
        <f aca="false">"PAY-"&amp;B207&amp;"-FRAME"</f>
        <v>PAY-INT-HC-REC-FRAME</v>
      </c>
      <c r="B207" s="19" t="str">
        <f aca="false">'Object Crosswalk'!A57</f>
        <v>INT-HC-REC</v>
      </c>
      <c r="C207" s="19" t="str">
        <f aca="false">'Object Crosswalk'!B57</f>
        <v>Station integration</v>
      </c>
      <c r="D207" s="19" t="str">
        <f aca="false">'Object Crosswalk'!C57</f>
        <v>Public</v>
      </c>
      <c r="E207" s="19" t="str">
        <f aca="false">'Object Crosswalk'!D57</f>
        <v>MS-HC</v>
      </c>
      <c r="F207" s="19" t="str">
        <f aca="false">'Object Crosswalk'!E57</f>
        <v>HC-A</v>
      </c>
      <c r="G207" s="9" t="s">
        <v>543</v>
      </c>
      <c r="H207" s="41" t="n">
        <v>0.25</v>
      </c>
      <c r="I207" s="50" t="n">
        <f aca="false">'Object Crosswalk'!I57</f>
        <v>0.0633333333333333</v>
      </c>
      <c r="J207" s="50" t="n">
        <f aca="false">H207*I207</f>
        <v>0.0158333333333333</v>
      </c>
      <c r="K207" s="32" t="n">
        <f aca="false">0</f>
        <v>0</v>
      </c>
      <c r="L207" s="33" t="n">
        <f aca="false">Controls!B35</f>
        <v>0</v>
      </c>
      <c r="M207" s="33" t="n">
        <f aca="false">Controls!B36</f>
        <v>0</v>
      </c>
      <c r="N207" s="32" t="str">
        <f aca="false">IF(M207&gt;0,"PAID","HELD")</f>
        <v>HELD</v>
      </c>
    </row>
    <row r="208" customFormat="false" ht="15" hidden="false" customHeight="false" outlineLevel="0" collapsed="false">
      <c r="A208" s="19" t="str">
        <f aca="false">"PAY-"&amp;B208&amp;"-MAKE"</f>
        <v>PAY-INT-HC-REC-MAKE</v>
      </c>
      <c r="B208" s="19" t="str">
        <f aca="false">'Object Crosswalk'!A57</f>
        <v>INT-HC-REC</v>
      </c>
      <c r="C208" s="19" t="str">
        <f aca="false">'Object Crosswalk'!B57</f>
        <v>Station integration</v>
      </c>
      <c r="D208" s="19" t="str">
        <f aca="false">'Object Crosswalk'!C57</f>
        <v>Public</v>
      </c>
      <c r="E208" s="19" t="str">
        <f aca="false">'Object Crosswalk'!D57</f>
        <v>MS-HC</v>
      </c>
      <c r="F208" s="19" t="str">
        <f aca="false">'Object Crosswalk'!E57</f>
        <v>HC-A</v>
      </c>
      <c r="G208" s="9" t="s">
        <v>546</v>
      </c>
      <c r="H208" s="41" t="n">
        <v>0.5</v>
      </c>
      <c r="I208" s="50" t="n">
        <f aca="false">'Object Crosswalk'!I57</f>
        <v>0.0633333333333333</v>
      </c>
      <c r="J208" s="50" t="n">
        <f aca="false">H208*I208</f>
        <v>0.0316666666666667</v>
      </c>
      <c r="K208" s="32" t="n">
        <f aca="false">0</f>
        <v>0</v>
      </c>
      <c r="L208" s="33" t="n">
        <f aca="false">Controls!B35</f>
        <v>0</v>
      </c>
      <c r="M208" s="33" t="n">
        <f aca="false">Controls!B36</f>
        <v>0</v>
      </c>
      <c r="N208" s="32" t="str">
        <f aca="false">IF(M208&gt;0,"PAID","HELD")</f>
        <v>HELD</v>
      </c>
    </row>
    <row r="209" customFormat="false" ht="15" hidden="false" customHeight="false" outlineLevel="0" collapsed="false">
      <c r="A209" s="19" t="str">
        <f aca="false">"PAY-"&amp;B209&amp;"-BREAK"</f>
        <v>PAY-INT-HC-REC-BREAK</v>
      </c>
      <c r="B209" s="19" t="str">
        <f aca="false">'Object Crosswalk'!A57</f>
        <v>INT-HC-REC</v>
      </c>
      <c r="C209" s="19" t="str">
        <f aca="false">'Object Crosswalk'!B57</f>
        <v>Station integration</v>
      </c>
      <c r="D209" s="19" t="str">
        <f aca="false">'Object Crosswalk'!C57</f>
        <v>Public</v>
      </c>
      <c r="E209" s="19" t="str">
        <f aca="false">'Object Crosswalk'!D57</f>
        <v>MS-HC</v>
      </c>
      <c r="F209" s="19" t="str">
        <f aca="false">'Object Crosswalk'!E57</f>
        <v>HC-A</v>
      </c>
      <c r="G209" s="9" t="s">
        <v>1209</v>
      </c>
      <c r="H209" s="41" t="n">
        <v>0</v>
      </c>
      <c r="I209" s="50" t="n">
        <f aca="false">'Object Crosswalk'!I57</f>
        <v>0.0633333333333333</v>
      </c>
      <c r="J209" s="50" t="n">
        <f aca="false">H209*I209</f>
        <v>0</v>
      </c>
      <c r="K209" s="32" t="n">
        <f aca="false">0</f>
        <v>0</v>
      </c>
      <c r="L209" s="33" t="n">
        <f aca="false">Controls!B35</f>
        <v>0</v>
      </c>
      <c r="M209" s="33" t="n">
        <f aca="false">Controls!B36</f>
        <v>0</v>
      </c>
      <c r="N209" s="32" t="str">
        <f aca="false">IF(M209&gt;0,"PAID","HELD")</f>
        <v>HELD</v>
      </c>
    </row>
    <row r="210" customFormat="false" ht="15" hidden="false" customHeight="false" outlineLevel="0" collapsed="false">
      <c r="A210" s="19" t="str">
        <f aca="false">"PAY-"&amp;B210&amp;"-TRANSFER"</f>
        <v>PAY-INT-HC-REC-TRANSFER</v>
      </c>
      <c r="B210" s="19" t="str">
        <f aca="false">'Object Crosswalk'!A57</f>
        <v>INT-HC-REC</v>
      </c>
      <c r="C210" s="19" t="str">
        <f aca="false">'Object Crosswalk'!B57</f>
        <v>Station integration</v>
      </c>
      <c r="D210" s="19" t="str">
        <f aca="false">'Object Crosswalk'!C57</f>
        <v>Public</v>
      </c>
      <c r="E210" s="19" t="str">
        <f aca="false">'Object Crosswalk'!D57</f>
        <v>MS-HC</v>
      </c>
      <c r="F210" s="19" t="str">
        <f aca="false">'Object Crosswalk'!E57</f>
        <v>HC-A</v>
      </c>
      <c r="G210" s="9" t="s">
        <v>1210</v>
      </c>
      <c r="H210" s="41" t="n">
        <v>0.25</v>
      </c>
      <c r="I210" s="50" t="n">
        <f aca="false">'Object Crosswalk'!I57</f>
        <v>0.0633333333333333</v>
      </c>
      <c r="J210" s="50" t="n">
        <f aca="false">H210*I210</f>
        <v>0.0158333333333333</v>
      </c>
      <c r="K210" s="32" t="n">
        <f aca="false">0</f>
        <v>0</v>
      </c>
      <c r="L210" s="33" t="n">
        <f aca="false">Controls!B35</f>
        <v>0</v>
      </c>
      <c r="M210" s="33" t="n">
        <f aca="false">Controls!B36</f>
        <v>0</v>
      </c>
      <c r="N210" s="32" t="str">
        <f aca="false">IF(M210&gt;0,"PAID","HELD")</f>
        <v>HELD</v>
      </c>
    </row>
    <row r="211" customFormat="false" ht="15" hidden="false" customHeight="false" outlineLevel="0" collapsed="false">
      <c r="A211" s="19" t="str">
        <f aca="false">"PAY-"&amp;B211&amp;"-FRAME"</f>
        <v>PAY-RIG-LF-CHA-FRAME</v>
      </c>
      <c r="B211" s="19" t="str">
        <f aca="false">'Object Crosswalk'!A58</f>
        <v>RIG-LF-CHA</v>
      </c>
      <c r="C211" s="19" t="str">
        <f aca="false">'Object Crosswalk'!B58</f>
        <v>Root-native rig</v>
      </c>
      <c r="D211" s="19" t="str">
        <f aca="false">'Object Crosswalk'!C58</f>
        <v>Public</v>
      </c>
      <c r="E211" s="19" t="str">
        <f aca="false">'Object Crosswalk'!D58</f>
        <v>MS-LF</v>
      </c>
      <c r="F211" s="19" t="str">
        <f aca="false">'Object Crosswalk'!E58</f>
        <v>LF-B</v>
      </c>
      <c r="G211" s="9" t="s">
        <v>543</v>
      </c>
      <c r="H211" s="41" t="n">
        <v>0.25</v>
      </c>
      <c r="I211" s="50" t="n">
        <f aca="false">'Object Crosswalk'!I58</f>
        <v>0.316666666666667</v>
      </c>
      <c r="J211" s="50" t="n">
        <f aca="false">H211*I211</f>
        <v>0.0791666666666667</v>
      </c>
      <c r="K211" s="32" t="n">
        <f aca="false">0</f>
        <v>0</v>
      </c>
      <c r="L211" s="33" t="n">
        <f aca="false">Controls!B35</f>
        <v>0</v>
      </c>
      <c r="M211" s="33" t="n">
        <f aca="false">Controls!B36</f>
        <v>0</v>
      </c>
      <c r="N211" s="32" t="str">
        <f aca="false">IF(M211&gt;0,"PAID","HELD")</f>
        <v>HELD</v>
      </c>
    </row>
    <row r="212" customFormat="false" ht="15" hidden="false" customHeight="false" outlineLevel="0" collapsed="false">
      <c r="A212" s="19" t="str">
        <f aca="false">"PAY-"&amp;B212&amp;"-MAKE"</f>
        <v>PAY-RIG-LF-CHA-MAKE</v>
      </c>
      <c r="B212" s="19" t="str">
        <f aca="false">'Object Crosswalk'!A58</f>
        <v>RIG-LF-CHA</v>
      </c>
      <c r="C212" s="19" t="str">
        <f aca="false">'Object Crosswalk'!B58</f>
        <v>Root-native rig</v>
      </c>
      <c r="D212" s="19" t="str">
        <f aca="false">'Object Crosswalk'!C58</f>
        <v>Public</v>
      </c>
      <c r="E212" s="19" t="str">
        <f aca="false">'Object Crosswalk'!D58</f>
        <v>MS-LF</v>
      </c>
      <c r="F212" s="19" t="str">
        <f aca="false">'Object Crosswalk'!E58</f>
        <v>LF-B</v>
      </c>
      <c r="G212" s="9" t="s">
        <v>546</v>
      </c>
      <c r="H212" s="41" t="n">
        <v>0.5</v>
      </c>
      <c r="I212" s="50" t="n">
        <f aca="false">'Object Crosswalk'!I58</f>
        <v>0.316666666666667</v>
      </c>
      <c r="J212" s="50" t="n">
        <f aca="false">H212*I212</f>
        <v>0.158333333333333</v>
      </c>
      <c r="K212" s="32" t="n">
        <f aca="false">0</f>
        <v>0</v>
      </c>
      <c r="L212" s="33" t="n">
        <f aca="false">Controls!B35</f>
        <v>0</v>
      </c>
      <c r="M212" s="33" t="n">
        <f aca="false">Controls!B36</f>
        <v>0</v>
      </c>
      <c r="N212" s="32" t="str">
        <f aca="false">IF(M212&gt;0,"PAID","HELD")</f>
        <v>HELD</v>
      </c>
    </row>
    <row r="213" customFormat="false" ht="15" hidden="false" customHeight="false" outlineLevel="0" collapsed="false">
      <c r="A213" s="19" t="str">
        <f aca="false">"PAY-"&amp;B213&amp;"-BREAK"</f>
        <v>PAY-RIG-LF-CHA-BREAK</v>
      </c>
      <c r="B213" s="19" t="str">
        <f aca="false">'Object Crosswalk'!A58</f>
        <v>RIG-LF-CHA</v>
      </c>
      <c r="C213" s="19" t="str">
        <f aca="false">'Object Crosswalk'!B58</f>
        <v>Root-native rig</v>
      </c>
      <c r="D213" s="19" t="str">
        <f aca="false">'Object Crosswalk'!C58</f>
        <v>Public</v>
      </c>
      <c r="E213" s="19" t="str">
        <f aca="false">'Object Crosswalk'!D58</f>
        <v>MS-LF</v>
      </c>
      <c r="F213" s="19" t="str">
        <f aca="false">'Object Crosswalk'!E58</f>
        <v>LF-B</v>
      </c>
      <c r="G213" s="9" t="s">
        <v>1209</v>
      </c>
      <c r="H213" s="41" t="n">
        <v>0</v>
      </c>
      <c r="I213" s="50" t="n">
        <f aca="false">'Object Crosswalk'!I58</f>
        <v>0.316666666666667</v>
      </c>
      <c r="J213" s="50" t="n">
        <f aca="false">H213*I213</f>
        <v>0</v>
      </c>
      <c r="K213" s="32" t="n">
        <f aca="false">0</f>
        <v>0</v>
      </c>
      <c r="L213" s="33" t="n">
        <f aca="false">Controls!B35</f>
        <v>0</v>
      </c>
      <c r="M213" s="33" t="n">
        <f aca="false">Controls!B36</f>
        <v>0</v>
      </c>
      <c r="N213" s="32" t="str">
        <f aca="false">IF(M213&gt;0,"PAID","HELD")</f>
        <v>HELD</v>
      </c>
    </row>
    <row r="214" customFormat="false" ht="15" hidden="false" customHeight="false" outlineLevel="0" collapsed="false">
      <c r="A214" s="19" t="str">
        <f aca="false">"PAY-"&amp;B214&amp;"-TRANSFER"</f>
        <v>PAY-RIG-LF-CHA-TRANSFER</v>
      </c>
      <c r="B214" s="19" t="str">
        <f aca="false">'Object Crosswalk'!A58</f>
        <v>RIG-LF-CHA</v>
      </c>
      <c r="C214" s="19" t="str">
        <f aca="false">'Object Crosswalk'!B58</f>
        <v>Root-native rig</v>
      </c>
      <c r="D214" s="19" t="str">
        <f aca="false">'Object Crosswalk'!C58</f>
        <v>Public</v>
      </c>
      <c r="E214" s="19" t="str">
        <f aca="false">'Object Crosswalk'!D58</f>
        <v>MS-LF</v>
      </c>
      <c r="F214" s="19" t="str">
        <f aca="false">'Object Crosswalk'!E58</f>
        <v>LF-B</v>
      </c>
      <c r="G214" s="9" t="s">
        <v>1210</v>
      </c>
      <c r="H214" s="41" t="n">
        <v>0.25</v>
      </c>
      <c r="I214" s="50" t="n">
        <f aca="false">'Object Crosswalk'!I58</f>
        <v>0.316666666666667</v>
      </c>
      <c r="J214" s="50" t="n">
        <f aca="false">H214*I214</f>
        <v>0.0791666666666667</v>
      </c>
      <c r="K214" s="32" t="n">
        <f aca="false">0</f>
        <v>0</v>
      </c>
      <c r="L214" s="33" t="n">
        <f aca="false">Controls!B35</f>
        <v>0</v>
      </c>
      <c r="M214" s="33" t="n">
        <f aca="false">Controls!B36</f>
        <v>0</v>
      </c>
      <c r="N214" s="32" t="str">
        <f aca="false">IF(M214&gt;0,"PAID","HELD")</f>
        <v>HELD</v>
      </c>
    </row>
    <row r="215" customFormat="false" ht="15" hidden="false" customHeight="false" outlineLevel="0" collapsed="false">
      <c r="A215" s="19" t="str">
        <f aca="false">"PAY-"&amp;B215&amp;"-FRAME"</f>
        <v>PAY-MTH-LF-CHA-L1-FRAME</v>
      </c>
      <c r="B215" s="19" t="str">
        <f aca="false">'Object Crosswalk'!A59</f>
        <v>MTH-LF-CHA-L1</v>
      </c>
      <c r="C215" s="19" t="str">
        <f aca="false">'Object Crosswalk'!B59</f>
        <v>Method lineage</v>
      </c>
      <c r="D215" s="19" t="str">
        <f aca="false">'Object Crosswalk'!C59</f>
        <v>Public</v>
      </c>
      <c r="E215" s="19" t="str">
        <f aca="false">'Object Crosswalk'!D59</f>
        <v>MS-LF</v>
      </c>
      <c r="F215" s="19" t="str">
        <f aca="false">'Object Crosswalk'!E59</f>
        <v>LF-B</v>
      </c>
      <c r="G215" s="9" t="s">
        <v>543</v>
      </c>
      <c r="H215" s="41" t="n">
        <v>0.25</v>
      </c>
      <c r="I215" s="50" t="n">
        <f aca="false">'Object Crosswalk'!I59</f>
        <v>0.09</v>
      </c>
      <c r="J215" s="50" t="n">
        <f aca="false">H215*I215</f>
        <v>0.0225</v>
      </c>
      <c r="K215" s="32" t="n">
        <f aca="false">0</f>
        <v>0</v>
      </c>
      <c r="L215" s="33" t="n">
        <f aca="false">Controls!B35</f>
        <v>0</v>
      </c>
      <c r="M215" s="33" t="n">
        <f aca="false">Controls!B36</f>
        <v>0</v>
      </c>
      <c r="N215" s="32" t="str">
        <f aca="false">IF(M215&gt;0,"PAID","HELD")</f>
        <v>HELD</v>
      </c>
    </row>
    <row r="216" customFormat="false" ht="15" hidden="false" customHeight="false" outlineLevel="0" collapsed="false">
      <c r="A216" s="19" t="str">
        <f aca="false">"PAY-"&amp;B216&amp;"-MAKE"</f>
        <v>PAY-MTH-LF-CHA-L1-MAKE</v>
      </c>
      <c r="B216" s="19" t="str">
        <f aca="false">'Object Crosswalk'!A59</f>
        <v>MTH-LF-CHA-L1</v>
      </c>
      <c r="C216" s="19" t="str">
        <f aca="false">'Object Crosswalk'!B59</f>
        <v>Method lineage</v>
      </c>
      <c r="D216" s="19" t="str">
        <f aca="false">'Object Crosswalk'!C59</f>
        <v>Public</v>
      </c>
      <c r="E216" s="19" t="str">
        <f aca="false">'Object Crosswalk'!D59</f>
        <v>MS-LF</v>
      </c>
      <c r="F216" s="19" t="str">
        <f aca="false">'Object Crosswalk'!E59</f>
        <v>LF-B</v>
      </c>
      <c r="G216" s="9" t="s">
        <v>546</v>
      </c>
      <c r="H216" s="41" t="n">
        <v>0.5</v>
      </c>
      <c r="I216" s="50" t="n">
        <f aca="false">'Object Crosswalk'!I59</f>
        <v>0.09</v>
      </c>
      <c r="J216" s="50" t="n">
        <f aca="false">H216*I216</f>
        <v>0.045</v>
      </c>
      <c r="K216" s="32" t="n">
        <f aca="false">0</f>
        <v>0</v>
      </c>
      <c r="L216" s="33" t="n">
        <f aca="false">Controls!B35</f>
        <v>0</v>
      </c>
      <c r="M216" s="33" t="n">
        <f aca="false">Controls!B36</f>
        <v>0</v>
      </c>
      <c r="N216" s="32" t="str">
        <f aca="false">IF(M216&gt;0,"PAID","HELD")</f>
        <v>HELD</v>
      </c>
    </row>
    <row r="217" customFormat="false" ht="15" hidden="false" customHeight="false" outlineLevel="0" collapsed="false">
      <c r="A217" s="19" t="str">
        <f aca="false">"PAY-"&amp;B217&amp;"-BREAK"</f>
        <v>PAY-MTH-LF-CHA-L1-BREAK</v>
      </c>
      <c r="B217" s="19" t="str">
        <f aca="false">'Object Crosswalk'!A59</f>
        <v>MTH-LF-CHA-L1</v>
      </c>
      <c r="C217" s="19" t="str">
        <f aca="false">'Object Crosswalk'!B59</f>
        <v>Method lineage</v>
      </c>
      <c r="D217" s="19" t="str">
        <f aca="false">'Object Crosswalk'!C59</f>
        <v>Public</v>
      </c>
      <c r="E217" s="19" t="str">
        <f aca="false">'Object Crosswalk'!D59</f>
        <v>MS-LF</v>
      </c>
      <c r="F217" s="19" t="str">
        <f aca="false">'Object Crosswalk'!E59</f>
        <v>LF-B</v>
      </c>
      <c r="G217" s="9" t="s">
        <v>1209</v>
      </c>
      <c r="H217" s="41" t="n">
        <v>0</v>
      </c>
      <c r="I217" s="50" t="n">
        <f aca="false">'Object Crosswalk'!I59</f>
        <v>0.09</v>
      </c>
      <c r="J217" s="50" t="n">
        <f aca="false">H217*I217</f>
        <v>0</v>
      </c>
      <c r="K217" s="32" t="n">
        <f aca="false">0</f>
        <v>0</v>
      </c>
      <c r="L217" s="33" t="n">
        <f aca="false">Controls!B35</f>
        <v>0</v>
      </c>
      <c r="M217" s="33" t="n">
        <f aca="false">Controls!B36</f>
        <v>0</v>
      </c>
      <c r="N217" s="32" t="str">
        <f aca="false">IF(M217&gt;0,"PAID","HELD")</f>
        <v>HELD</v>
      </c>
    </row>
    <row r="218" customFormat="false" ht="15" hidden="false" customHeight="false" outlineLevel="0" collapsed="false">
      <c r="A218" s="19" t="str">
        <f aca="false">"PAY-"&amp;B218&amp;"-TRANSFER"</f>
        <v>PAY-MTH-LF-CHA-L1-TRANSFER</v>
      </c>
      <c r="B218" s="19" t="str">
        <f aca="false">'Object Crosswalk'!A59</f>
        <v>MTH-LF-CHA-L1</v>
      </c>
      <c r="C218" s="19" t="str">
        <f aca="false">'Object Crosswalk'!B59</f>
        <v>Method lineage</v>
      </c>
      <c r="D218" s="19" t="str">
        <f aca="false">'Object Crosswalk'!C59</f>
        <v>Public</v>
      </c>
      <c r="E218" s="19" t="str">
        <f aca="false">'Object Crosswalk'!D59</f>
        <v>MS-LF</v>
      </c>
      <c r="F218" s="19" t="str">
        <f aca="false">'Object Crosswalk'!E59</f>
        <v>LF-B</v>
      </c>
      <c r="G218" s="9" t="s">
        <v>1210</v>
      </c>
      <c r="H218" s="41" t="n">
        <v>0.25</v>
      </c>
      <c r="I218" s="50" t="n">
        <f aca="false">'Object Crosswalk'!I59</f>
        <v>0.09</v>
      </c>
      <c r="J218" s="50" t="n">
        <f aca="false">H218*I218</f>
        <v>0.0225</v>
      </c>
      <c r="K218" s="32" t="n">
        <f aca="false">0</f>
        <v>0</v>
      </c>
      <c r="L218" s="33" t="n">
        <f aca="false">Controls!B35</f>
        <v>0</v>
      </c>
      <c r="M218" s="33" t="n">
        <f aca="false">Controls!B36</f>
        <v>0</v>
      </c>
      <c r="N218" s="32" t="str">
        <f aca="false">IF(M218&gt;0,"PAID","HELD")</f>
        <v>HELD</v>
      </c>
    </row>
    <row r="219" customFormat="false" ht="15" hidden="false" customHeight="false" outlineLevel="0" collapsed="false">
      <c r="A219" s="19" t="str">
        <f aca="false">"PAY-"&amp;B219&amp;"-FRAME"</f>
        <v>PAY-MTH-LF-CHA-L2-FRAME</v>
      </c>
      <c r="B219" s="19" t="str">
        <f aca="false">'Object Crosswalk'!A60</f>
        <v>MTH-LF-CHA-L2</v>
      </c>
      <c r="C219" s="19" t="str">
        <f aca="false">'Object Crosswalk'!B60</f>
        <v>Method lineage</v>
      </c>
      <c r="D219" s="19" t="str">
        <f aca="false">'Object Crosswalk'!C60</f>
        <v>Public</v>
      </c>
      <c r="E219" s="19" t="str">
        <f aca="false">'Object Crosswalk'!D60</f>
        <v>MS-LF</v>
      </c>
      <c r="F219" s="19" t="str">
        <f aca="false">'Object Crosswalk'!E60</f>
        <v>LF-B</v>
      </c>
      <c r="G219" s="9" t="s">
        <v>543</v>
      </c>
      <c r="H219" s="41" t="n">
        <v>0.25</v>
      </c>
      <c r="I219" s="50" t="n">
        <f aca="false">'Object Crosswalk'!I60</f>
        <v>0.09</v>
      </c>
      <c r="J219" s="50" t="n">
        <f aca="false">H219*I219</f>
        <v>0.0225</v>
      </c>
      <c r="K219" s="32" t="n">
        <f aca="false">0</f>
        <v>0</v>
      </c>
      <c r="L219" s="33" t="n">
        <f aca="false">Controls!B35</f>
        <v>0</v>
      </c>
      <c r="M219" s="33" t="n">
        <f aca="false">Controls!B36</f>
        <v>0</v>
      </c>
      <c r="N219" s="32" t="str">
        <f aca="false">IF(M219&gt;0,"PAID","HELD")</f>
        <v>HELD</v>
      </c>
    </row>
    <row r="220" customFormat="false" ht="15" hidden="false" customHeight="false" outlineLevel="0" collapsed="false">
      <c r="A220" s="19" t="str">
        <f aca="false">"PAY-"&amp;B220&amp;"-MAKE"</f>
        <v>PAY-MTH-LF-CHA-L2-MAKE</v>
      </c>
      <c r="B220" s="19" t="str">
        <f aca="false">'Object Crosswalk'!A60</f>
        <v>MTH-LF-CHA-L2</v>
      </c>
      <c r="C220" s="19" t="str">
        <f aca="false">'Object Crosswalk'!B60</f>
        <v>Method lineage</v>
      </c>
      <c r="D220" s="19" t="str">
        <f aca="false">'Object Crosswalk'!C60</f>
        <v>Public</v>
      </c>
      <c r="E220" s="19" t="str">
        <f aca="false">'Object Crosswalk'!D60</f>
        <v>MS-LF</v>
      </c>
      <c r="F220" s="19" t="str">
        <f aca="false">'Object Crosswalk'!E60</f>
        <v>LF-B</v>
      </c>
      <c r="G220" s="9" t="s">
        <v>546</v>
      </c>
      <c r="H220" s="41" t="n">
        <v>0.5</v>
      </c>
      <c r="I220" s="50" t="n">
        <f aca="false">'Object Crosswalk'!I60</f>
        <v>0.09</v>
      </c>
      <c r="J220" s="50" t="n">
        <f aca="false">H220*I220</f>
        <v>0.045</v>
      </c>
      <c r="K220" s="32" t="n">
        <f aca="false">0</f>
        <v>0</v>
      </c>
      <c r="L220" s="33" t="n">
        <f aca="false">Controls!B35</f>
        <v>0</v>
      </c>
      <c r="M220" s="33" t="n">
        <f aca="false">Controls!B36</f>
        <v>0</v>
      </c>
      <c r="N220" s="32" t="str">
        <f aca="false">IF(M220&gt;0,"PAID","HELD")</f>
        <v>HELD</v>
      </c>
    </row>
    <row r="221" customFormat="false" ht="15" hidden="false" customHeight="false" outlineLevel="0" collapsed="false">
      <c r="A221" s="19" t="str">
        <f aca="false">"PAY-"&amp;B221&amp;"-BREAK"</f>
        <v>PAY-MTH-LF-CHA-L2-BREAK</v>
      </c>
      <c r="B221" s="19" t="str">
        <f aca="false">'Object Crosswalk'!A60</f>
        <v>MTH-LF-CHA-L2</v>
      </c>
      <c r="C221" s="19" t="str">
        <f aca="false">'Object Crosswalk'!B60</f>
        <v>Method lineage</v>
      </c>
      <c r="D221" s="19" t="str">
        <f aca="false">'Object Crosswalk'!C60</f>
        <v>Public</v>
      </c>
      <c r="E221" s="19" t="str">
        <f aca="false">'Object Crosswalk'!D60</f>
        <v>MS-LF</v>
      </c>
      <c r="F221" s="19" t="str">
        <f aca="false">'Object Crosswalk'!E60</f>
        <v>LF-B</v>
      </c>
      <c r="G221" s="9" t="s">
        <v>1209</v>
      </c>
      <c r="H221" s="41" t="n">
        <v>0</v>
      </c>
      <c r="I221" s="50" t="n">
        <f aca="false">'Object Crosswalk'!I60</f>
        <v>0.09</v>
      </c>
      <c r="J221" s="50" t="n">
        <f aca="false">H221*I221</f>
        <v>0</v>
      </c>
      <c r="K221" s="32" t="n">
        <f aca="false">0</f>
        <v>0</v>
      </c>
      <c r="L221" s="33" t="n">
        <f aca="false">Controls!B35</f>
        <v>0</v>
      </c>
      <c r="M221" s="33" t="n">
        <f aca="false">Controls!B36</f>
        <v>0</v>
      </c>
      <c r="N221" s="32" t="str">
        <f aca="false">IF(M221&gt;0,"PAID","HELD")</f>
        <v>HELD</v>
      </c>
    </row>
    <row r="222" customFormat="false" ht="15" hidden="false" customHeight="false" outlineLevel="0" collapsed="false">
      <c r="A222" s="19" t="str">
        <f aca="false">"PAY-"&amp;B222&amp;"-TRANSFER"</f>
        <v>PAY-MTH-LF-CHA-L2-TRANSFER</v>
      </c>
      <c r="B222" s="19" t="str">
        <f aca="false">'Object Crosswalk'!A60</f>
        <v>MTH-LF-CHA-L2</v>
      </c>
      <c r="C222" s="19" t="str">
        <f aca="false">'Object Crosswalk'!B60</f>
        <v>Method lineage</v>
      </c>
      <c r="D222" s="19" t="str">
        <f aca="false">'Object Crosswalk'!C60</f>
        <v>Public</v>
      </c>
      <c r="E222" s="19" t="str">
        <f aca="false">'Object Crosswalk'!D60</f>
        <v>MS-LF</v>
      </c>
      <c r="F222" s="19" t="str">
        <f aca="false">'Object Crosswalk'!E60</f>
        <v>LF-B</v>
      </c>
      <c r="G222" s="9" t="s">
        <v>1210</v>
      </c>
      <c r="H222" s="41" t="n">
        <v>0.25</v>
      </c>
      <c r="I222" s="50" t="n">
        <f aca="false">'Object Crosswalk'!I60</f>
        <v>0.09</v>
      </c>
      <c r="J222" s="50" t="n">
        <f aca="false">H222*I222</f>
        <v>0.0225</v>
      </c>
      <c r="K222" s="32" t="n">
        <f aca="false">0</f>
        <v>0</v>
      </c>
      <c r="L222" s="33" t="n">
        <f aca="false">Controls!B35</f>
        <v>0</v>
      </c>
      <c r="M222" s="33" t="n">
        <f aca="false">Controls!B36</f>
        <v>0</v>
      </c>
      <c r="N222" s="32" t="str">
        <f aca="false">IF(M222&gt;0,"PAID","HELD")</f>
        <v>HELD</v>
      </c>
    </row>
    <row r="223" customFormat="false" ht="15" hidden="false" customHeight="false" outlineLevel="0" collapsed="false">
      <c r="A223" s="19" t="str">
        <f aca="false">"PAY-"&amp;B223&amp;"-FRAME"</f>
        <v>PAY-REG-LF-CHA-FRAME</v>
      </c>
      <c r="B223" s="19" t="str">
        <f aca="false">'Object Crosswalk'!A61</f>
        <v>REG-LF-CHA</v>
      </c>
      <c r="C223" s="19" t="str">
        <f aca="false">'Object Crosswalk'!B61</f>
        <v>Regeneration tool</v>
      </c>
      <c r="D223" s="19" t="str">
        <f aca="false">'Object Crosswalk'!C61</f>
        <v>Public</v>
      </c>
      <c r="E223" s="19" t="str">
        <f aca="false">'Object Crosswalk'!D61</f>
        <v>MS-LF</v>
      </c>
      <c r="F223" s="19" t="str">
        <f aca="false">'Object Crosswalk'!E61</f>
        <v>LF-B</v>
      </c>
      <c r="G223" s="9" t="s">
        <v>543</v>
      </c>
      <c r="H223" s="41" t="n">
        <v>0.25</v>
      </c>
      <c r="I223" s="50" t="n">
        <f aca="false">'Object Crosswalk'!I61</f>
        <v>0.0666666666666667</v>
      </c>
      <c r="J223" s="50" t="n">
        <f aca="false">H223*I223</f>
        <v>0.0166666666666667</v>
      </c>
      <c r="K223" s="32" t="n">
        <f aca="false">0</f>
        <v>0</v>
      </c>
      <c r="L223" s="33" t="n">
        <f aca="false">Controls!B35</f>
        <v>0</v>
      </c>
      <c r="M223" s="33" t="n">
        <f aca="false">Controls!B36</f>
        <v>0</v>
      </c>
      <c r="N223" s="32" t="str">
        <f aca="false">IF(M223&gt;0,"PAID","HELD")</f>
        <v>HELD</v>
      </c>
    </row>
    <row r="224" customFormat="false" ht="15" hidden="false" customHeight="false" outlineLevel="0" collapsed="false">
      <c r="A224" s="19" t="str">
        <f aca="false">"PAY-"&amp;B224&amp;"-MAKE"</f>
        <v>PAY-REG-LF-CHA-MAKE</v>
      </c>
      <c r="B224" s="19" t="str">
        <f aca="false">'Object Crosswalk'!A61</f>
        <v>REG-LF-CHA</v>
      </c>
      <c r="C224" s="19" t="str">
        <f aca="false">'Object Crosswalk'!B61</f>
        <v>Regeneration tool</v>
      </c>
      <c r="D224" s="19" t="str">
        <f aca="false">'Object Crosswalk'!C61</f>
        <v>Public</v>
      </c>
      <c r="E224" s="19" t="str">
        <f aca="false">'Object Crosswalk'!D61</f>
        <v>MS-LF</v>
      </c>
      <c r="F224" s="19" t="str">
        <f aca="false">'Object Crosswalk'!E61</f>
        <v>LF-B</v>
      </c>
      <c r="G224" s="9" t="s">
        <v>546</v>
      </c>
      <c r="H224" s="41" t="n">
        <v>0.5</v>
      </c>
      <c r="I224" s="50" t="n">
        <f aca="false">'Object Crosswalk'!I61</f>
        <v>0.0666666666666667</v>
      </c>
      <c r="J224" s="50" t="n">
        <f aca="false">H224*I224</f>
        <v>0.0333333333333333</v>
      </c>
      <c r="K224" s="32" t="n">
        <f aca="false">0</f>
        <v>0</v>
      </c>
      <c r="L224" s="33" t="n">
        <f aca="false">Controls!B35</f>
        <v>0</v>
      </c>
      <c r="M224" s="33" t="n">
        <f aca="false">Controls!B36</f>
        <v>0</v>
      </c>
      <c r="N224" s="32" t="str">
        <f aca="false">IF(M224&gt;0,"PAID","HELD")</f>
        <v>HELD</v>
      </c>
    </row>
    <row r="225" customFormat="false" ht="15" hidden="false" customHeight="false" outlineLevel="0" collapsed="false">
      <c r="A225" s="19" t="str">
        <f aca="false">"PAY-"&amp;B225&amp;"-BREAK"</f>
        <v>PAY-REG-LF-CHA-BREAK</v>
      </c>
      <c r="B225" s="19" t="str">
        <f aca="false">'Object Crosswalk'!A61</f>
        <v>REG-LF-CHA</v>
      </c>
      <c r="C225" s="19" t="str">
        <f aca="false">'Object Crosswalk'!B61</f>
        <v>Regeneration tool</v>
      </c>
      <c r="D225" s="19" t="str">
        <f aca="false">'Object Crosswalk'!C61</f>
        <v>Public</v>
      </c>
      <c r="E225" s="19" t="str">
        <f aca="false">'Object Crosswalk'!D61</f>
        <v>MS-LF</v>
      </c>
      <c r="F225" s="19" t="str">
        <f aca="false">'Object Crosswalk'!E61</f>
        <v>LF-B</v>
      </c>
      <c r="G225" s="9" t="s">
        <v>1209</v>
      </c>
      <c r="H225" s="41" t="n">
        <v>0</v>
      </c>
      <c r="I225" s="50" t="n">
        <f aca="false">'Object Crosswalk'!I61</f>
        <v>0.0666666666666667</v>
      </c>
      <c r="J225" s="50" t="n">
        <f aca="false">H225*I225</f>
        <v>0</v>
      </c>
      <c r="K225" s="32" t="n">
        <f aca="false">0</f>
        <v>0</v>
      </c>
      <c r="L225" s="33" t="n">
        <f aca="false">Controls!B35</f>
        <v>0</v>
      </c>
      <c r="M225" s="33" t="n">
        <f aca="false">Controls!B36</f>
        <v>0</v>
      </c>
      <c r="N225" s="32" t="str">
        <f aca="false">IF(M225&gt;0,"PAID","HELD")</f>
        <v>HELD</v>
      </c>
    </row>
    <row r="226" customFormat="false" ht="15" hidden="false" customHeight="false" outlineLevel="0" collapsed="false">
      <c r="A226" s="19" t="str">
        <f aca="false">"PAY-"&amp;B226&amp;"-TRANSFER"</f>
        <v>PAY-REG-LF-CHA-TRANSFER</v>
      </c>
      <c r="B226" s="19" t="str">
        <f aca="false">'Object Crosswalk'!A61</f>
        <v>REG-LF-CHA</v>
      </c>
      <c r="C226" s="19" t="str">
        <f aca="false">'Object Crosswalk'!B61</f>
        <v>Regeneration tool</v>
      </c>
      <c r="D226" s="19" t="str">
        <f aca="false">'Object Crosswalk'!C61</f>
        <v>Public</v>
      </c>
      <c r="E226" s="19" t="str">
        <f aca="false">'Object Crosswalk'!D61</f>
        <v>MS-LF</v>
      </c>
      <c r="F226" s="19" t="str">
        <f aca="false">'Object Crosswalk'!E61</f>
        <v>LF-B</v>
      </c>
      <c r="G226" s="9" t="s">
        <v>1210</v>
      </c>
      <c r="H226" s="41" t="n">
        <v>0.25</v>
      </c>
      <c r="I226" s="50" t="n">
        <f aca="false">'Object Crosswalk'!I61</f>
        <v>0.0666666666666667</v>
      </c>
      <c r="J226" s="50" t="n">
        <f aca="false">H226*I226</f>
        <v>0.0166666666666667</v>
      </c>
      <c r="K226" s="32" t="n">
        <f aca="false">0</f>
        <v>0</v>
      </c>
      <c r="L226" s="33" t="n">
        <f aca="false">Controls!B35</f>
        <v>0</v>
      </c>
      <c r="M226" s="33" t="n">
        <f aca="false">Controls!B36</f>
        <v>0</v>
      </c>
      <c r="N226" s="32" t="str">
        <f aca="false">IF(M226&gt;0,"PAID","HELD")</f>
        <v>HELD</v>
      </c>
    </row>
    <row r="227" customFormat="false" ht="15" hidden="false" customHeight="false" outlineLevel="0" collapsed="false">
      <c r="A227" s="19" t="str">
        <f aca="false">"PAY-"&amp;B227&amp;"-FRAME"</f>
        <v>PAY-INT-LF-CHA-FRAME</v>
      </c>
      <c r="B227" s="19" t="str">
        <f aca="false">'Object Crosswalk'!A62</f>
        <v>INT-LF-CHA</v>
      </c>
      <c r="C227" s="19" t="str">
        <f aca="false">'Object Crosswalk'!B62</f>
        <v>Station integration</v>
      </c>
      <c r="D227" s="19" t="str">
        <f aca="false">'Object Crosswalk'!C62</f>
        <v>Public</v>
      </c>
      <c r="E227" s="19" t="str">
        <f aca="false">'Object Crosswalk'!D62</f>
        <v>MS-LF</v>
      </c>
      <c r="F227" s="19" t="str">
        <f aca="false">'Object Crosswalk'!E62</f>
        <v>LF-B</v>
      </c>
      <c r="G227" s="9" t="s">
        <v>543</v>
      </c>
      <c r="H227" s="41" t="n">
        <v>0.25</v>
      </c>
      <c r="I227" s="50" t="n">
        <f aca="false">'Object Crosswalk'!I62</f>
        <v>0.0633333333333333</v>
      </c>
      <c r="J227" s="50" t="n">
        <f aca="false">H227*I227</f>
        <v>0.0158333333333333</v>
      </c>
      <c r="K227" s="32" t="n">
        <f aca="false">0</f>
        <v>0</v>
      </c>
      <c r="L227" s="33" t="n">
        <f aca="false">Controls!B35</f>
        <v>0</v>
      </c>
      <c r="M227" s="33" t="n">
        <f aca="false">Controls!B36</f>
        <v>0</v>
      </c>
      <c r="N227" s="32" t="str">
        <f aca="false">IF(M227&gt;0,"PAID","HELD")</f>
        <v>HELD</v>
      </c>
    </row>
    <row r="228" customFormat="false" ht="15" hidden="false" customHeight="false" outlineLevel="0" collapsed="false">
      <c r="A228" s="19" t="str">
        <f aca="false">"PAY-"&amp;B228&amp;"-MAKE"</f>
        <v>PAY-INT-LF-CHA-MAKE</v>
      </c>
      <c r="B228" s="19" t="str">
        <f aca="false">'Object Crosswalk'!A62</f>
        <v>INT-LF-CHA</v>
      </c>
      <c r="C228" s="19" t="str">
        <f aca="false">'Object Crosswalk'!B62</f>
        <v>Station integration</v>
      </c>
      <c r="D228" s="19" t="str">
        <f aca="false">'Object Crosswalk'!C62</f>
        <v>Public</v>
      </c>
      <c r="E228" s="19" t="str">
        <f aca="false">'Object Crosswalk'!D62</f>
        <v>MS-LF</v>
      </c>
      <c r="F228" s="19" t="str">
        <f aca="false">'Object Crosswalk'!E62</f>
        <v>LF-B</v>
      </c>
      <c r="G228" s="9" t="s">
        <v>546</v>
      </c>
      <c r="H228" s="41" t="n">
        <v>0.5</v>
      </c>
      <c r="I228" s="50" t="n">
        <f aca="false">'Object Crosswalk'!I62</f>
        <v>0.0633333333333333</v>
      </c>
      <c r="J228" s="50" t="n">
        <f aca="false">H228*I228</f>
        <v>0.0316666666666667</v>
      </c>
      <c r="K228" s="32" t="n">
        <f aca="false">0</f>
        <v>0</v>
      </c>
      <c r="L228" s="33" t="n">
        <f aca="false">Controls!B35</f>
        <v>0</v>
      </c>
      <c r="M228" s="33" t="n">
        <f aca="false">Controls!B36</f>
        <v>0</v>
      </c>
      <c r="N228" s="32" t="str">
        <f aca="false">IF(M228&gt;0,"PAID","HELD")</f>
        <v>HELD</v>
      </c>
    </row>
    <row r="229" customFormat="false" ht="15" hidden="false" customHeight="false" outlineLevel="0" collapsed="false">
      <c r="A229" s="19" t="str">
        <f aca="false">"PAY-"&amp;B229&amp;"-BREAK"</f>
        <v>PAY-INT-LF-CHA-BREAK</v>
      </c>
      <c r="B229" s="19" t="str">
        <f aca="false">'Object Crosswalk'!A62</f>
        <v>INT-LF-CHA</v>
      </c>
      <c r="C229" s="19" t="str">
        <f aca="false">'Object Crosswalk'!B62</f>
        <v>Station integration</v>
      </c>
      <c r="D229" s="19" t="str">
        <f aca="false">'Object Crosswalk'!C62</f>
        <v>Public</v>
      </c>
      <c r="E229" s="19" t="str">
        <f aca="false">'Object Crosswalk'!D62</f>
        <v>MS-LF</v>
      </c>
      <c r="F229" s="19" t="str">
        <f aca="false">'Object Crosswalk'!E62</f>
        <v>LF-B</v>
      </c>
      <c r="G229" s="9" t="s">
        <v>1209</v>
      </c>
      <c r="H229" s="41" t="n">
        <v>0</v>
      </c>
      <c r="I229" s="50" t="n">
        <f aca="false">'Object Crosswalk'!I62</f>
        <v>0.0633333333333333</v>
      </c>
      <c r="J229" s="50" t="n">
        <f aca="false">H229*I229</f>
        <v>0</v>
      </c>
      <c r="K229" s="32" t="n">
        <f aca="false">0</f>
        <v>0</v>
      </c>
      <c r="L229" s="33" t="n">
        <f aca="false">Controls!B35</f>
        <v>0</v>
      </c>
      <c r="M229" s="33" t="n">
        <f aca="false">Controls!B36</f>
        <v>0</v>
      </c>
      <c r="N229" s="32" t="str">
        <f aca="false">IF(M229&gt;0,"PAID","HELD")</f>
        <v>HELD</v>
      </c>
    </row>
    <row r="230" customFormat="false" ht="15" hidden="false" customHeight="false" outlineLevel="0" collapsed="false">
      <c r="A230" s="19" t="str">
        <f aca="false">"PAY-"&amp;B230&amp;"-TRANSFER"</f>
        <v>PAY-INT-LF-CHA-TRANSFER</v>
      </c>
      <c r="B230" s="19" t="str">
        <f aca="false">'Object Crosswalk'!A62</f>
        <v>INT-LF-CHA</v>
      </c>
      <c r="C230" s="19" t="str">
        <f aca="false">'Object Crosswalk'!B62</f>
        <v>Station integration</v>
      </c>
      <c r="D230" s="19" t="str">
        <f aca="false">'Object Crosswalk'!C62</f>
        <v>Public</v>
      </c>
      <c r="E230" s="19" t="str">
        <f aca="false">'Object Crosswalk'!D62</f>
        <v>MS-LF</v>
      </c>
      <c r="F230" s="19" t="str">
        <f aca="false">'Object Crosswalk'!E62</f>
        <v>LF-B</v>
      </c>
      <c r="G230" s="9" t="s">
        <v>1210</v>
      </c>
      <c r="H230" s="41" t="n">
        <v>0.25</v>
      </c>
      <c r="I230" s="50" t="n">
        <f aca="false">'Object Crosswalk'!I62</f>
        <v>0.0633333333333333</v>
      </c>
      <c r="J230" s="50" t="n">
        <f aca="false">H230*I230</f>
        <v>0.0158333333333333</v>
      </c>
      <c r="K230" s="32" t="n">
        <f aca="false">0</f>
        <v>0</v>
      </c>
      <c r="L230" s="33" t="n">
        <f aca="false">Controls!B35</f>
        <v>0</v>
      </c>
      <c r="M230" s="33" t="n">
        <f aca="false">Controls!B36</f>
        <v>0</v>
      </c>
      <c r="N230" s="32" t="str">
        <f aca="false">IF(M230&gt;0,"PAID","HELD")</f>
        <v>HELD</v>
      </c>
    </row>
    <row r="231" customFormat="false" ht="15" hidden="false" customHeight="false" outlineLevel="0" collapsed="false">
      <c r="A231" s="19" t="str">
        <f aca="false">"PAY-"&amp;B231&amp;"-FRAME"</f>
        <v>PAY-RIG-LF-CON-FRAME</v>
      </c>
      <c r="B231" s="19" t="str">
        <f aca="false">'Object Crosswalk'!A63</f>
        <v>RIG-LF-CON</v>
      </c>
      <c r="C231" s="19" t="str">
        <f aca="false">'Object Crosswalk'!B63</f>
        <v>Root-native rig</v>
      </c>
      <c r="D231" s="19" t="str">
        <f aca="false">'Object Crosswalk'!C63</f>
        <v>Public</v>
      </c>
      <c r="E231" s="19" t="str">
        <f aca="false">'Object Crosswalk'!D63</f>
        <v>MS-LF</v>
      </c>
      <c r="F231" s="19" t="str">
        <f aca="false">'Object Crosswalk'!E63</f>
        <v>LF-B</v>
      </c>
      <c r="G231" s="9" t="s">
        <v>543</v>
      </c>
      <c r="H231" s="41" t="n">
        <v>0.25</v>
      </c>
      <c r="I231" s="50" t="n">
        <f aca="false">'Object Crosswalk'!I63</f>
        <v>0.316666666666667</v>
      </c>
      <c r="J231" s="50" t="n">
        <f aca="false">H231*I231</f>
        <v>0.0791666666666667</v>
      </c>
      <c r="K231" s="32" t="n">
        <f aca="false">0</f>
        <v>0</v>
      </c>
      <c r="L231" s="33" t="n">
        <f aca="false">Controls!B35</f>
        <v>0</v>
      </c>
      <c r="M231" s="33" t="n">
        <f aca="false">Controls!B36</f>
        <v>0</v>
      </c>
      <c r="N231" s="32" t="str">
        <f aca="false">IF(M231&gt;0,"PAID","HELD")</f>
        <v>HELD</v>
      </c>
    </row>
    <row r="232" customFormat="false" ht="15" hidden="false" customHeight="false" outlineLevel="0" collapsed="false">
      <c r="A232" s="19" t="str">
        <f aca="false">"PAY-"&amp;B232&amp;"-MAKE"</f>
        <v>PAY-RIG-LF-CON-MAKE</v>
      </c>
      <c r="B232" s="19" t="str">
        <f aca="false">'Object Crosswalk'!A63</f>
        <v>RIG-LF-CON</v>
      </c>
      <c r="C232" s="19" t="str">
        <f aca="false">'Object Crosswalk'!B63</f>
        <v>Root-native rig</v>
      </c>
      <c r="D232" s="19" t="str">
        <f aca="false">'Object Crosswalk'!C63</f>
        <v>Public</v>
      </c>
      <c r="E232" s="19" t="str">
        <f aca="false">'Object Crosswalk'!D63</f>
        <v>MS-LF</v>
      </c>
      <c r="F232" s="19" t="str">
        <f aca="false">'Object Crosswalk'!E63</f>
        <v>LF-B</v>
      </c>
      <c r="G232" s="9" t="s">
        <v>546</v>
      </c>
      <c r="H232" s="41" t="n">
        <v>0.5</v>
      </c>
      <c r="I232" s="50" t="n">
        <f aca="false">'Object Crosswalk'!I63</f>
        <v>0.316666666666667</v>
      </c>
      <c r="J232" s="50" t="n">
        <f aca="false">H232*I232</f>
        <v>0.158333333333333</v>
      </c>
      <c r="K232" s="32" t="n">
        <f aca="false">0</f>
        <v>0</v>
      </c>
      <c r="L232" s="33" t="n">
        <f aca="false">Controls!B35</f>
        <v>0</v>
      </c>
      <c r="M232" s="33" t="n">
        <f aca="false">Controls!B36</f>
        <v>0</v>
      </c>
      <c r="N232" s="32" t="str">
        <f aca="false">IF(M232&gt;0,"PAID","HELD")</f>
        <v>HELD</v>
      </c>
    </row>
    <row r="233" customFormat="false" ht="15" hidden="false" customHeight="false" outlineLevel="0" collapsed="false">
      <c r="A233" s="19" t="str">
        <f aca="false">"PAY-"&amp;B233&amp;"-BREAK"</f>
        <v>PAY-RIG-LF-CON-BREAK</v>
      </c>
      <c r="B233" s="19" t="str">
        <f aca="false">'Object Crosswalk'!A63</f>
        <v>RIG-LF-CON</v>
      </c>
      <c r="C233" s="19" t="str">
        <f aca="false">'Object Crosswalk'!B63</f>
        <v>Root-native rig</v>
      </c>
      <c r="D233" s="19" t="str">
        <f aca="false">'Object Crosswalk'!C63</f>
        <v>Public</v>
      </c>
      <c r="E233" s="19" t="str">
        <f aca="false">'Object Crosswalk'!D63</f>
        <v>MS-LF</v>
      </c>
      <c r="F233" s="19" t="str">
        <f aca="false">'Object Crosswalk'!E63</f>
        <v>LF-B</v>
      </c>
      <c r="G233" s="9" t="s">
        <v>1209</v>
      </c>
      <c r="H233" s="41" t="n">
        <v>0</v>
      </c>
      <c r="I233" s="50" t="n">
        <f aca="false">'Object Crosswalk'!I63</f>
        <v>0.316666666666667</v>
      </c>
      <c r="J233" s="50" t="n">
        <f aca="false">H233*I233</f>
        <v>0</v>
      </c>
      <c r="K233" s="32" t="n">
        <f aca="false">0</f>
        <v>0</v>
      </c>
      <c r="L233" s="33" t="n">
        <f aca="false">Controls!B35</f>
        <v>0</v>
      </c>
      <c r="M233" s="33" t="n">
        <f aca="false">Controls!B36</f>
        <v>0</v>
      </c>
      <c r="N233" s="32" t="str">
        <f aca="false">IF(M233&gt;0,"PAID","HELD")</f>
        <v>HELD</v>
      </c>
    </row>
    <row r="234" customFormat="false" ht="15" hidden="false" customHeight="false" outlineLevel="0" collapsed="false">
      <c r="A234" s="19" t="str">
        <f aca="false">"PAY-"&amp;B234&amp;"-TRANSFER"</f>
        <v>PAY-RIG-LF-CON-TRANSFER</v>
      </c>
      <c r="B234" s="19" t="str">
        <f aca="false">'Object Crosswalk'!A63</f>
        <v>RIG-LF-CON</v>
      </c>
      <c r="C234" s="19" t="str">
        <f aca="false">'Object Crosswalk'!B63</f>
        <v>Root-native rig</v>
      </c>
      <c r="D234" s="19" t="str">
        <f aca="false">'Object Crosswalk'!C63</f>
        <v>Public</v>
      </c>
      <c r="E234" s="19" t="str">
        <f aca="false">'Object Crosswalk'!D63</f>
        <v>MS-LF</v>
      </c>
      <c r="F234" s="19" t="str">
        <f aca="false">'Object Crosswalk'!E63</f>
        <v>LF-B</v>
      </c>
      <c r="G234" s="9" t="s">
        <v>1210</v>
      </c>
      <c r="H234" s="41" t="n">
        <v>0.25</v>
      </c>
      <c r="I234" s="50" t="n">
        <f aca="false">'Object Crosswalk'!I63</f>
        <v>0.316666666666667</v>
      </c>
      <c r="J234" s="50" t="n">
        <f aca="false">H234*I234</f>
        <v>0.0791666666666667</v>
      </c>
      <c r="K234" s="32" t="n">
        <f aca="false">0</f>
        <v>0</v>
      </c>
      <c r="L234" s="33" t="n">
        <f aca="false">Controls!B35</f>
        <v>0</v>
      </c>
      <c r="M234" s="33" t="n">
        <f aca="false">Controls!B36</f>
        <v>0</v>
      </c>
      <c r="N234" s="32" t="str">
        <f aca="false">IF(M234&gt;0,"PAID","HELD")</f>
        <v>HELD</v>
      </c>
    </row>
    <row r="235" customFormat="false" ht="15" hidden="false" customHeight="false" outlineLevel="0" collapsed="false">
      <c r="A235" s="19" t="str">
        <f aca="false">"PAY-"&amp;B235&amp;"-FRAME"</f>
        <v>PAY-MTH-LF-CON-L1-FRAME</v>
      </c>
      <c r="B235" s="19" t="str">
        <f aca="false">'Object Crosswalk'!A64</f>
        <v>MTH-LF-CON-L1</v>
      </c>
      <c r="C235" s="19" t="str">
        <f aca="false">'Object Crosswalk'!B64</f>
        <v>Method lineage</v>
      </c>
      <c r="D235" s="19" t="str">
        <f aca="false">'Object Crosswalk'!C64</f>
        <v>Public</v>
      </c>
      <c r="E235" s="19" t="str">
        <f aca="false">'Object Crosswalk'!D64</f>
        <v>MS-LF</v>
      </c>
      <c r="F235" s="19" t="str">
        <f aca="false">'Object Crosswalk'!E64</f>
        <v>LF-B</v>
      </c>
      <c r="G235" s="9" t="s">
        <v>543</v>
      </c>
      <c r="H235" s="41" t="n">
        <v>0.25</v>
      </c>
      <c r="I235" s="50" t="n">
        <f aca="false">'Object Crosswalk'!I64</f>
        <v>0.09</v>
      </c>
      <c r="J235" s="50" t="n">
        <f aca="false">H235*I235</f>
        <v>0.0225</v>
      </c>
      <c r="K235" s="32" t="n">
        <f aca="false">0</f>
        <v>0</v>
      </c>
      <c r="L235" s="33" t="n">
        <f aca="false">Controls!B35</f>
        <v>0</v>
      </c>
      <c r="M235" s="33" t="n">
        <f aca="false">Controls!B36</f>
        <v>0</v>
      </c>
      <c r="N235" s="32" t="str">
        <f aca="false">IF(M235&gt;0,"PAID","HELD")</f>
        <v>HELD</v>
      </c>
    </row>
    <row r="236" customFormat="false" ht="15" hidden="false" customHeight="false" outlineLevel="0" collapsed="false">
      <c r="A236" s="19" t="str">
        <f aca="false">"PAY-"&amp;B236&amp;"-MAKE"</f>
        <v>PAY-MTH-LF-CON-L1-MAKE</v>
      </c>
      <c r="B236" s="19" t="str">
        <f aca="false">'Object Crosswalk'!A64</f>
        <v>MTH-LF-CON-L1</v>
      </c>
      <c r="C236" s="19" t="str">
        <f aca="false">'Object Crosswalk'!B64</f>
        <v>Method lineage</v>
      </c>
      <c r="D236" s="19" t="str">
        <f aca="false">'Object Crosswalk'!C64</f>
        <v>Public</v>
      </c>
      <c r="E236" s="19" t="str">
        <f aca="false">'Object Crosswalk'!D64</f>
        <v>MS-LF</v>
      </c>
      <c r="F236" s="19" t="str">
        <f aca="false">'Object Crosswalk'!E64</f>
        <v>LF-B</v>
      </c>
      <c r="G236" s="9" t="s">
        <v>546</v>
      </c>
      <c r="H236" s="41" t="n">
        <v>0.5</v>
      </c>
      <c r="I236" s="50" t="n">
        <f aca="false">'Object Crosswalk'!I64</f>
        <v>0.09</v>
      </c>
      <c r="J236" s="50" t="n">
        <f aca="false">H236*I236</f>
        <v>0.045</v>
      </c>
      <c r="K236" s="32" t="n">
        <f aca="false">0</f>
        <v>0</v>
      </c>
      <c r="L236" s="33" t="n">
        <f aca="false">Controls!B35</f>
        <v>0</v>
      </c>
      <c r="M236" s="33" t="n">
        <f aca="false">Controls!B36</f>
        <v>0</v>
      </c>
      <c r="N236" s="32" t="str">
        <f aca="false">IF(M236&gt;0,"PAID","HELD")</f>
        <v>HELD</v>
      </c>
    </row>
    <row r="237" customFormat="false" ht="15" hidden="false" customHeight="false" outlineLevel="0" collapsed="false">
      <c r="A237" s="19" t="str">
        <f aca="false">"PAY-"&amp;B237&amp;"-BREAK"</f>
        <v>PAY-MTH-LF-CON-L1-BREAK</v>
      </c>
      <c r="B237" s="19" t="str">
        <f aca="false">'Object Crosswalk'!A64</f>
        <v>MTH-LF-CON-L1</v>
      </c>
      <c r="C237" s="19" t="str">
        <f aca="false">'Object Crosswalk'!B64</f>
        <v>Method lineage</v>
      </c>
      <c r="D237" s="19" t="str">
        <f aca="false">'Object Crosswalk'!C64</f>
        <v>Public</v>
      </c>
      <c r="E237" s="19" t="str">
        <f aca="false">'Object Crosswalk'!D64</f>
        <v>MS-LF</v>
      </c>
      <c r="F237" s="19" t="str">
        <f aca="false">'Object Crosswalk'!E64</f>
        <v>LF-B</v>
      </c>
      <c r="G237" s="9" t="s">
        <v>1209</v>
      </c>
      <c r="H237" s="41" t="n">
        <v>0</v>
      </c>
      <c r="I237" s="50" t="n">
        <f aca="false">'Object Crosswalk'!I64</f>
        <v>0.09</v>
      </c>
      <c r="J237" s="50" t="n">
        <f aca="false">H237*I237</f>
        <v>0</v>
      </c>
      <c r="K237" s="32" t="n">
        <f aca="false">0</f>
        <v>0</v>
      </c>
      <c r="L237" s="33" t="n">
        <f aca="false">Controls!B35</f>
        <v>0</v>
      </c>
      <c r="M237" s="33" t="n">
        <f aca="false">Controls!B36</f>
        <v>0</v>
      </c>
      <c r="N237" s="32" t="str">
        <f aca="false">IF(M237&gt;0,"PAID","HELD")</f>
        <v>HELD</v>
      </c>
    </row>
    <row r="238" customFormat="false" ht="15" hidden="false" customHeight="false" outlineLevel="0" collapsed="false">
      <c r="A238" s="19" t="str">
        <f aca="false">"PAY-"&amp;B238&amp;"-TRANSFER"</f>
        <v>PAY-MTH-LF-CON-L1-TRANSFER</v>
      </c>
      <c r="B238" s="19" t="str">
        <f aca="false">'Object Crosswalk'!A64</f>
        <v>MTH-LF-CON-L1</v>
      </c>
      <c r="C238" s="19" t="str">
        <f aca="false">'Object Crosswalk'!B64</f>
        <v>Method lineage</v>
      </c>
      <c r="D238" s="19" t="str">
        <f aca="false">'Object Crosswalk'!C64</f>
        <v>Public</v>
      </c>
      <c r="E238" s="19" t="str">
        <f aca="false">'Object Crosswalk'!D64</f>
        <v>MS-LF</v>
      </c>
      <c r="F238" s="19" t="str">
        <f aca="false">'Object Crosswalk'!E64</f>
        <v>LF-B</v>
      </c>
      <c r="G238" s="9" t="s">
        <v>1210</v>
      </c>
      <c r="H238" s="41" t="n">
        <v>0.25</v>
      </c>
      <c r="I238" s="50" t="n">
        <f aca="false">'Object Crosswalk'!I64</f>
        <v>0.09</v>
      </c>
      <c r="J238" s="50" t="n">
        <f aca="false">H238*I238</f>
        <v>0.0225</v>
      </c>
      <c r="K238" s="32" t="n">
        <f aca="false">0</f>
        <v>0</v>
      </c>
      <c r="L238" s="33" t="n">
        <f aca="false">Controls!B35</f>
        <v>0</v>
      </c>
      <c r="M238" s="33" t="n">
        <f aca="false">Controls!B36</f>
        <v>0</v>
      </c>
      <c r="N238" s="32" t="str">
        <f aca="false">IF(M238&gt;0,"PAID","HELD")</f>
        <v>HELD</v>
      </c>
    </row>
    <row r="239" customFormat="false" ht="15" hidden="false" customHeight="false" outlineLevel="0" collapsed="false">
      <c r="A239" s="19" t="str">
        <f aca="false">"PAY-"&amp;B239&amp;"-FRAME"</f>
        <v>PAY-MTH-LF-CON-L2-FRAME</v>
      </c>
      <c r="B239" s="19" t="str">
        <f aca="false">'Object Crosswalk'!A65</f>
        <v>MTH-LF-CON-L2</v>
      </c>
      <c r="C239" s="19" t="str">
        <f aca="false">'Object Crosswalk'!B65</f>
        <v>Method lineage</v>
      </c>
      <c r="D239" s="19" t="str">
        <f aca="false">'Object Crosswalk'!C65</f>
        <v>Public</v>
      </c>
      <c r="E239" s="19" t="str">
        <f aca="false">'Object Crosswalk'!D65</f>
        <v>MS-LF</v>
      </c>
      <c r="F239" s="19" t="str">
        <f aca="false">'Object Crosswalk'!E65</f>
        <v>LF-B</v>
      </c>
      <c r="G239" s="9" t="s">
        <v>543</v>
      </c>
      <c r="H239" s="41" t="n">
        <v>0.25</v>
      </c>
      <c r="I239" s="50" t="n">
        <f aca="false">'Object Crosswalk'!I65</f>
        <v>0.09</v>
      </c>
      <c r="J239" s="50" t="n">
        <f aca="false">H239*I239</f>
        <v>0.0225</v>
      </c>
      <c r="K239" s="32" t="n">
        <f aca="false">0</f>
        <v>0</v>
      </c>
      <c r="L239" s="33" t="n">
        <f aca="false">Controls!B35</f>
        <v>0</v>
      </c>
      <c r="M239" s="33" t="n">
        <f aca="false">Controls!B36</f>
        <v>0</v>
      </c>
      <c r="N239" s="32" t="str">
        <f aca="false">IF(M239&gt;0,"PAID","HELD")</f>
        <v>HELD</v>
      </c>
    </row>
    <row r="240" customFormat="false" ht="15" hidden="false" customHeight="false" outlineLevel="0" collapsed="false">
      <c r="A240" s="19" t="str">
        <f aca="false">"PAY-"&amp;B240&amp;"-MAKE"</f>
        <v>PAY-MTH-LF-CON-L2-MAKE</v>
      </c>
      <c r="B240" s="19" t="str">
        <f aca="false">'Object Crosswalk'!A65</f>
        <v>MTH-LF-CON-L2</v>
      </c>
      <c r="C240" s="19" t="str">
        <f aca="false">'Object Crosswalk'!B65</f>
        <v>Method lineage</v>
      </c>
      <c r="D240" s="19" t="str">
        <f aca="false">'Object Crosswalk'!C65</f>
        <v>Public</v>
      </c>
      <c r="E240" s="19" t="str">
        <f aca="false">'Object Crosswalk'!D65</f>
        <v>MS-LF</v>
      </c>
      <c r="F240" s="19" t="str">
        <f aca="false">'Object Crosswalk'!E65</f>
        <v>LF-B</v>
      </c>
      <c r="G240" s="9" t="s">
        <v>546</v>
      </c>
      <c r="H240" s="41" t="n">
        <v>0.5</v>
      </c>
      <c r="I240" s="50" t="n">
        <f aca="false">'Object Crosswalk'!I65</f>
        <v>0.09</v>
      </c>
      <c r="J240" s="50" t="n">
        <f aca="false">H240*I240</f>
        <v>0.045</v>
      </c>
      <c r="K240" s="32" t="n">
        <f aca="false">0</f>
        <v>0</v>
      </c>
      <c r="L240" s="33" t="n">
        <f aca="false">Controls!B35</f>
        <v>0</v>
      </c>
      <c r="M240" s="33" t="n">
        <f aca="false">Controls!B36</f>
        <v>0</v>
      </c>
      <c r="N240" s="32" t="str">
        <f aca="false">IF(M240&gt;0,"PAID","HELD")</f>
        <v>HELD</v>
      </c>
    </row>
    <row r="241" customFormat="false" ht="15" hidden="false" customHeight="false" outlineLevel="0" collapsed="false">
      <c r="A241" s="19" t="str">
        <f aca="false">"PAY-"&amp;B241&amp;"-BREAK"</f>
        <v>PAY-MTH-LF-CON-L2-BREAK</v>
      </c>
      <c r="B241" s="19" t="str">
        <f aca="false">'Object Crosswalk'!A65</f>
        <v>MTH-LF-CON-L2</v>
      </c>
      <c r="C241" s="19" t="str">
        <f aca="false">'Object Crosswalk'!B65</f>
        <v>Method lineage</v>
      </c>
      <c r="D241" s="19" t="str">
        <f aca="false">'Object Crosswalk'!C65</f>
        <v>Public</v>
      </c>
      <c r="E241" s="19" t="str">
        <f aca="false">'Object Crosswalk'!D65</f>
        <v>MS-LF</v>
      </c>
      <c r="F241" s="19" t="str">
        <f aca="false">'Object Crosswalk'!E65</f>
        <v>LF-B</v>
      </c>
      <c r="G241" s="9" t="s">
        <v>1209</v>
      </c>
      <c r="H241" s="41" t="n">
        <v>0</v>
      </c>
      <c r="I241" s="50" t="n">
        <f aca="false">'Object Crosswalk'!I65</f>
        <v>0.09</v>
      </c>
      <c r="J241" s="50" t="n">
        <f aca="false">H241*I241</f>
        <v>0</v>
      </c>
      <c r="K241" s="32" t="n">
        <f aca="false">0</f>
        <v>0</v>
      </c>
      <c r="L241" s="33" t="n">
        <f aca="false">Controls!B35</f>
        <v>0</v>
      </c>
      <c r="M241" s="33" t="n">
        <f aca="false">Controls!B36</f>
        <v>0</v>
      </c>
      <c r="N241" s="32" t="str">
        <f aca="false">IF(M241&gt;0,"PAID","HELD")</f>
        <v>HELD</v>
      </c>
    </row>
    <row r="242" customFormat="false" ht="15" hidden="false" customHeight="false" outlineLevel="0" collapsed="false">
      <c r="A242" s="19" t="str">
        <f aca="false">"PAY-"&amp;B242&amp;"-TRANSFER"</f>
        <v>PAY-MTH-LF-CON-L2-TRANSFER</v>
      </c>
      <c r="B242" s="19" t="str">
        <f aca="false">'Object Crosswalk'!A65</f>
        <v>MTH-LF-CON-L2</v>
      </c>
      <c r="C242" s="19" t="str">
        <f aca="false">'Object Crosswalk'!B65</f>
        <v>Method lineage</v>
      </c>
      <c r="D242" s="19" t="str">
        <f aca="false">'Object Crosswalk'!C65</f>
        <v>Public</v>
      </c>
      <c r="E242" s="19" t="str">
        <f aca="false">'Object Crosswalk'!D65</f>
        <v>MS-LF</v>
      </c>
      <c r="F242" s="19" t="str">
        <f aca="false">'Object Crosswalk'!E65</f>
        <v>LF-B</v>
      </c>
      <c r="G242" s="9" t="s">
        <v>1210</v>
      </c>
      <c r="H242" s="41" t="n">
        <v>0.25</v>
      </c>
      <c r="I242" s="50" t="n">
        <f aca="false">'Object Crosswalk'!I65</f>
        <v>0.09</v>
      </c>
      <c r="J242" s="50" t="n">
        <f aca="false">H242*I242</f>
        <v>0.0225</v>
      </c>
      <c r="K242" s="32" t="n">
        <f aca="false">0</f>
        <v>0</v>
      </c>
      <c r="L242" s="33" t="n">
        <f aca="false">Controls!B35</f>
        <v>0</v>
      </c>
      <c r="M242" s="33" t="n">
        <f aca="false">Controls!B36</f>
        <v>0</v>
      </c>
      <c r="N242" s="32" t="str">
        <f aca="false">IF(M242&gt;0,"PAID","HELD")</f>
        <v>HELD</v>
      </c>
    </row>
    <row r="243" customFormat="false" ht="15" hidden="false" customHeight="false" outlineLevel="0" collapsed="false">
      <c r="A243" s="19" t="str">
        <f aca="false">"PAY-"&amp;B243&amp;"-FRAME"</f>
        <v>PAY-REG-LF-CON-FRAME</v>
      </c>
      <c r="B243" s="19" t="str">
        <f aca="false">'Object Crosswalk'!A66</f>
        <v>REG-LF-CON</v>
      </c>
      <c r="C243" s="19" t="str">
        <f aca="false">'Object Crosswalk'!B66</f>
        <v>Regeneration tool</v>
      </c>
      <c r="D243" s="19" t="str">
        <f aca="false">'Object Crosswalk'!C66</f>
        <v>Public</v>
      </c>
      <c r="E243" s="19" t="str">
        <f aca="false">'Object Crosswalk'!D66</f>
        <v>MS-LF</v>
      </c>
      <c r="F243" s="19" t="str">
        <f aca="false">'Object Crosswalk'!E66</f>
        <v>LF-B</v>
      </c>
      <c r="G243" s="9" t="s">
        <v>543</v>
      </c>
      <c r="H243" s="41" t="n">
        <v>0.25</v>
      </c>
      <c r="I243" s="50" t="n">
        <f aca="false">'Object Crosswalk'!I66</f>
        <v>0.0666666666666667</v>
      </c>
      <c r="J243" s="50" t="n">
        <f aca="false">H243*I243</f>
        <v>0.0166666666666667</v>
      </c>
      <c r="K243" s="32" t="n">
        <f aca="false">0</f>
        <v>0</v>
      </c>
      <c r="L243" s="33" t="n">
        <f aca="false">Controls!B35</f>
        <v>0</v>
      </c>
      <c r="M243" s="33" t="n">
        <f aca="false">Controls!B36</f>
        <v>0</v>
      </c>
      <c r="N243" s="32" t="str">
        <f aca="false">IF(M243&gt;0,"PAID","HELD")</f>
        <v>HELD</v>
      </c>
    </row>
    <row r="244" customFormat="false" ht="15" hidden="false" customHeight="false" outlineLevel="0" collapsed="false">
      <c r="A244" s="19" t="str">
        <f aca="false">"PAY-"&amp;B244&amp;"-MAKE"</f>
        <v>PAY-REG-LF-CON-MAKE</v>
      </c>
      <c r="B244" s="19" t="str">
        <f aca="false">'Object Crosswalk'!A66</f>
        <v>REG-LF-CON</v>
      </c>
      <c r="C244" s="19" t="str">
        <f aca="false">'Object Crosswalk'!B66</f>
        <v>Regeneration tool</v>
      </c>
      <c r="D244" s="19" t="str">
        <f aca="false">'Object Crosswalk'!C66</f>
        <v>Public</v>
      </c>
      <c r="E244" s="19" t="str">
        <f aca="false">'Object Crosswalk'!D66</f>
        <v>MS-LF</v>
      </c>
      <c r="F244" s="19" t="str">
        <f aca="false">'Object Crosswalk'!E66</f>
        <v>LF-B</v>
      </c>
      <c r="G244" s="9" t="s">
        <v>546</v>
      </c>
      <c r="H244" s="41" t="n">
        <v>0.5</v>
      </c>
      <c r="I244" s="50" t="n">
        <f aca="false">'Object Crosswalk'!I66</f>
        <v>0.0666666666666667</v>
      </c>
      <c r="J244" s="50" t="n">
        <f aca="false">H244*I244</f>
        <v>0.0333333333333333</v>
      </c>
      <c r="K244" s="32" t="n">
        <f aca="false">0</f>
        <v>0</v>
      </c>
      <c r="L244" s="33" t="n">
        <f aca="false">Controls!B35</f>
        <v>0</v>
      </c>
      <c r="M244" s="33" t="n">
        <f aca="false">Controls!B36</f>
        <v>0</v>
      </c>
      <c r="N244" s="32" t="str">
        <f aca="false">IF(M244&gt;0,"PAID","HELD")</f>
        <v>HELD</v>
      </c>
    </row>
    <row r="245" customFormat="false" ht="15" hidden="false" customHeight="false" outlineLevel="0" collapsed="false">
      <c r="A245" s="19" t="str">
        <f aca="false">"PAY-"&amp;B245&amp;"-BREAK"</f>
        <v>PAY-REG-LF-CON-BREAK</v>
      </c>
      <c r="B245" s="19" t="str">
        <f aca="false">'Object Crosswalk'!A66</f>
        <v>REG-LF-CON</v>
      </c>
      <c r="C245" s="19" t="str">
        <f aca="false">'Object Crosswalk'!B66</f>
        <v>Regeneration tool</v>
      </c>
      <c r="D245" s="19" t="str">
        <f aca="false">'Object Crosswalk'!C66</f>
        <v>Public</v>
      </c>
      <c r="E245" s="19" t="str">
        <f aca="false">'Object Crosswalk'!D66</f>
        <v>MS-LF</v>
      </c>
      <c r="F245" s="19" t="str">
        <f aca="false">'Object Crosswalk'!E66</f>
        <v>LF-B</v>
      </c>
      <c r="G245" s="9" t="s">
        <v>1209</v>
      </c>
      <c r="H245" s="41" t="n">
        <v>0</v>
      </c>
      <c r="I245" s="50" t="n">
        <f aca="false">'Object Crosswalk'!I66</f>
        <v>0.0666666666666667</v>
      </c>
      <c r="J245" s="50" t="n">
        <f aca="false">H245*I245</f>
        <v>0</v>
      </c>
      <c r="K245" s="32" t="n">
        <f aca="false">0</f>
        <v>0</v>
      </c>
      <c r="L245" s="33" t="n">
        <f aca="false">Controls!B35</f>
        <v>0</v>
      </c>
      <c r="M245" s="33" t="n">
        <f aca="false">Controls!B36</f>
        <v>0</v>
      </c>
      <c r="N245" s="32" t="str">
        <f aca="false">IF(M245&gt;0,"PAID","HELD")</f>
        <v>HELD</v>
      </c>
    </row>
    <row r="246" customFormat="false" ht="15" hidden="false" customHeight="false" outlineLevel="0" collapsed="false">
      <c r="A246" s="19" t="str">
        <f aca="false">"PAY-"&amp;B246&amp;"-TRANSFER"</f>
        <v>PAY-REG-LF-CON-TRANSFER</v>
      </c>
      <c r="B246" s="19" t="str">
        <f aca="false">'Object Crosswalk'!A66</f>
        <v>REG-LF-CON</v>
      </c>
      <c r="C246" s="19" t="str">
        <f aca="false">'Object Crosswalk'!B66</f>
        <v>Regeneration tool</v>
      </c>
      <c r="D246" s="19" t="str">
        <f aca="false">'Object Crosswalk'!C66</f>
        <v>Public</v>
      </c>
      <c r="E246" s="19" t="str">
        <f aca="false">'Object Crosswalk'!D66</f>
        <v>MS-LF</v>
      </c>
      <c r="F246" s="19" t="str">
        <f aca="false">'Object Crosswalk'!E66</f>
        <v>LF-B</v>
      </c>
      <c r="G246" s="9" t="s">
        <v>1210</v>
      </c>
      <c r="H246" s="41" t="n">
        <v>0.25</v>
      </c>
      <c r="I246" s="50" t="n">
        <f aca="false">'Object Crosswalk'!I66</f>
        <v>0.0666666666666667</v>
      </c>
      <c r="J246" s="50" t="n">
        <f aca="false">H246*I246</f>
        <v>0.0166666666666667</v>
      </c>
      <c r="K246" s="32" t="n">
        <f aca="false">0</f>
        <v>0</v>
      </c>
      <c r="L246" s="33" t="n">
        <f aca="false">Controls!B35</f>
        <v>0</v>
      </c>
      <c r="M246" s="33" t="n">
        <f aca="false">Controls!B36</f>
        <v>0</v>
      </c>
      <c r="N246" s="32" t="str">
        <f aca="false">IF(M246&gt;0,"PAID","HELD")</f>
        <v>HELD</v>
      </c>
    </row>
    <row r="247" customFormat="false" ht="15" hidden="false" customHeight="false" outlineLevel="0" collapsed="false">
      <c r="A247" s="19" t="str">
        <f aca="false">"PAY-"&amp;B247&amp;"-FRAME"</f>
        <v>PAY-INT-LF-CON-FRAME</v>
      </c>
      <c r="B247" s="19" t="str">
        <f aca="false">'Object Crosswalk'!A67</f>
        <v>INT-LF-CON</v>
      </c>
      <c r="C247" s="19" t="str">
        <f aca="false">'Object Crosswalk'!B67</f>
        <v>Station integration</v>
      </c>
      <c r="D247" s="19" t="str">
        <f aca="false">'Object Crosswalk'!C67</f>
        <v>Public</v>
      </c>
      <c r="E247" s="19" t="str">
        <f aca="false">'Object Crosswalk'!D67</f>
        <v>MS-LF</v>
      </c>
      <c r="F247" s="19" t="str">
        <f aca="false">'Object Crosswalk'!E67</f>
        <v>LF-B</v>
      </c>
      <c r="G247" s="9" t="s">
        <v>543</v>
      </c>
      <c r="H247" s="41" t="n">
        <v>0.25</v>
      </c>
      <c r="I247" s="50" t="n">
        <f aca="false">'Object Crosswalk'!I67</f>
        <v>0.0633333333333333</v>
      </c>
      <c r="J247" s="50" t="n">
        <f aca="false">H247*I247</f>
        <v>0.0158333333333333</v>
      </c>
      <c r="K247" s="32" t="n">
        <f aca="false">0</f>
        <v>0</v>
      </c>
      <c r="L247" s="33" t="n">
        <f aca="false">Controls!B35</f>
        <v>0</v>
      </c>
      <c r="M247" s="33" t="n">
        <f aca="false">Controls!B36</f>
        <v>0</v>
      </c>
      <c r="N247" s="32" t="str">
        <f aca="false">IF(M247&gt;0,"PAID","HELD")</f>
        <v>HELD</v>
      </c>
    </row>
    <row r="248" customFormat="false" ht="15" hidden="false" customHeight="false" outlineLevel="0" collapsed="false">
      <c r="A248" s="19" t="str">
        <f aca="false">"PAY-"&amp;B248&amp;"-MAKE"</f>
        <v>PAY-INT-LF-CON-MAKE</v>
      </c>
      <c r="B248" s="19" t="str">
        <f aca="false">'Object Crosswalk'!A67</f>
        <v>INT-LF-CON</v>
      </c>
      <c r="C248" s="19" t="str">
        <f aca="false">'Object Crosswalk'!B67</f>
        <v>Station integration</v>
      </c>
      <c r="D248" s="19" t="str">
        <f aca="false">'Object Crosswalk'!C67</f>
        <v>Public</v>
      </c>
      <c r="E248" s="19" t="str">
        <f aca="false">'Object Crosswalk'!D67</f>
        <v>MS-LF</v>
      </c>
      <c r="F248" s="19" t="str">
        <f aca="false">'Object Crosswalk'!E67</f>
        <v>LF-B</v>
      </c>
      <c r="G248" s="9" t="s">
        <v>546</v>
      </c>
      <c r="H248" s="41" t="n">
        <v>0.5</v>
      </c>
      <c r="I248" s="50" t="n">
        <f aca="false">'Object Crosswalk'!I67</f>
        <v>0.0633333333333333</v>
      </c>
      <c r="J248" s="50" t="n">
        <f aca="false">H248*I248</f>
        <v>0.0316666666666667</v>
      </c>
      <c r="K248" s="32" t="n">
        <f aca="false">0</f>
        <v>0</v>
      </c>
      <c r="L248" s="33" t="n">
        <f aca="false">Controls!B35</f>
        <v>0</v>
      </c>
      <c r="M248" s="33" t="n">
        <f aca="false">Controls!B36</f>
        <v>0</v>
      </c>
      <c r="N248" s="32" t="str">
        <f aca="false">IF(M248&gt;0,"PAID","HELD")</f>
        <v>HELD</v>
      </c>
    </row>
    <row r="249" customFormat="false" ht="15" hidden="false" customHeight="false" outlineLevel="0" collapsed="false">
      <c r="A249" s="19" t="str">
        <f aca="false">"PAY-"&amp;B249&amp;"-BREAK"</f>
        <v>PAY-INT-LF-CON-BREAK</v>
      </c>
      <c r="B249" s="19" t="str">
        <f aca="false">'Object Crosswalk'!A67</f>
        <v>INT-LF-CON</v>
      </c>
      <c r="C249" s="19" t="str">
        <f aca="false">'Object Crosswalk'!B67</f>
        <v>Station integration</v>
      </c>
      <c r="D249" s="19" t="str">
        <f aca="false">'Object Crosswalk'!C67</f>
        <v>Public</v>
      </c>
      <c r="E249" s="19" t="str">
        <f aca="false">'Object Crosswalk'!D67</f>
        <v>MS-LF</v>
      </c>
      <c r="F249" s="19" t="str">
        <f aca="false">'Object Crosswalk'!E67</f>
        <v>LF-B</v>
      </c>
      <c r="G249" s="9" t="s">
        <v>1209</v>
      </c>
      <c r="H249" s="41" t="n">
        <v>0</v>
      </c>
      <c r="I249" s="50" t="n">
        <f aca="false">'Object Crosswalk'!I67</f>
        <v>0.0633333333333333</v>
      </c>
      <c r="J249" s="50" t="n">
        <f aca="false">H249*I249</f>
        <v>0</v>
      </c>
      <c r="K249" s="32" t="n">
        <f aca="false">0</f>
        <v>0</v>
      </c>
      <c r="L249" s="33" t="n">
        <f aca="false">Controls!B35</f>
        <v>0</v>
      </c>
      <c r="M249" s="33" t="n">
        <f aca="false">Controls!B36</f>
        <v>0</v>
      </c>
      <c r="N249" s="32" t="str">
        <f aca="false">IF(M249&gt;0,"PAID","HELD")</f>
        <v>HELD</v>
      </c>
    </row>
    <row r="250" customFormat="false" ht="15" hidden="false" customHeight="false" outlineLevel="0" collapsed="false">
      <c r="A250" s="19" t="str">
        <f aca="false">"PAY-"&amp;B250&amp;"-TRANSFER"</f>
        <v>PAY-INT-LF-CON-TRANSFER</v>
      </c>
      <c r="B250" s="19" t="str">
        <f aca="false">'Object Crosswalk'!A67</f>
        <v>INT-LF-CON</v>
      </c>
      <c r="C250" s="19" t="str">
        <f aca="false">'Object Crosswalk'!B67</f>
        <v>Station integration</v>
      </c>
      <c r="D250" s="19" t="str">
        <f aca="false">'Object Crosswalk'!C67</f>
        <v>Public</v>
      </c>
      <c r="E250" s="19" t="str">
        <f aca="false">'Object Crosswalk'!D67</f>
        <v>MS-LF</v>
      </c>
      <c r="F250" s="19" t="str">
        <f aca="false">'Object Crosswalk'!E67</f>
        <v>LF-B</v>
      </c>
      <c r="G250" s="9" t="s">
        <v>1210</v>
      </c>
      <c r="H250" s="41" t="n">
        <v>0.25</v>
      </c>
      <c r="I250" s="50" t="n">
        <f aca="false">'Object Crosswalk'!I67</f>
        <v>0.0633333333333333</v>
      </c>
      <c r="J250" s="50" t="n">
        <f aca="false">H250*I250</f>
        <v>0.0158333333333333</v>
      </c>
      <c r="K250" s="32" t="n">
        <f aca="false">0</f>
        <v>0</v>
      </c>
      <c r="L250" s="33" t="n">
        <f aca="false">Controls!B35</f>
        <v>0</v>
      </c>
      <c r="M250" s="33" t="n">
        <f aca="false">Controls!B36</f>
        <v>0</v>
      </c>
      <c r="N250" s="32" t="str">
        <f aca="false">IF(M250&gt;0,"PAID","HELD")</f>
        <v>HELD</v>
      </c>
    </row>
    <row r="251" customFormat="false" ht="15" hidden="false" customHeight="false" outlineLevel="0" collapsed="false">
      <c r="A251" s="19" t="str">
        <f aca="false">"PAY-"&amp;B251&amp;"-FRAME"</f>
        <v>PAY-RIG-LF-REC-FRAME</v>
      </c>
      <c r="B251" s="19" t="str">
        <f aca="false">'Object Crosswalk'!A68</f>
        <v>RIG-LF-REC</v>
      </c>
      <c r="C251" s="19" t="str">
        <f aca="false">'Object Crosswalk'!B68</f>
        <v>Root-native rig</v>
      </c>
      <c r="D251" s="19" t="str">
        <f aca="false">'Object Crosswalk'!C68</f>
        <v>Public</v>
      </c>
      <c r="E251" s="19" t="str">
        <f aca="false">'Object Crosswalk'!D68</f>
        <v>MS-LF</v>
      </c>
      <c r="F251" s="19" t="str">
        <f aca="false">'Object Crosswalk'!E68</f>
        <v>LF-B</v>
      </c>
      <c r="G251" s="9" t="s">
        <v>543</v>
      </c>
      <c r="H251" s="41" t="n">
        <v>0.25</v>
      </c>
      <c r="I251" s="50" t="n">
        <f aca="false">'Object Crosswalk'!I68</f>
        <v>0.316666666666667</v>
      </c>
      <c r="J251" s="50" t="n">
        <f aca="false">H251*I251</f>
        <v>0.0791666666666667</v>
      </c>
      <c r="K251" s="32" t="n">
        <f aca="false">0</f>
        <v>0</v>
      </c>
      <c r="L251" s="33" t="n">
        <f aca="false">Controls!B35</f>
        <v>0</v>
      </c>
      <c r="M251" s="33" t="n">
        <f aca="false">Controls!B36</f>
        <v>0</v>
      </c>
      <c r="N251" s="32" t="str">
        <f aca="false">IF(M251&gt;0,"PAID","HELD")</f>
        <v>HELD</v>
      </c>
    </row>
    <row r="252" customFormat="false" ht="15" hidden="false" customHeight="false" outlineLevel="0" collapsed="false">
      <c r="A252" s="19" t="str">
        <f aca="false">"PAY-"&amp;B252&amp;"-MAKE"</f>
        <v>PAY-RIG-LF-REC-MAKE</v>
      </c>
      <c r="B252" s="19" t="str">
        <f aca="false">'Object Crosswalk'!A68</f>
        <v>RIG-LF-REC</v>
      </c>
      <c r="C252" s="19" t="str">
        <f aca="false">'Object Crosswalk'!B68</f>
        <v>Root-native rig</v>
      </c>
      <c r="D252" s="19" t="str">
        <f aca="false">'Object Crosswalk'!C68</f>
        <v>Public</v>
      </c>
      <c r="E252" s="19" t="str">
        <f aca="false">'Object Crosswalk'!D68</f>
        <v>MS-LF</v>
      </c>
      <c r="F252" s="19" t="str">
        <f aca="false">'Object Crosswalk'!E68</f>
        <v>LF-B</v>
      </c>
      <c r="G252" s="9" t="s">
        <v>546</v>
      </c>
      <c r="H252" s="41" t="n">
        <v>0.5</v>
      </c>
      <c r="I252" s="50" t="n">
        <f aca="false">'Object Crosswalk'!I68</f>
        <v>0.316666666666667</v>
      </c>
      <c r="J252" s="50" t="n">
        <f aca="false">H252*I252</f>
        <v>0.158333333333333</v>
      </c>
      <c r="K252" s="32" t="n">
        <f aca="false">0</f>
        <v>0</v>
      </c>
      <c r="L252" s="33" t="n">
        <f aca="false">Controls!B35</f>
        <v>0</v>
      </c>
      <c r="M252" s="33" t="n">
        <f aca="false">Controls!B36</f>
        <v>0</v>
      </c>
      <c r="N252" s="32" t="str">
        <f aca="false">IF(M252&gt;0,"PAID","HELD")</f>
        <v>HELD</v>
      </c>
    </row>
    <row r="253" customFormat="false" ht="15" hidden="false" customHeight="false" outlineLevel="0" collapsed="false">
      <c r="A253" s="19" t="str">
        <f aca="false">"PAY-"&amp;B253&amp;"-BREAK"</f>
        <v>PAY-RIG-LF-REC-BREAK</v>
      </c>
      <c r="B253" s="19" t="str">
        <f aca="false">'Object Crosswalk'!A68</f>
        <v>RIG-LF-REC</v>
      </c>
      <c r="C253" s="19" t="str">
        <f aca="false">'Object Crosswalk'!B68</f>
        <v>Root-native rig</v>
      </c>
      <c r="D253" s="19" t="str">
        <f aca="false">'Object Crosswalk'!C68</f>
        <v>Public</v>
      </c>
      <c r="E253" s="19" t="str">
        <f aca="false">'Object Crosswalk'!D68</f>
        <v>MS-LF</v>
      </c>
      <c r="F253" s="19" t="str">
        <f aca="false">'Object Crosswalk'!E68</f>
        <v>LF-B</v>
      </c>
      <c r="G253" s="9" t="s">
        <v>1209</v>
      </c>
      <c r="H253" s="41" t="n">
        <v>0</v>
      </c>
      <c r="I253" s="50" t="n">
        <f aca="false">'Object Crosswalk'!I68</f>
        <v>0.316666666666667</v>
      </c>
      <c r="J253" s="50" t="n">
        <f aca="false">H253*I253</f>
        <v>0</v>
      </c>
      <c r="K253" s="32" t="n">
        <f aca="false">0</f>
        <v>0</v>
      </c>
      <c r="L253" s="33" t="n">
        <f aca="false">Controls!B35</f>
        <v>0</v>
      </c>
      <c r="M253" s="33" t="n">
        <f aca="false">Controls!B36</f>
        <v>0</v>
      </c>
      <c r="N253" s="32" t="str">
        <f aca="false">IF(M253&gt;0,"PAID","HELD")</f>
        <v>HELD</v>
      </c>
    </row>
    <row r="254" customFormat="false" ht="15" hidden="false" customHeight="false" outlineLevel="0" collapsed="false">
      <c r="A254" s="19" t="str">
        <f aca="false">"PAY-"&amp;B254&amp;"-TRANSFER"</f>
        <v>PAY-RIG-LF-REC-TRANSFER</v>
      </c>
      <c r="B254" s="19" t="str">
        <f aca="false">'Object Crosswalk'!A68</f>
        <v>RIG-LF-REC</v>
      </c>
      <c r="C254" s="19" t="str">
        <f aca="false">'Object Crosswalk'!B68</f>
        <v>Root-native rig</v>
      </c>
      <c r="D254" s="19" t="str">
        <f aca="false">'Object Crosswalk'!C68</f>
        <v>Public</v>
      </c>
      <c r="E254" s="19" t="str">
        <f aca="false">'Object Crosswalk'!D68</f>
        <v>MS-LF</v>
      </c>
      <c r="F254" s="19" t="str">
        <f aca="false">'Object Crosswalk'!E68</f>
        <v>LF-B</v>
      </c>
      <c r="G254" s="9" t="s">
        <v>1210</v>
      </c>
      <c r="H254" s="41" t="n">
        <v>0.25</v>
      </c>
      <c r="I254" s="50" t="n">
        <f aca="false">'Object Crosswalk'!I68</f>
        <v>0.316666666666667</v>
      </c>
      <c r="J254" s="50" t="n">
        <f aca="false">H254*I254</f>
        <v>0.0791666666666667</v>
      </c>
      <c r="K254" s="32" t="n">
        <f aca="false">0</f>
        <v>0</v>
      </c>
      <c r="L254" s="33" t="n">
        <f aca="false">Controls!B35</f>
        <v>0</v>
      </c>
      <c r="M254" s="33" t="n">
        <f aca="false">Controls!B36</f>
        <v>0</v>
      </c>
      <c r="N254" s="32" t="str">
        <f aca="false">IF(M254&gt;0,"PAID","HELD")</f>
        <v>HELD</v>
      </c>
    </row>
    <row r="255" customFormat="false" ht="15" hidden="false" customHeight="false" outlineLevel="0" collapsed="false">
      <c r="A255" s="19" t="str">
        <f aca="false">"PAY-"&amp;B255&amp;"-FRAME"</f>
        <v>PAY-MTH-LF-REC-L1-FRAME</v>
      </c>
      <c r="B255" s="19" t="str">
        <f aca="false">'Object Crosswalk'!A69</f>
        <v>MTH-LF-REC-L1</v>
      </c>
      <c r="C255" s="19" t="str">
        <f aca="false">'Object Crosswalk'!B69</f>
        <v>Method lineage</v>
      </c>
      <c r="D255" s="19" t="str">
        <f aca="false">'Object Crosswalk'!C69</f>
        <v>Public</v>
      </c>
      <c r="E255" s="19" t="str">
        <f aca="false">'Object Crosswalk'!D69</f>
        <v>MS-LF</v>
      </c>
      <c r="F255" s="19" t="str">
        <f aca="false">'Object Crosswalk'!E69</f>
        <v>LF-B</v>
      </c>
      <c r="G255" s="9" t="s">
        <v>543</v>
      </c>
      <c r="H255" s="41" t="n">
        <v>0.25</v>
      </c>
      <c r="I255" s="50" t="n">
        <f aca="false">'Object Crosswalk'!I69</f>
        <v>0.09</v>
      </c>
      <c r="J255" s="50" t="n">
        <f aca="false">H255*I255</f>
        <v>0.0225</v>
      </c>
      <c r="K255" s="32" t="n">
        <f aca="false">0</f>
        <v>0</v>
      </c>
      <c r="L255" s="33" t="n">
        <f aca="false">Controls!B35</f>
        <v>0</v>
      </c>
      <c r="M255" s="33" t="n">
        <f aca="false">Controls!B36</f>
        <v>0</v>
      </c>
      <c r="N255" s="32" t="str">
        <f aca="false">IF(M255&gt;0,"PAID","HELD")</f>
        <v>HELD</v>
      </c>
    </row>
    <row r="256" customFormat="false" ht="15" hidden="false" customHeight="false" outlineLevel="0" collapsed="false">
      <c r="A256" s="19" t="str">
        <f aca="false">"PAY-"&amp;B256&amp;"-MAKE"</f>
        <v>PAY-MTH-LF-REC-L1-MAKE</v>
      </c>
      <c r="B256" s="19" t="str">
        <f aca="false">'Object Crosswalk'!A69</f>
        <v>MTH-LF-REC-L1</v>
      </c>
      <c r="C256" s="19" t="str">
        <f aca="false">'Object Crosswalk'!B69</f>
        <v>Method lineage</v>
      </c>
      <c r="D256" s="19" t="str">
        <f aca="false">'Object Crosswalk'!C69</f>
        <v>Public</v>
      </c>
      <c r="E256" s="19" t="str">
        <f aca="false">'Object Crosswalk'!D69</f>
        <v>MS-LF</v>
      </c>
      <c r="F256" s="19" t="str">
        <f aca="false">'Object Crosswalk'!E69</f>
        <v>LF-B</v>
      </c>
      <c r="G256" s="9" t="s">
        <v>546</v>
      </c>
      <c r="H256" s="41" t="n">
        <v>0.5</v>
      </c>
      <c r="I256" s="50" t="n">
        <f aca="false">'Object Crosswalk'!I69</f>
        <v>0.09</v>
      </c>
      <c r="J256" s="50" t="n">
        <f aca="false">H256*I256</f>
        <v>0.045</v>
      </c>
      <c r="K256" s="32" t="n">
        <f aca="false">0</f>
        <v>0</v>
      </c>
      <c r="L256" s="33" t="n">
        <f aca="false">Controls!B35</f>
        <v>0</v>
      </c>
      <c r="M256" s="33" t="n">
        <f aca="false">Controls!B36</f>
        <v>0</v>
      </c>
      <c r="N256" s="32" t="str">
        <f aca="false">IF(M256&gt;0,"PAID","HELD")</f>
        <v>HELD</v>
      </c>
    </row>
    <row r="257" customFormat="false" ht="15" hidden="false" customHeight="false" outlineLevel="0" collapsed="false">
      <c r="A257" s="19" t="str">
        <f aca="false">"PAY-"&amp;B257&amp;"-BREAK"</f>
        <v>PAY-MTH-LF-REC-L1-BREAK</v>
      </c>
      <c r="B257" s="19" t="str">
        <f aca="false">'Object Crosswalk'!A69</f>
        <v>MTH-LF-REC-L1</v>
      </c>
      <c r="C257" s="19" t="str">
        <f aca="false">'Object Crosswalk'!B69</f>
        <v>Method lineage</v>
      </c>
      <c r="D257" s="19" t="str">
        <f aca="false">'Object Crosswalk'!C69</f>
        <v>Public</v>
      </c>
      <c r="E257" s="19" t="str">
        <f aca="false">'Object Crosswalk'!D69</f>
        <v>MS-LF</v>
      </c>
      <c r="F257" s="19" t="str">
        <f aca="false">'Object Crosswalk'!E69</f>
        <v>LF-B</v>
      </c>
      <c r="G257" s="9" t="s">
        <v>1209</v>
      </c>
      <c r="H257" s="41" t="n">
        <v>0</v>
      </c>
      <c r="I257" s="50" t="n">
        <f aca="false">'Object Crosswalk'!I69</f>
        <v>0.09</v>
      </c>
      <c r="J257" s="50" t="n">
        <f aca="false">H257*I257</f>
        <v>0</v>
      </c>
      <c r="K257" s="32" t="n">
        <f aca="false">0</f>
        <v>0</v>
      </c>
      <c r="L257" s="33" t="n">
        <f aca="false">Controls!B35</f>
        <v>0</v>
      </c>
      <c r="M257" s="33" t="n">
        <f aca="false">Controls!B36</f>
        <v>0</v>
      </c>
      <c r="N257" s="32" t="str">
        <f aca="false">IF(M257&gt;0,"PAID","HELD")</f>
        <v>HELD</v>
      </c>
    </row>
    <row r="258" customFormat="false" ht="15" hidden="false" customHeight="false" outlineLevel="0" collapsed="false">
      <c r="A258" s="19" t="str">
        <f aca="false">"PAY-"&amp;B258&amp;"-TRANSFER"</f>
        <v>PAY-MTH-LF-REC-L1-TRANSFER</v>
      </c>
      <c r="B258" s="19" t="str">
        <f aca="false">'Object Crosswalk'!A69</f>
        <v>MTH-LF-REC-L1</v>
      </c>
      <c r="C258" s="19" t="str">
        <f aca="false">'Object Crosswalk'!B69</f>
        <v>Method lineage</v>
      </c>
      <c r="D258" s="19" t="str">
        <f aca="false">'Object Crosswalk'!C69</f>
        <v>Public</v>
      </c>
      <c r="E258" s="19" t="str">
        <f aca="false">'Object Crosswalk'!D69</f>
        <v>MS-LF</v>
      </c>
      <c r="F258" s="19" t="str">
        <f aca="false">'Object Crosswalk'!E69</f>
        <v>LF-B</v>
      </c>
      <c r="G258" s="9" t="s">
        <v>1210</v>
      </c>
      <c r="H258" s="41" t="n">
        <v>0.25</v>
      </c>
      <c r="I258" s="50" t="n">
        <f aca="false">'Object Crosswalk'!I69</f>
        <v>0.09</v>
      </c>
      <c r="J258" s="50" t="n">
        <f aca="false">H258*I258</f>
        <v>0.0225</v>
      </c>
      <c r="K258" s="32" t="n">
        <f aca="false">0</f>
        <v>0</v>
      </c>
      <c r="L258" s="33" t="n">
        <f aca="false">Controls!B35</f>
        <v>0</v>
      </c>
      <c r="M258" s="33" t="n">
        <f aca="false">Controls!B36</f>
        <v>0</v>
      </c>
      <c r="N258" s="32" t="str">
        <f aca="false">IF(M258&gt;0,"PAID","HELD")</f>
        <v>HELD</v>
      </c>
    </row>
    <row r="259" customFormat="false" ht="15" hidden="false" customHeight="false" outlineLevel="0" collapsed="false">
      <c r="A259" s="19" t="str">
        <f aca="false">"PAY-"&amp;B259&amp;"-FRAME"</f>
        <v>PAY-MTH-LF-REC-L2-FRAME</v>
      </c>
      <c r="B259" s="19" t="str">
        <f aca="false">'Object Crosswalk'!A70</f>
        <v>MTH-LF-REC-L2</v>
      </c>
      <c r="C259" s="19" t="str">
        <f aca="false">'Object Crosswalk'!B70</f>
        <v>Method lineage</v>
      </c>
      <c r="D259" s="19" t="str">
        <f aca="false">'Object Crosswalk'!C70</f>
        <v>Public</v>
      </c>
      <c r="E259" s="19" t="str">
        <f aca="false">'Object Crosswalk'!D70</f>
        <v>MS-LF</v>
      </c>
      <c r="F259" s="19" t="str">
        <f aca="false">'Object Crosswalk'!E70</f>
        <v>LF-B</v>
      </c>
      <c r="G259" s="9" t="s">
        <v>543</v>
      </c>
      <c r="H259" s="41" t="n">
        <v>0.25</v>
      </c>
      <c r="I259" s="50" t="n">
        <f aca="false">'Object Crosswalk'!I70</f>
        <v>0.09</v>
      </c>
      <c r="J259" s="50" t="n">
        <f aca="false">H259*I259</f>
        <v>0.0225</v>
      </c>
      <c r="K259" s="32" t="n">
        <f aca="false">0</f>
        <v>0</v>
      </c>
      <c r="L259" s="33" t="n">
        <f aca="false">Controls!B35</f>
        <v>0</v>
      </c>
      <c r="M259" s="33" t="n">
        <f aca="false">Controls!B36</f>
        <v>0</v>
      </c>
      <c r="N259" s="32" t="str">
        <f aca="false">IF(M259&gt;0,"PAID","HELD")</f>
        <v>HELD</v>
      </c>
    </row>
    <row r="260" customFormat="false" ht="15" hidden="false" customHeight="false" outlineLevel="0" collapsed="false">
      <c r="A260" s="19" t="str">
        <f aca="false">"PAY-"&amp;B260&amp;"-MAKE"</f>
        <v>PAY-MTH-LF-REC-L2-MAKE</v>
      </c>
      <c r="B260" s="19" t="str">
        <f aca="false">'Object Crosswalk'!A70</f>
        <v>MTH-LF-REC-L2</v>
      </c>
      <c r="C260" s="19" t="str">
        <f aca="false">'Object Crosswalk'!B70</f>
        <v>Method lineage</v>
      </c>
      <c r="D260" s="19" t="str">
        <f aca="false">'Object Crosswalk'!C70</f>
        <v>Public</v>
      </c>
      <c r="E260" s="19" t="str">
        <f aca="false">'Object Crosswalk'!D70</f>
        <v>MS-LF</v>
      </c>
      <c r="F260" s="19" t="str">
        <f aca="false">'Object Crosswalk'!E70</f>
        <v>LF-B</v>
      </c>
      <c r="G260" s="9" t="s">
        <v>546</v>
      </c>
      <c r="H260" s="41" t="n">
        <v>0.5</v>
      </c>
      <c r="I260" s="50" t="n">
        <f aca="false">'Object Crosswalk'!I70</f>
        <v>0.09</v>
      </c>
      <c r="J260" s="50" t="n">
        <f aca="false">H260*I260</f>
        <v>0.045</v>
      </c>
      <c r="K260" s="32" t="n">
        <f aca="false">0</f>
        <v>0</v>
      </c>
      <c r="L260" s="33" t="n">
        <f aca="false">Controls!B35</f>
        <v>0</v>
      </c>
      <c r="M260" s="33" t="n">
        <f aca="false">Controls!B36</f>
        <v>0</v>
      </c>
      <c r="N260" s="32" t="str">
        <f aca="false">IF(M260&gt;0,"PAID","HELD")</f>
        <v>HELD</v>
      </c>
    </row>
    <row r="261" customFormat="false" ht="15" hidden="false" customHeight="false" outlineLevel="0" collapsed="false">
      <c r="A261" s="19" t="str">
        <f aca="false">"PAY-"&amp;B261&amp;"-BREAK"</f>
        <v>PAY-MTH-LF-REC-L2-BREAK</v>
      </c>
      <c r="B261" s="19" t="str">
        <f aca="false">'Object Crosswalk'!A70</f>
        <v>MTH-LF-REC-L2</v>
      </c>
      <c r="C261" s="19" t="str">
        <f aca="false">'Object Crosswalk'!B70</f>
        <v>Method lineage</v>
      </c>
      <c r="D261" s="19" t="str">
        <f aca="false">'Object Crosswalk'!C70</f>
        <v>Public</v>
      </c>
      <c r="E261" s="19" t="str">
        <f aca="false">'Object Crosswalk'!D70</f>
        <v>MS-LF</v>
      </c>
      <c r="F261" s="19" t="str">
        <f aca="false">'Object Crosswalk'!E70</f>
        <v>LF-B</v>
      </c>
      <c r="G261" s="9" t="s">
        <v>1209</v>
      </c>
      <c r="H261" s="41" t="n">
        <v>0</v>
      </c>
      <c r="I261" s="50" t="n">
        <f aca="false">'Object Crosswalk'!I70</f>
        <v>0.09</v>
      </c>
      <c r="J261" s="50" t="n">
        <f aca="false">H261*I261</f>
        <v>0</v>
      </c>
      <c r="K261" s="32" t="n">
        <f aca="false">0</f>
        <v>0</v>
      </c>
      <c r="L261" s="33" t="n">
        <f aca="false">Controls!B35</f>
        <v>0</v>
      </c>
      <c r="M261" s="33" t="n">
        <f aca="false">Controls!B36</f>
        <v>0</v>
      </c>
      <c r="N261" s="32" t="str">
        <f aca="false">IF(M261&gt;0,"PAID","HELD")</f>
        <v>HELD</v>
      </c>
    </row>
    <row r="262" customFormat="false" ht="15" hidden="false" customHeight="false" outlineLevel="0" collapsed="false">
      <c r="A262" s="19" t="str">
        <f aca="false">"PAY-"&amp;B262&amp;"-TRANSFER"</f>
        <v>PAY-MTH-LF-REC-L2-TRANSFER</v>
      </c>
      <c r="B262" s="19" t="str">
        <f aca="false">'Object Crosswalk'!A70</f>
        <v>MTH-LF-REC-L2</v>
      </c>
      <c r="C262" s="19" t="str">
        <f aca="false">'Object Crosswalk'!B70</f>
        <v>Method lineage</v>
      </c>
      <c r="D262" s="19" t="str">
        <f aca="false">'Object Crosswalk'!C70</f>
        <v>Public</v>
      </c>
      <c r="E262" s="19" t="str">
        <f aca="false">'Object Crosswalk'!D70</f>
        <v>MS-LF</v>
      </c>
      <c r="F262" s="19" t="str">
        <f aca="false">'Object Crosswalk'!E70</f>
        <v>LF-B</v>
      </c>
      <c r="G262" s="9" t="s">
        <v>1210</v>
      </c>
      <c r="H262" s="41" t="n">
        <v>0.25</v>
      </c>
      <c r="I262" s="50" t="n">
        <f aca="false">'Object Crosswalk'!I70</f>
        <v>0.09</v>
      </c>
      <c r="J262" s="50" t="n">
        <f aca="false">H262*I262</f>
        <v>0.0225</v>
      </c>
      <c r="K262" s="32" t="n">
        <f aca="false">0</f>
        <v>0</v>
      </c>
      <c r="L262" s="33" t="n">
        <f aca="false">Controls!B35</f>
        <v>0</v>
      </c>
      <c r="M262" s="33" t="n">
        <f aca="false">Controls!B36</f>
        <v>0</v>
      </c>
      <c r="N262" s="32" t="str">
        <f aca="false">IF(M262&gt;0,"PAID","HELD")</f>
        <v>HELD</v>
      </c>
    </row>
    <row r="263" customFormat="false" ht="15" hidden="false" customHeight="false" outlineLevel="0" collapsed="false">
      <c r="A263" s="19" t="str">
        <f aca="false">"PAY-"&amp;B263&amp;"-FRAME"</f>
        <v>PAY-REG-LF-REC-FRAME</v>
      </c>
      <c r="B263" s="19" t="str">
        <f aca="false">'Object Crosswalk'!A71</f>
        <v>REG-LF-REC</v>
      </c>
      <c r="C263" s="19" t="str">
        <f aca="false">'Object Crosswalk'!B71</f>
        <v>Regeneration tool</v>
      </c>
      <c r="D263" s="19" t="str">
        <f aca="false">'Object Crosswalk'!C71</f>
        <v>Public</v>
      </c>
      <c r="E263" s="19" t="str">
        <f aca="false">'Object Crosswalk'!D71</f>
        <v>MS-LF</v>
      </c>
      <c r="F263" s="19" t="str">
        <f aca="false">'Object Crosswalk'!E71</f>
        <v>LF-B</v>
      </c>
      <c r="G263" s="9" t="s">
        <v>543</v>
      </c>
      <c r="H263" s="41" t="n">
        <v>0.25</v>
      </c>
      <c r="I263" s="50" t="n">
        <f aca="false">'Object Crosswalk'!I71</f>
        <v>0.0666666666666667</v>
      </c>
      <c r="J263" s="50" t="n">
        <f aca="false">H263*I263</f>
        <v>0.0166666666666667</v>
      </c>
      <c r="K263" s="32" t="n">
        <f aca="false">0</f>
        <v>0</v>
      </c>
      <c r="L263" s="33" t="n">
        <f aca="false">Controls!B35</f>
        <v>0</v>
      </c>
      <c r="M263" s="33" t="n">
        <f aca="false">Controls!B36</f>
        <v>0</v>
      </c>
      <c r="N263" s="32" t="str">
        <f aca="false">IF(M263&gt;0,"PAID","HELD")</f>
        <v>HELD</v>
      </c>
    </row>
    <row r="264" customFormat="false" ht="15" hidden="false" customHeight="false" outlineLevel="0" collapsed="false">
      <c r="A264" s="19" t="str">
        <f aca="false">"PAY-"&amp;B264&amp;"-MAKE"</f>
        <v>PAY-REG-LF-REC-MAKE</v>
      </c>
      <c r="B264" s="19" t="str">
        <f aca="false">'Object Crosswalk'!A71</f>
        <v>REG-LF-REC</v>
      </c>
      <c r="C264" s="19" t="str">
        <f aca="false">'Object Crosswalk'!B71</f>
        <v>Regeneration tool</v>
      </c>
      <c r="D264" s="19" t="str">
        <f aca="false">'Object Crosswalk'!C71</f>
        <v>Public</v>
      </c>
      <c r="E264" s="19" t="str">
        <f aca="false">'Object Crosswalk'!D71</f>
        <v>MS-LF</v>
      </c>
      <c r="F264" s="19" t="str">
        <f aca="false">'Object Crosswalk'!E71</f>
        <v>LF-B</v>
      </c>
      <c r="G264" s="9" t="s">
        <v>546</v>
      </c>
      <c r="H264" s="41" t="n">
        <v>0.5</v>
      </c>
      <c r="I264" s="50" t="n">
        <f aca="false">'Object Crosswalk'!I71</f>
        <v>0.0666666666666667</v>
      </c>
      <c r="J264" s="50" t="n">
        <f aca="false">H264*I264</f>
        <v>0.0333333333333333</v>
      </c>
      <c r="K264" s="32" t="n">
        <f aca="false">0</f>
        <v>0</v>
      </c>
      <c r="L264" s="33" t="n">
        <f aca="false">Controls!B35</f>
        <v>0</v>
      </c>
      <c r="M264" s="33" t="n">
        <f aca="false">Controls!B36</f>
        <v>0</v>
      </c>
      <c r="N264" s="32" t="str">
        <f aca="false">IF(M264&gt;0,"PAID","HELD")</f>
        <v>HELD</v>
      </c>
    </row>
    <row r="265" customFormat="false" ht="15" hidden="false" customHeight="false" outlineLevel="0" collapsed="false">
      <c r="A265" s="19" t="str">
        <f aca="false">"PAY-"&amp;B265&amp;"-BREAK"</f>
        <v>PAY-REG-LF-REC-BREAK</v>
      </c>
      <c r="B265" s="19" t="str">
        <f aca="false">'Object Crosswalk'!A71</f>
        <v>REG-LF-REC</v>
      </c>
      <c r="C265" s="19" t="str">
        <f aca="false">'Object Crosswalk'!B71</f>
        <v>Regeneration tool</v>
      </c>
      <c r="D265" s="19" t="str">
        <f aca="false">'Object Crosswalk'!C71</f>
        <v>Public</v>
      </c>
      <c r="E265" s="19" t="str">
        <f aca="false">'Object Crosswalk'!D71</f>
        <v>MS-LF</v>
      </c>
      <c r="F265" s="19" t="str">
        <f aca="false">'Object Crosswalk'!E71</f>
        <v>LF-B</v>
      </c>
      <c r="G265" s="9" t="s">
        <v>1209</v>
      </c>
      <c r="H265" s="41" t="n">
        <v>0</v>
      </c>
      <c r="I265" s="50" t="n">
        <f aca="false">'Object Crosswalk'!I71</f>
        <v>0.0666666666666667</v>
      </c>
      <c r="J265" s="50" t="n">
        <f aca="false">H265*I265</f>
        <v>0</v>
      </c>
      <c r="K265" s="32" t="n">
        <f aca="false">0</f>
        <v>0</v>
      </c>
      <c r="L265" s="33" t="n">
        <f aca="false">Controls!B35</f>
        <v>0</v>
      </c>
      <c r="M265" s="33" t="n">
        <f aca="false">Controls!B36</f>
        <v>0</v>
      </c>
      <c r="N265" s="32" t="str">
        <f aca="false">IF(M265&gt;0,"PAID","HELD")</f>
        <v>HELD</v>
      </c>
    </row>
    <row r="266" customFormat="false" ht="15" hidden="false" customHeight="false" outlineLevel="0" collapsed="false">
      <c r="A266" s="19" t="str">
        <f aca="false">"PAY-"&amp;B266&amp;"-TRANSFER"</f>
        <v>PAY-REG-LF-REC-TRANSFER</v>
      </c>
      <c r="B266" s="19" t="str">
        <f aca="false">'Object Crosswalk'!A71</f>
        <v>REG-LF-REC</v>
      </c>
      <c r="C266" s="19" t="str">
        <f aca="false">'Object Crosswalk'!B71</f>
        <v>Regeneration tool</v>
      </c>
      <c r="D266" s="19" t="str">
        <f aca="false">'Object Crosswalk'!C71</f>
        <v>Public</v>
      </c>
      <c r="E266" s="19" t="str">
        <f aca="false">'Object Crosswalk'!D71</f>
        <v>MS-LF</v>
      </c>
      <c r="F266" s="19" t="str">
        <f aca="false">'Object Crosswalk'!E71</f>
        <v>LF-B</v>
      </c>
      <c r="G266" s="9" t="s">
        <v>1210</v>
      </c>
      <c r="H266" s="41" t="n">
        <v>0.25</v>
      </c>
      <c r="I266" s="50" t="n">
        <f aca="false">'Object Crosswalk'!I71</f>
        <v>0.0666666666666667</v>
      </c>
      <c r="J266" s="50" t="n">
        <f aca="false">H266*I266</f>
        <v>0.0166666666666667</v>
      </c>
      <c r="K266" s="32" t="n">
        <f aca="false">0</f>
        <v>0</v>
      </c>
      <c r="L266" s="33" t="n">
        <f aca="false">Controls!B35</f>
        <v>0</v>
      </c>
      <c r="M266" s="33" t="n">
        <f aca="false">Controls!B36</f>
        <v>0</v>
      </c>
      <c r="N266" s="32" t="str">
        <f aca="false">IF(M266&gt;0,"PAID","HELD")</f>
        <v>HELD</v>
      </c>
    </row>
    <row r="267" customFormat="false" ht="15" hidden="false" customHeight="false" outlineLevel="0" collapsed="false">
      <c r="A267" s="19" t="str">
        <f aca="false">"PAY-"&amp;B267&amp;"-FRAME"</f>
        <v>PAY-INT-LF-REC-FRAME</v>
      </c>
      <c r="B267" s="19" t="str">
        <f aca="false">'Object Crosswalk'!A72</f>
        <v>INT-LF-REC</v>
      </c>
      <c r="C267" s="19" t="str">
        <f aca="false">'Object Crosswalk'!B72</f>
        <v>Station integration</v>
      </c>
      <c r="D267" s="19" t="str">
        <f aca="false">'Object Crosswalk'!C72</f>
        <v>Public</v>
      </c>
      <c r="E267" s="19" t="str">
        <f aca="false">'Object Crosswalk'!D72</f>
        <v>MS-LF</v>
      </c>
      <c r="F267" s="19" t="str">
        <f aca="false">'Object Crosswalk'!E72</f>
        <v>LF-B</v>
      </c>
      <c r="G267" s="9" t="s">
        <v>543</v>
      </c>
      <c r="H267" s="41" t="n">
        <v>0.25</v>
      </c>
      <c r="I267" s="50" t="n">
        <f aca="false">'Object Crosswalk'!I72</f>
        <v>0.0633333333333333</v>
      </c>
      <c r="J267" s="50" t="n">
        <f aca="false">H267*I267</f>
        <v>0.0158333333333333</v>
      </c>
      <c r="K267" s="32" t="n">
        <f aca="false">0</f>
        <v>0</v>
      </c>
      <c r="L267" s="33" t="n">
        <f aca="false">Controls!B35</f>
        <v>0</v>
      </c>
      <c r="M267" s="33" t="n">
        <f aca="false">Controls!B36</f>
        <v>0</v>
      </c>
      <c r="N267" s="32" t="str">
        <f aca="false">IF(M267&gt;0,"PAID","HELD")</f>
        <v>HELD</v>
      </c>
    </row>
    <row r="268" customFormat="false" ht="15" hidden="false" customHeight="false" outlineLevel="0" collapsed="false">
      <c r="A268" s="19" t="str">
        <f aca="false">"PAY-"&amp;B268&amp;"-MAKE"</f>
        <v>PAY-INT-LF-REC-MAKE</v>
      </c>
      <c r="B268" s="19" t="str">
        <f aca="false">'Object Crosswalk'!A72</f>
        <v>INT-LF-REC</v>
      </c>
      <c r="C268" s="19" t="str">
        <f aca="false">'Object Crosswalk'!B72</f>
        <v>Station integration</v>
      </c>
      <c r="D268" s="19" t="str">
        <f aca="false">'Object Crosswalk'!C72</f>
        <v>Public</v>
      </c>
      <c r="E268" s="19" t="str">
        <f aca="false">'Object Crosswalk'!D72</f>
        <v>MS-LF</v>
      </c>
      <c r="F268" s="19" t="str">
        <f aca="false">'Object Crosswalk'!E72</f>
        <v>LF-B</v>
      </c>
      <c r="G268" s="9" t="s">
        <v>546</v>
      </c>
      <c r="H268" s="41" t="n">
        <v>0.5</v>
      </c>
      <c r="I268" s="50" t="n">
        <f aca="false">'Object Crosswalk'!I72</f>
        <v>0.0633333333333333</v>
      </c>
      <c r="J268" s="50" t="n">
        <f aca="false">H268*I268</f>
        <v>0.0316666666666667</v>
      </c>
      <c r="K268" s="32" t="n">
        <f aca="false">0</f>
        <v>0</v>
      </c>
      <c r="L268" s="33" t="n">
        <f aca="false">Controls!B35</f>
        <v>0</v>
      </c>
      <c r="M268" s="33" t="n">
        <f aca="false">Controls!B36</f>
        <v>0</v>
      </c>
      <c r="N268" s="32" t="str">
        <f aca="false">IF(M268&gt;0,"PAID","HELD")</f>
        <v>HELD</v>
      </c>
    </row>
    <row r="269" customFormat="false" ht="15" hidden="false" customHeight="false" outlineLevel="0" collapsed="false">
      <c r="A269" s="19" t="str">
        <f aca="false">"PAY-"&amp;B269&amp;"-BREAK"</f>
        <v>PAY-INT-LF-REC-BREAK</v>
      </c>
      <c r="B269" s="19" t="str">
        <f aca="false">'Object Crosswalk'!A72</f>
        <v>INT-LF-REC</v>
      </c>
      <c r="C269" s="19" t="str">
        <f aca="false">'Object Crosswalk'!B72</f>
        <v>Station integration</v>
      </c>
      <c r="D269" s="19" t="str">
        <f aca="false">'Object Crosswalk'!C72</f>
        <v>Public</v>
      </c>
      <c r="E269" s="19" t="str">
        <f aca="false">'Object Crosswalk'!D72</f>
        <v>MS-LF</v>
      </c>
      <c r="F269" s="19" t="str">
        <f aca="false">'Object Crosswalk'!E72</f>
        <v>LF-B</v>
      </c>
      <c r="G269" s="9" t="s">
        <v>1209</v>
      </c>
      <c r="H269" s="41" t="n">
        <v>0</v>
      </c>
      <c r="I269" s="50" t="n">
        <f aca="false">'Object Crosswalk'!I72</f>
        <v>0.0633333333333333</v>
      </c>
      <c r="J269" s="50" t="n">
        <f aca="false">H269*I269</f>
        <v>0</v>
      </c>
      <c r="K269" s="32" t="n">
        <f aca="false">0</f>
        <v>0</v>
      </c>
      <c r="L269" s="33" t="n">
        <f aca="false">Controls!B35</f>
        <v>0</v>
      </c>
      <c r="M269" s="33" t="n">
        <f aca="false">Controls!B36</f>
        <v>0</v>
      </c>
      <c r="N269" s="32" t="str">
        <f aca="false">IF(M269&gt;0,"PAID","HELD")</f>
        <v>HELD</v>
      </c>
    </row>
    <row r="270" customFormat="false" ht="15" hidden="false" customHeight="false" outlineLevel="0" collapsed="false">
      <c r="A270" s="19" t="str">
        <f aca="false">"PAY-"&amp;B270&amp;"-TRANSFER"</f>
        <v>PAY-INT-LF-REC-TRANSFER</v>
      </c>
      <c r="B270" s="19" t="str">
        <f aca="false">'Object Crosswalk'!A72</f>
        <v>INT-LF-REC</v>
      </c>
      <c r="C270" s="19" t="str">
        <f aca="false">'Object Crosswalk'!B72</f>
        <v>Station integration</v>
      </c>
      <c r="D270" s="19" t="str">
        <f aca="false">'Object Crosswalk'!C72</f>
        <v>Public</v>
      </c>
      <c r="E270" s="19" t="str">
        <f aca="false">'Object Crosswalk'!D72</f>
        <v>MS-LF</v>
      </c>
      <c r="F270" s="19" t="str">
        <f aca="false">'Object Crosswalk'!E72</f>
        <v>LF-B</v>
      </c>
      <c r="G270" s="9" t="s">
        <v>1210</v>
      </c>
      <c r="H270" s="41" t="n">
        <v>0.25</v>
      </c>
      <c r="I270" s="50" t="n">
        <f aca="false">'Object Crosswalk'!I72</f>
        <v>0.0633333333333333</v>
      </c>
      <c r="J270" s="50" t="n">
        <f aca="false">H270*I270</f>
        <v>0.0158333333333333</v>
      </c>
      <c r="K270" s="32" t="n">
        <f aca="false">0</f>
        <v>0</v>
      </c>
      <c r="L270" s="33" t="n">
        <f aca="false">Controls!B35</f>
        <v>0</v>
      </c>
      <c r="M270" s="33" t="n">
        <f aca="false">Controls!B36</f>
        <v>0</v>
      </c>
      <c r="N270" s="32" t="str">
        <f aca="false">IF(M270&gt;0,"PAID","HELD")</f>
        <v>HELD</v>
      </c>
    </row>
    <row r="271" customFormat="false" ht="15" hidden="false" customHeight="false" outlineLevel="0" collapsed="false">
      <c r="A271" s="19" t="str">
        <f aca="false">"PAY-"&amp;B271&amp;"-FRAME"</f>
        <v>PAY-RIG-HU-CHA-FRAME</v>
      </c>
      <c r="B271" s="19" t="str">
        <f aca="false">'Object Crosswalk'!A73</f>
        <v>RIG-HU-CHA</v>
      </c>
      <c r="C271" s="19" t="str">
        <f aca="false">'Object Crosswalk'!B73</f>
        <v>Root-native rig</v>
      </c>
      <c r="D271" s="19" t="str">
        <f aca="false">'Object Crosswalk'!C73</f>
        <v>Public</v>
      </c>
      <c r="E271" s="19" t="str">
        <f aca="false">'Object Crosswalk'!D73</f>
        <v>MS-HU</v>
      </c>
      <c r="F271" s="19" t="str">
        <f aca="false">'Object Crosswalk'!E73</f>
        <v>HU-A</v>
      </c>
      <c r="G271" s="9" t="s">
        <v>543</v>
      </c>
      <c r="H271" s="41" t="n">
        <v>0.25</v>
      </c>
      <c r="I271" s="50" t="n">
        <f aca="false">'Object Crosswalk'!I73</f>
        <v>0.316666666666667</v>
      </c>
      <c r="J271" s="50" t="n">
        <f aca="false">H271*I271</f>
        <v>0.0791666666666667</v>
      </c>
      <c r="K271" s="32" t="n">
        <f aca="false">0</f>
        <v>0</v>
      </c>
      <c r="L271" s="33" t="n">
        <f aca="false">Controls!B35</f>
        <v>0</v>
      </c>
      <c r="M271" s="33" t="n">
        <f aca="false">Controls!B36</f>
        <v>0</v>
      </c>
      <c r="N271" s="32" t="str">
        <f aca="false">IF(M271&gt;0,"PAID","HELD")</f>
        <v>HELD</v>
      </c>
    </row>
    <row r="272" customFormat="false" ht="15" hidden="false" customHeight="false" outlineLevel="0" collapsed="false">
      <c r="A272" s="19" t="str">
        <f aca="false">"PAY-"&amp;B272&amp;"-MAKE"</f>
        <v>PAY-RIG-HU-CHA-MAKE</v>
      </c>
      <c r="B272" s="19" t="str">
        <f aca="false">'Object Crosswalk'!A73</f>
        <v>RIG-HU-CHA</v>
      </c>
      <c r="C272" s="19" t="str">
        <f aca="false">'Object Crosswalk'!B73</f>
        <v>Root-native rig</v>
      </c>
      <c r="D272" s="19" t="str">
        <f aca="false">'Object Crosswalk'!C73</f>
        <v>Public</v>
      </c>
      <c r="E272" s="19" t="str">
        <f aca="false">'Object Crosswalk'!D73</f>
        <v>MS-HU</v>
      </c>
      <c r="F272" s="19" t="str">
        <f aca="false">'Object Crosswalk'!E73</f>
        <v>HU-A</v>
      </c>
      <c r="G272" s="9" t="s">
        <v>546</v>
      </c>
      <c r="H272" s="41" t="n">
        <v>0.5</v>
      </c>
      <c r="I272" s="50" t="n">
        <f aca="false">'Object Crosswalk'!I73</f>
        <v>0.316666666666667</v>
      </c>
      <c r="J272" s="50" t="n">
        <f aca="false">H272*I272</f>
        <v>0.158333333333333</v>
      </c>
      <c r="K272" s="32" t="n">
        <f aca="false">0</f>
        <v>0</v>
      </c>
      <c r="L272" s="33" t="n">
        <f aca="false">Controls!B35</f>
        <v>0</v>
      </c>
      <c r="M272" s="33" t="n">
        <f aca="false">Controls!B36</f>
        <v>0</v>
      </c>
      <c r="N272" s="32" t="str">
        <f aca="false">IF(M272&gt;0,"PAID","HELD")</f>
        <v>HELD</v>
      </c>
    </row>
    <row r="273" customFormat="false" ht="15" hidden="false" customHeight="false" outlineLevel="0" collapsed="false">
      <c r="A273" s="19" t="str">
        <f aca="false">"PAY-"&amp;B273&amp;"-BREAK"</f>
        <v>PAY-RIG-HU-CHA-BREAK</v>
      </c>
      <c r="B273" s="19" t="str">
        <f aca="false">'Object Crosswalk'!A73</f>
        <v>RIG-HU-CHA</v>
      </c>
      <c r="C273" s="19" t="str">
        <f aca="false">'Object Crosswalk'!B73</f>
        <v>Root-native rig</v>
      </c>
      <c r="D273" s="19" t="str">
        <f aca="false">'Object Crosswalk'!C73</f>
        <v>Public</v>
      </c>
      <c r="E273" s="19" t="str">
        <f aca="false">'Object Crosswalk'!D73</f>
        <v>MS-HU</v>
      </c>
      <c r="F273" s="19" t="str">
        <f aca="false">'Object Crosswalk'!E73</f>
        <v>HU-A</v>
      </c>
      <c r="G273" s="9" t="s">
        <v>1209</v>
      </c>
      <c r="H273" s="41" t="n">
        <v>0</v>
      </c>
      <c r="I273" s="50" t="n">
        <f aca="false">'Object Crosswalk'!I73</f>
        <v>0.316666666666667</v>
      </c>
      <c r="J273" s="50" t="n">
        <f aca="false">H273*I273</f>
        <v>0</v>
      </c>
      <c r="K273" s="32" t="n">
        <f aca="false">0</f>
        <v>0</v>
      </c>
      <c r="L273" s="33" t="n">
        <f aca="false">Controls!B35</f>
        <v>0</v>
      </c>
      <c r="M273" s="33" t="n">
        <f aca="false">Controls!B36</f>
        <v>0</v>
      </c>
      <c r="N273" s="32" t="str">
        <f aca="false">IF(M273&gt;0,"PAID","HELD")</f>
        <v>HELD</v>
      </c>
    </row>
    <row r="274" customFormat="false" ht="15" hidden="false" customHeight="false" outlineLevel="0" collapsed="false">
      <c r="A274" s="19" t="str">
        <f aca="false">"PAY-"&amp;B274&amp;"-TRANSFER"</f>
        <v>PAY-RIG-HU-CHA-TRANSFER</v>
      </c>
      <c r="B274" s="19" t="str">
        <f aca="false">'Object Crosswalk'!A73</f>
        <v>RIG-HU-CHA</v>
      </c>
      <c r="C274" s="19" t="str">
        <f aca="false">'Object Crosswalk'!B73</f>
        <v>Root-native rig</v>
      </c>
      <c r="D274" s="19" t="str">
        <f aca="false">'Object Crosswalk'!C73</f>
        <v>Public</v>
      </c>
      <c r="E274" s="19" t="str">
        <f aca="false">'Object Crosswalk'!D73</f>
        <v>MS-HU</v>
      </c>
      <c r="F274" s="19" t="str">
        <f aca="false">'Object Crosswalk'!E73</f>
        <v>HU-A</v>
      </c>
      <c r="G274" s="9" t="s">
        <v>1210</v>
      </c>
      <c r="H274" s="41" t="n">
        <v>0.25</v>
      </c>
      <c r="I274" s="50" t="n">
        <f aca="false">'Object Crosswalk'!I73</f>
        <v>0.316666666666667</v>
      </c>
      <c r="J274" s="50" t="n">
        <f aca="false">H274*I274</f>
        <v>0.0791666666666667</v>
      </c>
      <c r="K274" s="32" t="n">
        <f aca="false">0</f>
        <v>0</v>
      </c>
      <c r="L274" s="33" t="n">
        <f aca="false">Controls!B35</f>
        <v>0</v>
      </c>
      <c r="M274" s="33" t="n">
        <f aca="false">Controls!B36</f>
        <v>0</v>
      </c>
      <c r="N274" s="32" t="str">
        <f aca="false">IF(M274&gt;0,"PAID","HELD")</f>
        <v>HELD</v>
      </c>
    </row>
    <row r="275" customFormat="false" ht="15" hidden="false" customHeight="false" outlineLevel="0" collapsed="false">
      <c r="A275" s="19" t="str">
        <f aca="false">"PAY-"&amp;B275&amp;"-FRAME"</f>
        <v>PAY-MTH-HU-CHA-L1-FRAME</v>
      </c>
      <c r="B275" s="19" t="str">
        <f aca="false">'Object Crosswalk'!A74</f>
        <v>MTH-HU-CHA-L1</v>
      </c>
      <c r="C275" s="19" t="str">
        <f aca="false">'Object Crosswalk'!B74</f>
        <v>Method lineage</v>
      </c>
      <c r="D275" s="19" t="str">
        <f aca="false">'Object Crosswalk'!C74</f>
        <v>Public</v>
      </c>
      <c r="E275" s="19" t="str">
        <f aca="false">'Object Crosswalk'!D74</f>
        <v>MS-HU</v>
      </c>
      <c r="F275" s="19" t="str">
        <f aca="false">'Object Crosswalk'!E74</f>
        <v>HU-A</v>
      </c>
      <c r="G275" s="9" t="s">
        <v>543</v>
      </c>
      <c r="H275" s="41" t="n">
        <v>0.25</v>
      </c>
      <c r="I275" s="50" t="n">
        <f aca="false">'Object Crosswalk'!I74</f>
        <v>0.09</v>
      </c>
      <c r="J275" s="50" t="n">
        <f aca="false">H275*I275</f>
        <v>0.0225</v>
      </c>
      <c r="K275" s="32" t="n">
        <f aca="false">0</f>
        <v>0</v>
      </c>
      <c r="L275" s="33" t="n">
        <f aca="false">Controls!B35</f>
        <v>0</v>
      </c>
      <c r="M275" s="33" t="n">
        <f aca="false">Controls!B36</f>
        <v>0</v>
      </c>
      <c r="N275" s="32" t="str">
        <f aca="false">IF(M275&gt;0,"PAID","HELD")</f>
        <v>HELD</v>
      </c>
    </row>
    <row r="276" customFormat="false" ht="15" hidden="false" customHeight="false" outlineLevel="0" collapsed="false">
      <c r="A276" s="19" t="str">
        <f aca="false">"PAY-"&amp;B276&amp;"-MAKE"</f>
        <v>PAY-MTH-HU-CHA-L1-MAKE</v>
      </c>
      <c r="B276" s="19" t="str">
        <f aca="false">'Object Crosswalk'!A74</f>
        <v>MTH-HU-CHA-L1</v>
      </c>
      <c r="C276" s="19" t="str">
        <f aca="false">'Object Crosswalk'!B74</f>
        <v>Method lineage</v>
      </c>
      <c r="D276" s="19" t="str">
        <f aca="false">'Object Crosswalk'!C74</f>
        <v>Public</v>
      </c>
      <c r="E276" s="19" t="str">
        <f aca="false">'Object Crosswalk'!D74</f>
        <v>MS-HU</v>
      </c>
      <c r="F276" s="19" t="str">
        <f aca="false">'Object Crosswalk'!E74</f>
        <v>HU-A</v>
      </c>
      <c r="G276" s="9" t="s">
        <v>546</v>
      </c>
      <c r="H276" s="41" t="n">
        <v>0.5</v>
      </c>
      <c r="I276" s="50" t="n">
        <f aca="false">'Object Crosswalk'!I74</f>
        <v>0.09</v>
      </c>
      <c r="J276" s="50" t="n">
        <f aca="false">H276*I276</f>
        <v>0.045</v>
      </c>
      <c r="K276" s="32" t="n">
        <f aca="false">0</f>
        <v>0</v>
      </c>
      <c r="L276" s="33" t="n">
        <f aca="false">Controls!B35</f>
        <v>0</v>
      </c>
      <c r="M276" s="33" t="n">
        <f aca="false">Controls!B36</f>
        <v>0</v>
      </c>
      <c r="N276" s="32" t="str">
        <f aca="false">IF(M276&gt;0,"PAID","HELD")</f>
        <v>HELD</v>
      </c>
    </row>
    <row r="277" customFormat="false" ht="15" hidden="false" customHeight="false" outlineLevel="0" collapsed="false">
      <c r="A277" s="19" t="str">
        <f aca="false">"PAY-"&amp;B277&amp;"-BREAK"</f>
        <v>PAY-MTH-HU-CHA-L1-BREAK</v>
      </c>
      <c r="B277" s="19" t="str">
        <f aca="false">'Object Crosswalk'!A74</f>
        <v>MTH-HU-CHA-L1</v>
      </c>
      <c r="C277" s="19" t="str">
        <f aca="false">'Object Crosswalk'!B74</f>
        <v>Method lineage</v>
      </c>
      <c r="D277" s="19" t="str">
        <f aca="false">'Object Crosswalk'!C74</f>
        <v>Public</v>
      </c>
      <c r="E277" s="19" t="str">
        <f aca="false">'Object Crosswalk'!D74</f>
        <v>MS-HU</v>
      </c>
      <c r="F277" s="19" t="str">
        <f aca="false">'Object Crosswalk'!E74</f>
        <v>HU-A</v>
      </c>
      <c r="G277" s="9" t="s">
        <v>1209</v>
      </c>
      <c r="H277" s="41" t="n">
        <v>0</v>
      </c>
      <c r="I277" s="50" t="n">
        <f aca="false">'Object Crosswalk'!I74</f>
        <v>0.09</v>
      </c>
      <c r="J277" s="50" t="n">
        <f aca="false">H277*I277</f>
        <v>0</v>
      </c>
      <c r="K277" s="32" t="n">
        <f aca="false">0</f>
        <v>0</v>
      </c>
      <c r="L277" s="33" t="n">
        <f aca="false">Controls!B35</f>
        <v>0</v>
      </c>
      <c r="M277" s="33" t="n">
        <f aca="false">Controls!B36</f>
        <v>0</v>
      </c>
      <c r="N277" s="32" t="str">
        <f aca="false">IF(M277&gt;0,"PAID","HELD")</f>
        <v>HELD</v>
      </c>
    </row>
    <row r="278" customFormat="false" ht="15" hidden="false" customHeight="false" outlineLevel="0" collapsed="false">
      <c r="A278" s="19" t="str">
        <f aca="false">"PAY-"&amp;B278&amp;"-TRANSFER"</f>
        <v>PAY-MTH-HU-CHA-L1-TRANSFER</v>
      </c>
      <c r="B278" s="19" t="str">
        <f aca="false">'Object Crosswalk'!A74</f>
        <v>MTH-HU-CHA-L1</v>
      </c>
      <c r="C278" s="19" t="str">
        <f aca="false">'Object Crosswalk'!B74</f>
        <v>Method lineage</v>
      </c>
      <c r="D278" s="19" t="str">
        <f aca="false">'Object Crosswalk'!C74</f>
        <v>Public</v>
      </c>
      <c r="E278" s="19" t="str">
        <f aca="false">'Object Crosswalk'!D74</f>
        <v>MS-HU</v>
      </c>
      <c r="F278" s="19" t="str">
        <f aca="false">'Object Crosswalk'!E74</f>
        <v>HU-A</v>
      </c>
      <c r="G278" s="9" t="s">
        <v>1210</v>
      </c>
      <c r="H278" s="41" t="n">
        <v>0.25</v>
      </c>
      <c r="I278" s="50" t="n">
        <f aca="false">'Object Crosswalk'!I74</f>
        <v>0.09</v>
      </c>
      <c r="J278" s="50" t="n">
        <f aca="false">H278*I278</f>
        <v>0.0225</v>
      </c>
      <c r="K278" s="32" t="n">
        <f aca="false">0</f>
        <v>0</v>
      </c>
      <c r="L278" s="33" t="n">
        <f aca="false">Controls!B35</f>
        <v>0</v>
      </c>
      <c r="M278" s="33" t="n">
        <f aca="false">Controls!B36</f>
        <v>0</v>
      </c>
      <c r="N278" s="32" t="str">
        <f aca="false">IF(M278&gt;0,"PAID","HELD")</f>
        <v>HELD</v>
      </c>
    </row>
    <row r="279" customFormat="false" ht="15" hidden="false" customHeight="false" outlineLevel="0" collapsed="false">
      <c r="A279" s="19" t="str">
        <f aca="false">"PAY-"&amp;B279&amp;"-FRAME"</f>
        <v>PAY-MTH-HU-CHA-L2-FRAME</v>
      </c>
      <c r="B279" s="19" t="str">
        <f aca="false">'Object Crosswalk'!A75</f>
        <v>MTH-HU-CHA-L2</v>
      </c>
      <c r="C279" s="19" t="str">
        <f aca="false">'Object Crosswalk'!B75</f>
        <v>Method lineage</v>
      </c>
      <c r="D279" s="19" t="str">
        <f aca="false">'Object Crosswalk'!C75</f>
        <v>Public</v>
      </c>
      <c r="E279" s="19" t="str">
        <f aca="false">'Object Crosswalk'!D75</f>
        <v>MS-HU</v>
      </c>
      <c r="F279" s="19" t="str">
        <f aca="false">'Object Crosswalk'!E75</f>
        <v>HU-A</v>
      </c>
      <c r="G279" s="9" t="s">
        <v>543</v>
      </c>
      <c r="H279" s="41" t="n">
        <v>0.25</v>
      </c>
      <c r="I279" s="50" t="n">
        <f aca="false">'Object Crosswalk'!I75</f>
        <v>0.09</v>
      </c>
      <c r="J279" s="50" t="n">
        <f aca="false">H279*I279</f>
        <v>0.0225</v>
      </c>
      <c r="K279" s="32" t="n">
        <f aca="false">0</f>
        <v>0</v>
      </c>
      <c r="L279" s="33" t="n">
        <f aca="false">Controls!B35</f>
        <v>0</v>
      </c>
      <c r="M279" s="33" t="n">
        <f aca="false">Controls!B36</f>
        <v>0</v>
      </c>
      <c r="N279" s="32" t="str">
        <f aca="false">IF(M279&gt;0,"PAID","HELD")</f>
        <v>HELD</v>
      </c>
    </row>
    <row r="280" customFormat="false" ht="15" hidden="false" customHeight="false" outlineLevel="0" collapsed="false">
      <c r="A280" s="19" t="str">
        <f aca="false">"PAY-"&amp;B280&amp;"-MAKE"</f>
        <v>PAY-MTH-HU-CHA-L2-MAKE</v>
      </c>
      <c r="B280" s="19" t="str">
        <f aca="false">'Object Crosswalk'!A75</f>
        <v>MTH-HU-CHA-L2</v>
      </c>
      <c r="C280" s="19" t="str">
        <f aca="false">'Object Crosswalk'!B75</f>
        <v>Method lineage</v>
      </c>
      <c r="D280" s="19" t="str">
        <f aca="false">'Object Crosswalk'!C75</f>
        <v>Public</v>
      </c>
      <c r="E280" s="19" t="str">
        <f aca="false">'Object Crosswalk'!D75</f>
        <v>MS-HU</v>
      </c>
      <c r="F280" s="19" t="str">
        <f aca="false">'Object Crosswalk'!E75</f>
        <v>HU-A</v>
      </c>
      <c r="G280" s="9" t="s">
        <v>546</v>
      </c>
      <c r="H280" s="41" t="n">
        <v>0.5</v>
      </c>
      <c r="I280" s="50" t="n">
        <f aca="false">'Object Crosswalk'!I75</f>
        <v>0.09</v>
      </c>
      <c r="J280" s="50" t="n">
        <f aca="false">H280*I280</f>
        <v>0.045</v>
      </c>
      <c r="K280" s="32" t="n">
        <f aca="false">0</f>
        <v>0</v>
      </c>
      <c r="L280" s="33" t="n">
        <f aca="false">Controls!B35</f>
        <v>0</v>
      </c>
      <c r="M280" s="33" t="n">
        <f aca="false">Controls!B36</f>
        <v>0</v>
      </c>
      <c r="N280" s="32" t="str">
        <f aca="false">IF(M280&gt;0,"PAID","HELD")</f>
        <v>HELD</v>
      </c>
    </row>
    <row r="281" customFormat="false" ht="15" hidden="false" customHeight="false" outlineLevel="0" collapsed="false">
      <c r="A281" s="19" t="str">
        <f aca="false">"PAY-"&amp;B281&amp;"-BREAK"</f>
        <v>PAY-MTH-HU-CHA-L2-BREAK</v>
      </c>
      <c r="B281" s="19" t="str">
        <f aca="false">'Object Crosswalk'!A75</f>
        <v>MTH-HU-CHA-L2</v>
      </c>
      <c r="C281" s="19" t="str">
        <f aca="false">'Object Crosswalk'!B75</f>
        <v>Method lineage</v>
      </c>
      <c r="D281" s="19" t="str">
        <f aca="false">'Object Crosswalk'!C75</f>
        <v>Public</v>
      </c>
      <c r="E281" s="19" t="str">
        <f aca="false">'Object Crosswalk'!D75</f>
        <v>MS-HU</v>
      </c>
      <c r="F281" s="19" t="str">
        <f aca="false">'Object Crosswalk'!E75</f>
        <v>HU-A</v>
      </c>
      <c r="G281" s="9" t="s">
        <v>1209</v>
      </c>
      <c r="H281" s="41" t="n">
        <v>0</v>
      </c>
      <c r="I281" s="50" t="n">
        <f aca="false">'Object Crosswalk'!I75</f>
        <v>0.09</v>
      </c>
      <c r="J281" s="50" t="n">
        <f aca="false">H281*I281</f>
        <v>0</v>
      </c>
      <c r="K281" s="32" t="n">
        <f aca="false">0</f>
        <v>0</v>
      </c>
      <c r="L281" s="33" t="n">
        <f aca="false">Controls!B35</f>
        <v>0</v>
      </c>
      <c r="M281" s="33" t="n">
        <f aca="false">Controls!B36</f>
        <v>0</v>
      </c>
      <c r="N281" s="32" t="str">
        <f aca="false">IF(M281&gt;0,"PAID","HELD")</f>
        <v>HELD</v>
      </c>
    </row>
    <row r="282" customFormat="false" ht="15" hidden="false" customHeight="false" outlineLevel="0" collapsed="false">
      <c r="A282" s="19" t="str">
        <f aca="false">"PAY-"&amp;B282&amp;"-TRANSFER"</f>
        <v>PAY-MTH-HU-CHA-L2-TRANSFER</v>
      </c>
      <c r="B282" s="19" t="str">
        <f aca="false">'Object Crosswalk'!A75</f>
        <v>MTH-HU-CHA-L2</v>
      </c>
      <c r="C282" s="19" t="str">
        <f aca="false">'Object Crosswalk'!B75</f>
        <v>Method lineage</v>
      </c>
      <c r="D282" s="19" t="str">
        <f aca="false">'Object Crosswalk'!C75</f>
        <v>Public</v>
      </c>
      <c r="E282" s="19" t="str">
        <f aca="false">'Object Crosswalk'!D75</f>
        <v>MS-HU</v>
      </c>
      <c r="F282" s="19" t="str">
        <f aca="false">'Object Crosswalk'!E75</f>
        <v>HU-A</v>
      </c>
      <c r="G282" s="9" t="s">
        <v>1210</v>
      </c>
      <c r="H282" s="41" t="n">
        <v>0.25</v>
      </c>
      <c r="I282" s="50" t="n">
        <f aca="false">'Object Crosswalk'!I75</f>
        <v>0.09</v>
      </c>
      <c r="J282" s="50" t="n">
        <f aca="false">H282*I282</f>
        <v>0.0225</v>
      </c>
      <c r="K282" s="32" t="n">
        <f aca="false">0</f>
        <v>0</v>
      </c>
      <c r="L282" s="33" t="n">
        <f aca="false">Controls!B35</f>
        <v>0</v>
      </c>
      <c r="M282" s="33" t="n">
        <f aca="false">Controls!B36</f>
        <v>0</v>
      </c>
      <c r="N282" s="32" t="str">
        <f aca="false">IF(M282&gt;0,"PAID","HELD")</f>
        <v>HELD</v>
      </c>
    </row>
    <row r="283" customFormat="false" ht="15" hidden="false" customHeight="false" outlineLevel="0" collapsed="false">
      <c r="A283" s="19" t="str">
        <f aca="false">"PAY-"&amp;B283&amp;"-FRAME"</f>
        <v>PAY-REG-HU-CHA-FRAME</v>
      </c>
      <c r="B283" s="19" t="str">
        <f aca="false">'Object Crosswalk'!A76</f>
        <v>REG-HU-CHA</v>
      </c>
      <c r="C283" s="19" t="str">
        <f aca="false">'Object Crosswalk'!B76</f>
        <v>Regeneration tool</v>
      </c>
      <c r="D283" s="19" t="str">
        <f aca="false">'Object Crosswalk'!C76</f>
        <v>Public</v>
      </c>
      <c r="E283" s="19" t="str">
        <f aca="false">'Object Crosswalk'!D76</f>
        <v>MS-HU</v>
      </c>
      <c r="F283" s="19" t="str">
        <f aca="false">'Object Crosswalk'!E76</f>
        <v>HU-A</v>
      </c>
      <c r="G283" s="9" t="s">
        <v>543</v>
      </c>
      <c r="H283" s="41" t="n">
        <v>0.25</v>
      </c>
      <c r="I283" s="50" t="n">
        <f aca="false">'Object Crosswalk'!I76</f>
        <v>0.0666666666666667</v>
      </c>
      <c r="J283" s="50" t="n">
        <f aca="false">H283*I283</f>
        <v>0.0166666666666667</v>
      </c>
      <c r="K283" s="32" t="n">
        <f aca="false">0</f>
        <v>0</v>
      </c>
      <c r="L283" s="33" t="n">
        <f aca="false">Controls!B35</f>
        <v>0</v>
      </c>
      <c r="M283" s="33" t="n">
        <f aca="false">Controls!B36</f>
        <v>0</v>
      </c>
      <c r="N283" s="32" t="str">
        <f aca="false">IF(M283&gt;0,"PAID","HELD")</f>
        <v>HELD</v>
      </c>
    </row>
    <row r="284" customFormat="false" ht="15" hidden="false" customHeight="false" outlineLevel="0" collapsed="false">
      <c r="A284" s="19" t="str">
        <f aca="false">"PAY-"&amp;B284&amp;"-MAKE"</f>
        <v>PAY-REG-HU-CHA-MAKE</v>
      </c>
      <c r="B284" s="19" t="str">
        <f aca="false">'Object Crosswalk'!A76</f>
        <v>REG-HU-CHA</v>
      </c>
      <c r="C284" s="19" t="str">
        <f aca="false">'Object Crosswalk'!B76</f>
        <v>Regeneration tool</v>
      </c>
      <c r="D284" s="19" t="str">
        <f aca="false">'Object Crosswalk'!C76</f>
        <v>Public</v>
      </c>
      <c r="E284" s="19" t="str">
        <f aca="false">'Object Crosswalk'!D76</f>
        <v>MS-HU</v>
      </c>
      <c r="F284" s="19" t="str">
        <f aca="false">'Object Crosswalk'!E76</f>
        <v>HU-A</v>
      </c>
      <c r="G284" s="9" t="s">
        <v>546</v>
      </c>
      <c r="H284" s="41" t="n">
        <v>0.5</v>
      </c>
      <c r="I284" s="50" t="n">
        <f aca="false">'Object Crosswalk'!I76</f>
        <v>0.0666666666666667</v>
      </c>
      <c r="J284" s="50" t="n">
        <f aca="false">H284*I284</f>
        <v>0.0333333333333333</v>
      </c>
      <c r="K284" s="32" t="n">
        <f aca="false">0</f>
        <v>0</v>
      </c>
      <c r="L284" s="33" t="n">
        <f aca="false">Controls!B35</f>
        <v>0</v>
      </c>
      <c r="M284" s="33" t="n">
        <f aca="false">Controls!B36</f>
        <v>0</v>
      </c>
      <c r="N284" s="32" t="str">
        <f aca="false">IF(M284&gt;0,"PAID","HELD")</f>
        <v>HELD</v>
      </c>
    </row>
    <row r="285" customFormat="false" ht="15" hidden="false" customHeight="false" outlineLevel="0" collapsed="false">
      <c r="A285" s="19" t="str">
        <f aca="false">"PAY-"&amp;B285&amp;"-BREAK"</f>
        <v>PAY-REG-HU-CHA-BREAK</v>
      </c>
      <c r="B285" s="19" t="str">
        <f aca="false">'Object Crosswalk'!A76</f>
        <v>REG-HU-CHA</v>
      </c>
      <c r="C285" s="19" t="str">
        <f aca="false">'Object Crosswalk'!B76</f>
        <v>Regeneration tool</v>
      </c>
      <c r="D285" s="19" t="str">
        <f aca="false">'Object Crosswalk'!C76</f>
        <v>Public</v>
      </c>
      <c r="E285" s="19" t="str">
        <f aca="false">'Object Crosswalk'!D76</f>
        <v>MS-HU</v>
      </c>
      <c r="F285" s="19" t="str">
        <f aca="false">'Object Crosswalk'!E76</f>
        <v>HU-A</v>
      </c>
      <c r="G285" s="9" t="s">
        <v>1209</v>
      </c>
      <c r="H285" s="41" t="n">
        <v>0</v>
      </c>
      <c r="I285" s="50" t="n">
        <f aca="false">'Object Crosswalk'!I76</f>
        <v>0.0666666666666667</v>
      </c>
      <c r="J285" s="50" t="n">
        <f aca="false">H285*I285</f>
        <v>0</v>
      </c>
      <c r="K285" s="32" t="n">
        <f aca="false">0</f>
        <v>0</v>
      </c>
      <c r="L285" s="33" t="n">
        <f aca="false">Controls!B35</f>
        <v>0</v>
      </c>
      <c r="M285" s="33" t="n">
        <f aca="false">Controls!B36</f>
        <v>0</v>
      </c>
      <c r="N285" s="32" t="str">
        <f aca="false">IF(M285&gt;0,"PAID","HELD")</f>
        <v>HELD</v>
      </c>
    </row>
    <row r="286" customFormat="false" ht="15" hidden="false" customHeight="false" outlineLevel="0" collapsed="false">
      <c r="A286" s="19" t="str">
        <f aca="false">"PAY-"&amp;B286&amp;"-TRANSFER"</f>
        <v>PAY-REG-HU-CHA-TRANSFER</v>
      </c>
      <c r="B286" s="19" t="str">
        <f aca="false">'Object Crosswalk'!A76</f>
        <v>REG-HU-CHA</v>
      </c>
      <c r="C286" s="19" t="str">
        <f aca="false">'Object Crosswalk'!B76</f>
        <v>Regeneration tool</v>
      </c>
      <c r="D286" s="19" t="str">
        <f aca="false">'Object Crosswalk'!C76</f>
        <v>Public</v>
      </c>
      <c r="E286" s="19" t="str">
        <f aca="false">'Object Crosswalk'!D76</f>
        <v>MS-HU</v>
      </c>
      <c r="F286" s="19" t="str">
        <f aca="false">'Object Crosswalk'!E76</f>
        <v>HU-A</v>
      </c>
      <c r="G286" s="9" t="s">
        <v>1210</v>
      </c>
      <c r="H286" s="41" t="n">
        <v>0.25</v>
      </c>
      <c r="I286" s="50" t="n">
        <f aca="false">'Object Crosswalk'!I76</f>
        <v>0.0666666666666667</v>
      </c>
      <c r="J286" s="50" t="n">
        <f aca="false">H286*I286</f>
        <v>0.0166666666666667</v>
      </c>
      <c r="K286" s="32" t="n">
        <f aca="false">0</f>
        <v>0</v>
      </c>
      <c r="L286" s="33" t="n">
        <f aca="false">Controls!B35</f>
        <v>0</v>
      </c>
      <c r="M286" s="33" t="n">
        <f aca="false">Controls!B36</f>
        <v>0</v>
      </c>
      <c r="N286" s="32" t="str">
        <f aca="false">IF(M286&gt;0,"PAID","HELD")</f>
        <v>HELD</v>
      </c>
    </row>
    <row r="287" customFormat="false" ht="15" hidden="false" customHeight="false" outlineLevel="0" collapsed="false">
      <c r="A287" s="19" t="str">
        <f aca="false">"PAY-"&amp;B287&amp;"-FRAME"</f>
        <v>PAY-INT-HU-CHA-FRAME</v>
      </c>
      <c r="B287" s="19" t="str">
        <f aca="false">'Object Crosswalk'!A77</f>
        <v>INT-HU-CHA</v>
      </c>
      <c r="C287" s="19" t="str">
        <f aca="false">'Object Crosswalk'!B77</f>
        <v>Station integration</v>
      </c>
      <c r="D287" s="19" t="str">
        <f aca="false">'Object Crosswalk'!C77</f>
        <v>Public</v>
      </c>
      <c r="E287" s="19" t="str">
        <f aca="false">'Object Crosswalk'!D77</f>
        <v>MS-HU</v>
      </c>
      <c r="F287" s="19" t="str">
        <f aca="false">'Object Crosswalk'!E77</f>
        <v>HU-A</v>
      </c>
      <c r="G287" s="9" t="s">
        <v>543</v>
      </c>
      <c r="H287" s="41" t="n">
        <v>0.25</v>
      </c>
      <c r="I287" s="50" t="n">
        <f aca="false">'Object Crosswalk'!I77</f>
        <v>0.0633333333333333</v>
      </c>
      <c r="J287" s="50" t="n">
        <f aca="false">H287*I287</f>
        <v>0.0158333333333333</v>
      </c>
      <c r="K287" s="32" t="n">
        <f aca="false">0</f>
        <v>0</v>
      </c>
      <c r="L287" s="33" t="n">
        <f aca="false">Controls!B35</f>
        <v>0</v>
      </c>
      <c r="M287" s="33" t="n">
        <f aca="false">Controls!B36</f>
        <v>0</v>
      </c>
      <c r="N287" s="32" t="str">
        <f aca="false">IF(M287&gt;0,"PAID","HELD")</f>
        <v>HELD</v>
      </c>
    </row>
    <row r="288" customFormat="false" ht="15" hidden="false" customHeight="false" outlineLevel="0" collapsed="false">
      <c r="A288" s="19" t="str">
        <f aca="false">"PAY-"&amp;B288&amp;"-MAKE"</f>
        <v>PAY-INT-HU-CHA-MAKE</v>
      </c>
      <c r="B288" s="19" t="str">
        <f aca="false">'Object Crosswalk'!A77</f>
        <v>INT-HU-CHA</v>
      </c>
      <c r="C288" s="19" t="str">
        <f aca="false">'Object Crosswalk'!B77</f>
        <v>Station integration</v>
      </c>
      <c r="D288" s="19" t="str">
        <f aca="false">'Object Crosswalk'!C77</f>
        <v>Public</v>
      </c>
      <c r="E288" s="19" t="str">
        <f aca="false">'Object Crosswalk'!D77</f>
        <v>MS-HU</v>
      </c>
      <c r="F288" s="19" t="str">
        <f aca="false">'Object Crosswalk'!E77</f>
        <v>HU-A</v>
      </c>
      <c r="G288" s="9" t="s">
        <v>546</v>
      </c>
      <c r="H288" s="41" t="n">
        <v>0.5</v>
      </c>
      <c r="I288" s="50" t="n">
        <f aca="false">'Object Crosswalk'!I77</f>
        <v>0.0633333333333333</v>
      </c>
      <c r="J288" s="50" t="n">
        <f aca="false">H288*I288</f>
        <v>0.0316666666666667</v>
      </c>
      <c r="K288" s="32" t="n">
        <f aca="false">0</f>
        <v>0</v>
      </c>
      <c r="L288" s="33" t="n">
        <f aca="false">Controls!B35</f>
        <v>0</v>
      </c>
      <c r="M288" s="33" t="n">
        <f aca="false">Controls!B36</f>
        <v>0</v>
      </c>
      <c r="N288" s="32" t="str">
        <f aca="false">IF(M288&gt;0,"PAID","HELD")</f>
        <v>HELD</v>
      </c>
    </row>
    <row r="289" customFormat="false" ht="15" hidden="false" customHeight="false" outlineLevel="0" collapsed="false">
      <c r="A289" s="19" t="str">
        <f aca="false">"PAY-"&amp;B289&amp;"-BREAK"</f>
        <v>PAY-INT-HU-CHA-BREAK</v>
      </c>
      <c r="B289" s="19" t="str">
        <f aca="false">'Object Crosswalk'!A77</f>
        <v>INT-HU-CHA</v>
      </c>
      <c r="C289" s="19" t="str">
        <f aca="false">'Object Crosswalk'!B77</f>
        <v>Station integration</v>
      </c>
      <c r="D289" s="19" t="str">
        <f aca="false">'Object Crosswalk'!C77</f>
        <v>Public</v>
      </c>
      <c r="E289" s="19" t="str">
        <f aca="false">'Object Crosswalk'!D77</f>
        <v>MS-HU</v>
      </c>
      <c r="F289" s="19" t="str">
        <f aca="false">'Object Crosswalk'!E77</f>
        <v>HU-A</v>
      </c>
      <c r="G289" s="9" t="s">
        <v>1209</v>
      </c>
      <c r="H289" s="41" t="n">
        <v>0</v>
      </c>
      <c r="I289" s="50" t="n">
        <f aca="false">'Object Crosswalk'!I77</f>
        <v>0.0633333333333333</v>
      </c>
      <c r="J289" s="50" t="n">
        <f aca="false">H289*I289</f>
        <v>0</v>
      </c>
      <c r="K289" s="32" t="n">
        <f aca="false">0</f>
        <v>0</v>
      </c>
      <c r="L289" s="33" t="n">
        <f aca="false">Controls!B35</f>
        <v>0</v>
      </c>
      <c r="M289" s="33" t="n">
        <f aca="false">Controls!B36</f>
        <v>0</v>
      </c>
      <c r="N289" s="32" t="str">
        <f aca="false">IF(M289&gt;0,"PAID","HELD")</f>
        <v>HELD</v>
      </c>
    </row>
    <row r="290" customFormat="false" ht="15" hidden="false" customHeight="false" outlineLevel="0" collapsed="false">
      <c r="A290" s="19" t="str">
        <f aca="false">"PAY-"&amp;B290&amp;"-TRANSFER"</f>
        <v>PAY-INT-HU-CHA-TRANSFER</v>
      </c>
      <c r="B290" s="19" t="str">
        <f aca="false">'Object Crosswalk'!A77</f>
        <v>INT-HU-CHA</v>
      </c>
      <c r="C290" s="19" t="str">
        <f aca="false">'Object Crosswalk'!B77</f>
        <v>Station integration</v>
      </c>
      <c r="D290" s="19" t="str">
        <f aca="false">'Object Crosswalk'!C77</f>
        <v>Public</v>
      </c>
      <c r="E290" s="19" t="str">
        <f aca="false">'Object Crosswalk'!D77</f>
        <v>MS-HU</v>
      </c>
      <c r="F290" s="19" t="str">
        <f aca="false">'Object Crosswalk'!E77</f>
        <v>HU-A</v>
      </c>
      <c r="G290" s="9" t="s">
        <v>1210</v>
      </c>
      <c r="H290" s="41" t="n">
        <v>0.25</v>
      </c>
      <c r="I290" s="50" t="n">
        <f aca="false">'Object Crosswalk'!I77</f>
        <v>0.0633333333333333</v>
      </c>
      <c r="J290" s="50" t="n">
        <f aca="false">H290*I290</f>
        <v>0.0158333333333333</v>
      </c>
      <c r="K290" s="32" t="n">
        <f aca="false">0</f>
        <v>0</v>
      </c>
      <c r="L290" s="33" t="n">
        <f aca="false">Controls!B35</f>
        <v>0</v>
      </c>
      <c r="M290" s="33" t="n">
        <f aca="false">Controls!B36</f>
        <v>0</v>
      </c>
      <c r="N290" s="32" t="str">
        <f aca="false">IF(M290&gt;0,"PAID","HELD")</f>
        <v>HELD</v>
      </c>
    </row>
    <row r="291" customFormat="false" ht="15" hidden="false" customHeight="false" outlineLevel="0" collapsed="false">
      <c r="A291" s="19" t="str">
        <f aca="false">"PAY-"&amp;B291&amp;"-FRAME"</f>
        <v>PAY-RIG-HU-CON-FRAME</v>
      </c>
      <c r="B291" s="19" t="str">
        <f aca="false">'Object Crosswalk'!A78</f>
        <v>RIG-HU-CON</v>
      </c>
      <c r="C291" s="19" t="str">
        <f aca="false">'Object Crosswalk'!B78</f>
        <v>Root-native rig</v>
      </c>
      <c r="D291" s="19" t="str">
        <f aca="false">'Object Crosswalk'!C78</f>
        <v>Public</v>
      </c>
      <c r="E291" s="19" t="str">
        <f aca="false">'Object Crosswalk'!D78</f>
        <v>MS-HU</v>
      </c>
      <c r="F291" s="19" t="str">
        <f aca="false">'Object Crosswalk'!E78</f>
        <v>HU-A</v>
      </c>
      <c r="G291" s="9" t="s">
        <v>543</v>
      </c>
      <c r="H291" s="41" t="n">
        <v>0.25</v>
      </c>
      <c r="I291" s="50" t="n">
        <f aca="false">'Object Crosswalk'!I78</f>
        <v>0.316666666666667</v>
      </c>
      <c r="J291" s="50" t="n">
        <f aca="false">H291*I291</f>
        <v>0.0791666666666667</v>
      </c>
      <c r="K291" s="32" t="n">
        <f aca="false">0</f>
        <v>0</v>
      </c>
      <c r="L291" s="33" t="n">
        <f aca="false">Controls!B35</f>
        <v>0</v>
      </c>
      <c r="M291" s="33" t="n">
        <f aca="false">Controls!B36</f>
        <v>0</v>
      </c>
      <c r="N291" s="32" t="str">
        <f aca="false">IF(M291&gt;0,"PAID","HELD")</f>
        <v>HELD</v>
      </c>
    </row>
    <row r="292" customFormat="false" ht="15" hidden="false" customHeight="false" outlineLevel="0" collapsed="false">
      <c r="A292" s="19" t="str">
        <f aca="false">"PAY-"&amp;B292&amp;"-MAKE"</f>
        <v>PAY-RIG-HU-CON-MAKE</v>
      </c>
      <c r="B292" s="19" t="str">
        <f aca="false">'Object Crosswalk'!A78</f>
        <v>RIG-HU-CON</v>
      </c>
      <c r="C292" s="19" t="str">
        <f aca="false">'Object Crosswalk'!B78</f>
        <v>Root-native rig</v>
      </c>
      <c r="D292" s="19" t="str">
        <f aca="false">'Object Crosswalk'!C78</f>
        <v>Public</v>
      </c>
      <c r="E292" s="19" t="str">
        <f aca="false">'Object Crosswalk'!D78</f>
        <v>MS-HU</v>
      </c>
      <c r="F292" s="19" t="str">
        <f aca="false">'Object Crosswalk'!E78</f>
        <v>HU-A</v>
      </c>
      <c r="G292" s="9" t="s">
        <v>546</v>
      </c>
      <c r="H292" s="41" t="n">
        <v>0.5</v>
      </c>
      <c r="I292" s="50" t="n">
        <f aca="false">'Object Crosswalk'!I78</f>
        <v>0.316666666666667</v>
      </c>
      <c r="J292" s="50" t="n">
        <f aca="false">H292*I292</f>
        <v>0.158333333333333</v>
      </c>
      <c r="K292" s="32" t="n">
        <f aca="false">0</f>
        <v>0</v>
      </c>
      <c r="L292" s="33" t="n">
        <f aca="false">Controls!B35</f>
        <v>0</v>
      </c>
      <c r="M292" s="33" t="n">
        <f aca="false">Controls!B36</f>
        <v>0</v>
      </c>
      <c r="N292" s="32" t="str">
        <f aca="false">IF(M292&gt;0,"PAID","HELD")</f>
        <v>HELD</v>
      </c>
    </row>
    <row r="293" customFormat="false" ht="15" hidden="false" customHeight="false" outlineLevel="0" collapsed="false">
      <c r="A293" s="19" t="str">
        <f aca="false">"PAY-"&amp;B293&amp;"-BREAK"</f>
        <v>PAY-RIG-HU-CON-BREAK</v>
      </c>
      <c r="B293" s="19" t="str">
        <f aca="false">'Object Crosswalk'!A78</f>
        <v>RIG-HU-CON</v>
      </c>
      <c r="C293" s="19" t="str">
        <f aca="false">'Object Crosswalk'!B78</f>
        <v>Root-native rig</v>
      </c>
      <c r="D293" s="19" t="str">
        <f aca="false">'Object Crosswalk'!C78</f>
        <v>Public</v>
      </c>
      <c r="E293" s="19" t="str">
        <f aca="false">'Object Crosswalk'!D78</f>
        <v>MS-HU</v>
      </c>
      <c r="F293" s="19" t="str">
        <f aca="false">'Object Crosswalk'!E78</f>
        <v>HU-A</v>
      </c>
      <c r="G293" s="9" t="s">
        <v>1209</v>
      </c>
      <c r="H293" s="41" t="n">
        <v>0</v>
      </c>
      <c r="I293" s="50" t="n">
        <f aca="false">'Object Crosswalk'!I78</f>
        <v>0.316666666666667</v>
      </c>
      <c r="J293" s="50" t="n">
        <f aca="false">H293*I293</f>
        <v>0</v>
      </c>
      <c r="K293" s="32" t="n">
        <f aca="false">0</f>
        <v>0</v>
      </c>
      <c r="L293" s="33" t="n">
        <f aca="false">Controls!B35</f>
        <v>0</v>
      </c>
      <c r="M293" s="33" t="n">
        <f aca="false">Controls!B36</f>
        <v>0</v>
      </c>
      <c r="N293" s="32" t="str">
        <f aca="false">IF(M293&gt;0,"PAID","HELD")</f>
        <v>HELD</v>
      </c>
    </row>
    <row r="294" customFormat="false" ht="15" hidden="false" customHeight="false" outlineLevel="0" collapsed="false">
      <c r="A294" s="19" t="str">
        <f aca="false">"PAY-"&amp;B294&amp;"-TRANSFER"</f>
        <v>PAY-RIG-HU-CON-TRANSFER</v>
      </c>
      <c r="B294" s="19" t="str">
        <f aca="false">'Object Crosswalk'!A78</f>
        <v>RIG-HU-CON</v>
      </c>
      <c r="C294" s="19" t="str">
        <f aca="false">'Object Crosswalk'!B78</f>
        <v>Root-native rig</v>
      </c>
      <c r="D294" s="19" t="str">
        <f aca="false">'Object Crosswalk'!C78</f>
        <v>Public</v>
      </c>
      <c r="E294" s="19" t="str">
        <f aca="false">'Object Crosswalk'!D78</f>
        <v>MS-HU</v>
      </c>
      <c r="F294" s="19" t="str">
        <f aca="false">'Object Crosswalk'!E78</f>
        <v>HU-A</v>
      </c>
      <c r="G294" s="9" t="s">
        <v>1210</v>
      </c>
      <c r="H294" s="41" t="n">
        <v>0.25</v>
      </c>
      <c r="I294" s="50" t="n">
        <f aca="false">'Object Crosswalk'!I78</f>
        <v>0.316666666666667</v>
      </c>
      <c r="J294" s="50" t="n">
        <f aca="false">H294*I294</f>
        <v>0.0791666666666667</v>
      </c>
      <c r="K294" s="32" t="n">
        <f aca="false">0</f>
        <v>0</v>
      </c>
      <c r="L294" s="33" t="n">
        <f aca="false">Controls!B35</f>
        <v>0</v>
      </c>
      <c r="M294" s="33" t="n">
        <f aca="false">Controls!B36</f>
        <v>0</v>
      </c>
      <c r="N294" s="32" t="str">
        <f aca="false">IF(M294&gt;0,"PAID","HELD")</f>
        <v>HELD</v>
      </c>
    </row>
    <row r="295" customFormat="false" ht="15" hidden="false" customHeight="false" outlineLevel="0" collapsed="false">
      <c r="A295" s="19" t="str">
        <f aca="false">"PAY-"&amp;B295&amp;"-FRAME"</f>
        <v>PAY-MTH-HU-CON-L1-FRAME</v>
      </c>
      <c r="B295" s="19" t="str">
        <f aca="false">'Object Crosswalk'!A79</f>
        <v>MTH-HU-CON-L1</v>
      </c>
      <c r="C295" s="19" t="str">
        <f aca="false">'Object Crosswalk'!B79</f>
        <v>Method lineage</v>
      </c>
      <c r="D295" s="19" t="str">
        <f aca="false">'Object Crosswalk'!C79</f>
        <v>Public</v>
      </c>
      <c r="E295" s="19" t="str">
        <f aca="false">'Object Crosswalk'!D79</f>
        <v>MS-HU</v>
      </c>
      <c r="F295" s="19" t="str">
        <f aca="false">'Object Crosswalk'!E79</f>
        <v>HU-A</v>
      </c>
      <c r="G295" s="9" t="s">
        <v>543</v>
      </c>
      <c r="H295" s="41" t="n">
        <v>0.25</v>
      </c>
      <c r="I295" s="50" t="n">
        <f aca="false">'Object Crosswalk'!I79</f>
        <v>0.09</v>
      </c>
      <c r="J295" s="50" t="n">
        <f aca="false">H295*I295</f>
        <v>0.0225</v>
      </c>
      <c r="K295" s="32" t="n">
        <f aca="false">0</f>
        <v>0</v>
      </c>
      <c r="L295" s="33" t="n">
        <f aca="false">Controls!B35</f>
        <v>0</v>
      </c>
      <c r="M295" s="33" t="n">
        <f aca="false">Controls!B36</f>
        <v>0</v>
      </c>
      <c r="N295" s="32" t="str">
        <f aca="false">IF(M295&gt;0,"PAID","HELD")</f>
        <v>HELD</v>
      </c>
    </row>
    <row r="296" customFormat="false" ht="15" hidden="false" customHeight="false" outlineLevel="0" collapsed="false">
      <c r="A296" s="19" t="str">
        <f aca="false">"PAY-"&amp;B296&amp;"-MAKE"</f>
        <v>PAY-MTH-HU-CON-L1-MAKE</v>
      </c>
      <c r="B296" s="19" t="str">
        <f aca="false">'Object Crosswalk'!A79</f>
        <v>MTH-HU-CON-L1</v>
      </c>
      <c r="C296" s="19" t="str">
        <f aca="false">'Object Crosswalk'!B79</f>
        <v>Method lineage</v>
      </c>
      <c r="D296" s="19" t="str">
        <f aca="false">'Object Crosswalk'!C79</f>
        <v>Public</v>
      </c>
      <c r="E296" s="19" t="str">
        <f aca="false">'Object Crosswalk'!D79</f>
        <v>MS-HU</v>
      </c>
      <c r="F296" s="19" t="str">
        <f aca="false">'Object Crosswalk'!E79</f>
        <v>HU-A</v>
      </c>
      <c r="G296" s="9" t="s">
        <v>546</v>
      </c>
      <c r="H296" s="41" t="n">
        <v>0.5</v>
      </c>
      <c r="I296" s="50" t="n">
        <f aca="false">'Object Crosswalk'!I79</f>
        <v>0.09</v>
      </c>
      <c r="J296" s="50" t="n">
        <f aca="false">H296*I296</f>
        <v>0.045</v>
      </c>
      <c r="K296" s="32" t="n">
        <f aca="false">0</f>
        <v>0</v>
      </c>
      <c r="L296" s="33" t="n">
        <f aca="false">Controls!B35</f>
        <v>0</v>
      </c>
      <c r="M296" s="33" t="n">
        <f aca="false">Controls!B36</f>
        <v>0</v>
      </c>
      <c r="N296" s="32" t="str">
        <f aca="false">IF(M296&gt;0,"PAID","HELD")</f>
        <v>HELD</v>
      </c>
    </row>
    <row r="297" customFormat="false" ht="15" hidden="false" customHeight="false" outlineLevel="0" collapsed="false">
      <c r="A297" s="19" t="str">
        <f aca="false">"PAY-"&amp;B297&amp;"-BREAK"</f>
        <v>PAY-MTH-HU-CON-L1-BREAK</v>
      </c>
      <c r="B297" s="19" t="str">
        <f aca="false">'Object Crosswalk'!A79</f>
        <v>MTH-HU-CON-L1</v>
      </c>
      <c r="C297" s="19" t="str">
        <f aca="false">'Object Crosswalk'!B79</f>
        <v>Method lineage</v>
      </c>
      <c r="D297" s="19" t="str">
        <f aca="false">'Object Crosswalk'!C79</f>
        <v>Public</v>
      </c>
      <c r="E297" s="19" t="str">
        <f aca="false">'Object Crosswalk'!D79</f>
        <v>MS-HU</v>
      </c>
      <c r="F297" s="19" t="str">
        <f aca="false">'Object Crosswalk'!E79</f>
        <v>HU-A</v>
      </c>
      <c r="G297" s="9" t="s">
        <v>1209</v>
      </c>
      <c r="H297" s="41" t="n">
        <v>0</v>
      </c>
      <c r="I297" s="50" t="n">
        <f aca="false">'Object Crosswalk'!I79</f>
        <v>0.09</v>
      </c>
      <c r="J297" s="50" t="n">
        <f aca="false">H297*I297</f>
        <v>0</v>
      </c>
      <c r="K297" s="32" t="n">
        <f aca="false">0</f>
        <v>0</v>
      </c>
      <c r="L297" s="33" t="n">
        <f aca="false">Controls!B35</f>
        <v>0</v>
      </c>
      <c r="M297" s="33" t="n">
        <f aca="false">Controls!B36</f>
        <v>0</v>
      </c>
      <c r="N297" s="32" t="str">
        <f aca="false">IF(M297&gt;0,"PAID","HELD")</f>
        <v>HELD</v>
      </c>
    </row>
    <row r="298" customFormat="false" ht="15" hidden="false" customHeight="false" outlineLevel="0" collapsed="false">
      <c r="A298" s="19" t="str">
        <f aca="false">"PAY-"&amp;B298&amp;"-TRANSFER"</f>
        <v>PAY-MTH-HU-CON-L1-TRANSFER</v>
      </c>
      <c r="B298" s="19" t="str">
        <f aca="false">'Object Crosswalk'!A79</f>
        <v>MTH-HU-CON-L1</v>
      </c>
      <c r="C298" s="19" t="str">
        <f aca="false">'Object Crosswalk'!B79</f>
        <v>Method lineage</v>
      </c>
      <c r="D298" s="19" t="str">
        <f aca="false">'Object Crosswalk'!C79</f>
        <v>Public</v>
      </c>
      <c r="E298" s="19" t="str">
        <f aca="false">'Object Crosswalk'!D79</f>
        <v>MS-HU</v>
      </c>
      <c r="F298" s="19" t="str">
        <f aca="false">'Object Crosswalk'!E79</f>
        <v>HU-A</v>
      </c>
      <c r="G298" s="9" t="s">
        <v>1210</v>
      </c>
      <c r="H298" s="41" t="n">
        <v>0.25</v>
      </c>
      <c r="I298" s="50" t="n">
        <f aca="false">'Object Crosswalk'!I79</f>
        <v>0.09</v>
      </c>
      <c r="J298" s="50" t="n">
        <f aca="false">H298*I298</f>
        <v>0.0225</v>
      </c>
      <c r="K298" s="32" t="n">
        <f aca="false">0</f>
        <v>0</v>
      </c>
      <c r="L298" s="33" t="n">
        <f aca="false">Controls!B35</f>
        <v>0</v>
      </c>
      <c r="M298" s="33" t="n">
        <f aca="false">Controls!B36</f>
        <v>0</v>
      </c>
      <c r="N298" s="32" t="str">
        <f aca="false">IF(M298&gt;0,"PAID","HELD")</f>
        <v>HELD</v>
      </c>
    </row>
    <row r="299" customFormat="false" ht="15" hidden="false" customHeight="false" outlineLevel="0" collapsed="false">
      <c r="A299" s="19" t="str">
        <f aca="false">"PAY-"&amp;B299&amp;"-FRAME"</f>
        <v>PAY-MTH-HU-CON-L2-FRAME</v>
      </c>
      <c r="B299" s="19" t="str">
        <f aca="false">'Object Crosswalk'!A80</f>
        <v>MTH-HU-CON-L2</v>
      </c>
      <c r="C299" s="19" t="str">
        <f aca="false">'Object Crosswalk'!B80</f>
        <v>Method lineage</v>
      </c>
      <c r="D299" s="19" t="str">
        <f aca="false">'Object Crosswalk'!C80</f>
        <v>Public</v>
      </c>
      <c r="E299" s="19" t="str">
        <f aca="false">'Object Crosswalk'!D80</f>
        <v>MS-HU</v>
      </c>
      <c r="F299" s="19" t="str">
        <f aca="false">'Object Crosswalk'!E80</f>
        <v>HU-A</v>
      </c>
      <c r="G299" s="9" t="s">
        <v>543</v>
      </c>
      <c r="H299" s="41" t="n">
        <v>0.25</v>
      </c>
      <c r="I299" s="50" t="n">
        <f aca="false">'Object Crosswalk'!I80</f>
        <v>0.09</v>
      </c>
      <c r="J299" s="50" t="n">
        <f aca="false">H299*I299</f>
        <v>0.0225</v>
      </c>
      <c r="K299" s="32" t="n">
        <f aca="false">0</f>
        <v>0</v>
      </c>
      <c r="L299" s="33" t="n">
        <f aca="false">Controls!B35</f>
        <v>0</v>
      </c>
      <c r="M299" s="33" t="n">
        <f aca="false">Controls!B36</f>
        <v>0</v>
      </c>
      <c r="N299" s="32" t="str">
        <f aca="false">IF(M299&gt;0,"PAID","HELD")</f>
        <v>HELD</v>
      </c>
    </row>
    <row r="300" customFormat="false" ht="15" hidden="false" customHeight="false" outlineLevel="0" collapsed="false">
      <c r="A300" s="19" t="str">
        <f aca="false">"PAY-"&amp;B300&amp;"-MAKE"</f>
        <v>PAY-MTH-HU-CON-L2-MAKE</v>
      </c>
      <c r="B300" s="19" t="str">
        <f aca="false">'Object Crosswalk'!A80</f>
        <v>MTH-HU-CON-L2</v>
      </c>
      <c r="C300" s="19" t="str">
        <f aca="false">'Object Crosswalk'!B80</f>
        <v>Method lineage</v>
      </c>
      <c r="D300" s="19" t="str">
        <f aca="false">'Object Crosswalk'!C80</f>
        <v>Public</v>
      </c>
      <c r="E300" s="19" t="str">
        <f aca="false">'Object Crosswalk'!D80</f>
        <v>MS-HU</v>
      </c>
      <c r="F300" s="19" t="str">
        <f aca="false">'Object Crosswalk'!E80</f>
        <v>HU-A</v>
      </c>
      <c r="G300" s="9" t="s">
        <v>546</v>
      </c>
      <c r="H300" s="41" t="n">
        <v>0.5</v>
      </c>
      <c r="I300" s="50" t="n">
        <f aca="false">'Object Crosswalk'!I80</f>
        <v>0.09</v>
      </c>
      <c r="J300" s="50" t="n">
        <f aca="false">H300*I300</f>
        <v>0.045</v>
      </c>
      <c r="K300" s="32" t="n">
        <f aca="false">0</f>
        <v>0</v>
      </c>
      <c r="L300" s="33" t="n">
        <f aca="false">Controls!B35</f>
        <v>0</v>
      </c>
      <c r="M300" s="33" t="n">
        <f aca="false">Controls!B36</f>
        <v>0</v>
      </c>
      <c r="N300" s="32" t="str">
        <f aca="false">IF(M300&gt;0,"PAID","HELD")</f>
        <v>HELD</v>
      </c>
    </row>
    <row r="301" customFormat="false" ht="15" hidden="false" customHeight="false" outlineLevel="0" collapsed="false">
      <c r="A301" s="19" t="str">
        <f aca="false">"PAY-"&amp;B301&amp;"-BREAK"</f>
        <v>PAY-MTH-HU-CON-L2-BREAK</v>
      </c>
      <c r="B301" s="19" t="str">
        <f aca="false">'Object Crosswalk'!A80</f>
        <v>MTH-HU-CON-L2</v>
      </c>
      <c r="C301" s="19" t="str">
        <f aca="false">'Object Crosswalk'!B80</f>
        <v>Method lineage</v>
      </c>
      <c r="D301" s="19" t="str">
        <f aca="false">'Object Crosswalk'!C80</f>
        <v>Public</v>
      </c>
      <c r="E301" s="19" t="str">
        <f aca="false">'Object Crosswalk'!D80</f>
        <v>MS-HU</v>
      </c>
      <c r="F301" s="19" t="str">
        <f aca="false">'Object Crosswalk'!E80</f>
        <v>HU-A</v>
      </c>
      <c r="G301" s="9" t="s">
        <v>1209</v>
      </c>
      <c r="H301" s="41" t="n">
        <v>0</v>
      </c>
      <c r="I301" s="50" t="n">
        <f aca="false">'Object Crosswalk'!I80</f>
        <v>0.09</v>
      </c>
      <c r="J301" s="50" t="n">
        <f aca="false">H301*I301</f>
        <v>0</v>
      </c>
      <c r="K301" s="32" t="n">
        <f aca="false">0</f>
        <v>0</v>
      </c>
      <c r="L301" s="33" t="n">
        <f aca="false">Controls!B35</f>
        <v>0</v>
      </c>
      <c r="M301" s="33" t="n">
        <f aca="false">Controls!B36</f>
        <v>0</v>
      </c>
      <c r="N301" s="32" t="str">
        <f aca="false">IF(M301&gt;0,"PAID","HELD")</f>
        <v>HELD</v>
      </c>
    </row>
    <row r="302" customFormat="false" ht="15" hidden="false" customHeight="false" outlineLevel="0" collapsed="false">
      <c r="A302" s="19" t="str">
        <f aca="false">"PAY-"&amp;B302&amp;"-TRANSFER"</f>
        <v>PAY-MTH-HU-CON-L2-TRANSFER</v>
      </c>
      <c r="B302" s="19" t="str">
        <f aca="false">'Object Crosswalk'!A80</f>
        <v>MTH-HU-CON-L2</v>
      </c>
      <c r="C302" s="19" t="str">
        <f aca="false">'Object Crosswalk'!B80</f>
        <v>Method lineage</v>
      </c>
      <c r="D302" s="19" t="str">
        <f aca="false">'Object Crosswalk'!C80</f>
        <v>Public</v>
      </c>
      <c r="E302" s="19" t="str">
        <f aca="false">'Object Crosswalk'!D80</f>
        <v>MS-HU</v>
      </c>
      <c r="F302" s="19" t="str">
        <f aca="false">'Object Crosswalk'!E80</f>
        <v>HU-A</v>
      </c>
      <c r="G302" s="9" t="s">
        <v>1210</v>
      </c>
      <c r="H302" s="41" t="n">
        <v>0.25</v>
      </c>
      <c r="I302" s="50" t="n">
        <f aca="false">'Object Crosswalk'!I80</f>
        <v>0.09</v>
      </c>
      <c r="J302" s="50" t="n">
        <f aca="false">H302*I302</f>
        <v>0.0225</v>
      </c>
      <c r="K302" s="32" t="n">
        <f aca="false">0</f>
        <v>0</v>
      </c>
      <c r="L302" s="33" t="n">
        <f aca="false">Controls!B35</f>
        <v>0</v>
      </c>
      <c r="M302" s="33" t="n">
        <f aca="false">Controls!B36</f>
        <v>0</v>
      </c>
      <c r="N302" s="32" t="str">
        <f aca="false">IF(M302&gt;0,"PAID","HELD")</f>
        <v>HELD</v>
      </c>
    </row>
    <row r="303" customFormat="false" ht="15" hidden="false" customHeight="false" outlineLevel="0" collapsed="false">
      <c r="A303" s="19" t="str">
        <f aca="false">"PAY-"&amp;B303&amp;"-FRAME"</f>
        <v>PAY-REG-HU-CON-FRAME</v>
      </c>
      <c r="B303" s="19" t="str">
        <f aca="false">'Object Crosswalk'!A81</f>
        <v>REG-HU-CON</v>
      </c>
      <c r="C303" s="19" t="str">
        <f aca="false">'Object Crosswalk'!B81</f>
        <v>Regeneration tool</v>
      </c>
      <c r="D303" s="19" t="str">
        <f aca="false">'Object Crosswalk'!C81</f>
        <v>Public</v>
      </c>
      <c r="E303" s="19" t="str">
        <f aca="false">'Object Crosswalk'!D81</f>
        <v>MS-HU</v>
      </c>
      <c r="F303" s="19" t="str">
        <f aca="false">'Object Crosswalk'!E81</f>
        <v>HU-A</v>
      </c>
      <c r="G303" s="9" t="s">
        <v>543</v>
      </c>
      <c r="H303" s="41" t="n">
        <v>0.25</v>
      </c>
      <c r="I303" s="50" t="n">
        <f aca="false">'Object Crosswalk'!I81</f>
        <v>0.0666666666666667</v>
      </c>
      <c r="J303" s="50" t="n">
        <f aca="false">H303*I303</f>
        <v>0.0166666666666667</v>
      </c>
      <c r="K303" s="32" t="n">
        <f aca="false">0</f>
        <v>0</v>
      </c>
      <c r="L303" s="33" t="n">
        <f aca="false">Controls!B35</f>
        <v>0</v>
      </c>
      <c r="M303" s="33" t="n">
        <f aca="false">Controls!B36</f>
        <v>0</v>
      </c>
      <c r="N303" s="32" t="str">
        <f aca="false">IF(M303&gt;0,"PAID","HELD")</f>
        <v>HELD</v>
      </c>
    </row>
    <row r="304" customFormat="false" ht="15" hidden="false" customHeight="false" outlineLevel="0" collapsed="false">
      <c r="A304" s="19" t="str">
        <f aca="false">"PAY-"&amp;B304&amp;"-MAKE"</f>
        <v>PAY-REG-HU-CON-MAKE</v>
      </c>
      <c r="B304" s="19" t="str">
        <f aca="false">'Object Crosswalk'!A81</f>
        <v>REG-HU-CON</v>
      </c>
      <c r="C304" s="19" t="str">
        <f aca="false">'Object Crosswalk'!B81</f>
        <v>Regeneration tool</v>
      </c>
      <c r="D304" s="19" t="str">
        <f aca="false">'Object Crosswalk'!C81</f>
        <v>Public</v>
      </c>
      <c r="E304" s="19" t="str">
        <f aca="false">'Object Crosswalk'!D81</f>
        <v>MS-HU</v>
      </c>
      <c r="F304" s="19" t="str">
        <f aca="false">'Object Crosswalk'!E81</f>
        <v>HU-A</v>
      </c>
      <c r="G304" s="9" t="s">
        <v>546</v>
      </c>
      <c r="H304" s="41" t="n">
        <v>0.5</v>
      </c>
      <c r="I304" s="50" t="n">
        <f aca="false">'Object Crosswalk'!I81</f>
        <v>0.0666666666666667</v>
      </c>
      <c r="J304" s="50" t="n">
        <f aca="false">H304*I304</f>
        <v>0.0333333333333333</v>
      </c>
      <c r="K304" s="32" t="n">
        <f aca="false">0</f>
        <v>0</v>
      </c>
      <c r="L304" s="33" t="n">
        <f aca="false">Controls!B35</f>
        <v>0</v>
      </c>
      <c r="M304" s="33" t="n">
        <f aca="false">Controls!B36</f>
        <v>0</v>
      </c>
      <c r="N304" s="32" t="str">
        <f aca="false">IF(M304&gt;0,"PAID","HELD")</f>
        <v>HELD</v>
      </c>
    </row>
    <row r="305" customFormat="false" ht="15" hidden="false" customHeight="false" outlineLevel="0" collapsed="false">
      <c r="A305" s="19" t="str">
        <f aca="false">"PAY-"&amp;B305&amp;"-BREAK"</f>
        <v>PAY-REG-HU-CON-BREAK</v>
      </c>
      <c r="B305" s="19" t="str">
        <f aca="false">'Object Crosswalk'!A81</f>
        <v>REG-HU-CON</v>
      </c>
      <c r="C305" s="19" t="str">
        <f aca="false">'Object Crosswalk'!B81</f>
        <v>Regeneration tool</v>
      </c>
      <c r="D305" s="19" t="str">
        <f aca="false">'Object Crosswalk'!C81</f>
        <v>Public</v>
      </c>
      <c r="E305" s="19" t="str">
        <f aca="false">'Object Crosswalk'!D81</f>
        <v>MS-HU</v>
      </c>
      <c r="F305" s="19" t="str">
        <f aca="false">'Object Crosswalk'!E81</f>
        <v>HU-A</v>
      </c>
      <c r="G305" s="9" t="s">
        <v>1209</v>
      </c>
      <c r="H305" s="41" t="n">
        <v>0</v>
      </c>
      <c r="I305" s="50" t="n">
        <f aca="false">'Object Crosswalk'!I81</f>
        <v>0.0666666666666667</v>
      </c>
      <c r="J305" s="50" t="n">
        <f aca="false">H305*I305</f>
        <v>0</v>
      </c>
      <c r="K305" s="32" t="n">
        <f aca="false">0</f>
        <v>0</v>
      </c>
      <c r="L305" s="33" t="n">
        <f aca="false">Controls!B35</f>
        <v>0</v>
      </c>
      <c r="M305" s="33" t="n">
        <f aca="false">Controls!B36</f>
        <v>0</v>
      </c>
      <c r="N305" s="32" t="str">
        <f aca="false">IF(M305&gt;0,"PAID","HELD")</f>
        <v>HELD</v>
      </c>
    </row>
    <row r="306" customFormat="false" ht="15" hidden="false" customHeight="false" outlineLevel="0" collapsed="false">
      <c r="A306" s="19" t="str">
        <f aca="false">"PAY-"&amp;B306&amp;"-TRANSFER"</f>
        <v>PAY-REG-HU-CON-TRANSFER</v>
      </c>
      <c r="B306" s="19" t="str">
        <f aca="false">'Object Crosswalk'!A81</f>
        <v>REG-HU-CON</v>
      </c>
      <c r="C306" s="19" t="str">
        <f aca="false">'Object Crosswalk'!B81</f>
        <v>Regeneration tool</v>
      </c>
      <c r="D306" s="19" t="str">
        <f aca="false">'Object Crosswalk'!C81</f>
        <v>Public</v>
      </c>
      <c r="E306" s="19" t="str">
        <f aca="false">'Object Crosswalk'!D81</f>
        <v>MS-HU</v>
      </c>
      <c r="F306" s="19" t="str">
        <f aca="false">'Object Crosswalk'!E81</f>
        <v>HU-A</v>
      </c>
      <c r="G306" s="9" t="s">
        <v>1210</v>
      </c>
      <c r="H306" s="41" t="n">
        <v>0.25</v>
      </c>
      <c r="I306" s="50" t="n">
        <f aca="false">'Object Crosswalk'!I81</f>
        <v>0.0666666666666667</v>
      </c>
      <c r="J306" s="50" t="n">
        <f aca="false">H306*I306</f>
        <v>0.0166666666666667</v>
      </c>
      <c r="K306" s="32" t="n">
        <f aca="false">0</f>
        <v>0</v>
      </c>
      <c r="L306" s="33" t="n">
        <f aca="false">Controls!B35</f>
        <v>0</v>
      </c>
      <c r="M306" s="33" t="n">
        <f aca="false">Controls!B36</f>
        <v>0</v>
      </c>
      <c r="N306" s="32" t="str">
        <f aca="false">IF(M306&gt;0,"PAID","HELD")</f>
        <v>HELD</v>
      </c>
    </row>
    <row r="307" customFormat="false" ht="15" hidden="false" customHeight="false" outlineLevel="0" collapsed="false">
      <c r="A307" s="19" t="str">
        <f aca="false">"PAY-"&amp;B307&amp;"-FRAME"</f>
        <v>PAY-INT-HU-CON-FRAME</v>
      </c>
      <c r="B307" s="19" t="str">
        <f aca="false">'Object Crosswalk'!A82</f>
        <v>INT-HU-CON</v>
      </c>
      <c r="C307" s="19" t="str">
        <f aca="false">'Object Crosswalk'!B82</f>
        <v>Station integration</v>
      </c>
      <c r="D307" s="19" t="str">
        <f aca="false">'Object Crosswalk'!C82</f>
        <v>Public</v>
      </c>
      <c r="E307" s="19" t="str">
        <f aca="false">'Object Crosswalk'!D82</f>
        <v>MS-HU</v>
      </c>
      <c r="F307" s="19" t="str">
        <f aca="false">'Object Crosswalk'!E82</f>
        <v>HU-A</v>
      </c>
      <c r="G307" s="9" t="s">
        <v>543</v>
      </c>
      <c r="H307" s="41" t="n">
        <v>0.25</v>
      </c>
      <c r="I307" s="50" t="n">
        <f aca="false">'Object Crosswalk'!I82</f>
        <v>0.0633333333333333</v>
      </c>
      <c r="J307" s="50" t="n">
        <f aca="false">H307*I307</f>
        <v>0.0158333333333333</v>
      </c>
      <c r="K307" s="32" t="n">
        <f aca="false">0</f>
        <v>0</v>
      </c>
      <c r="L307" s="33" t="n">
        <f aca="false">Controls!B35</f>
        <v>0</v>
      </c>
      <c r="M307" s="33" t="n">
        <f aca="false">Controls!B36</f>
        <v>0</v>
      </c>
      <c r="N307" s="32" t="str">
        <f aca="false">IF(M307&gt;0,"PAID","HELD")</f>
        <v>HELD</v>
      </c>
    </row>
    <row r="308" customFormat="false" ht="15" hidden="false" customHeight="false" outlineLevel="0" collapsed="false">
      <c r="A308" s="19" t="str">
        <f aca="false">"PAY-"&amp;B308&amp;"-MAKE"</f>
        <v>PAY-INT-HU-CON-MAKE</v>
      </c>
      <c r="B308" s="19" t="str">
        <f aca="false">'Object Crosswalk'!A82</f>
        <v>INT-HU-CON</v>
      </c>
      <c r="C308" s="19" t="str">
        <f aca="false">'Object Crosswalk'!B82</f>
        <v>Station integration</v>
      </c>
      <c r="D308" s="19" t="str">
        <f aca="false">'Object Crosswalk'!C82</f>
        <v>Public</v>
      </c>
      <c r="E308" s="19" t="str">
        <f aca="false">'Object Crosswalk'!D82</f>
        <v>MS-HU</v>
      </c>
      <c r="F308" s="19" t="str">
        <f aca="false">'Object Crosswalk'!E82</f>
        <v>HU-A</v>
      </c>
      <c r="G308" s="9" t="s">
        <v>546</v>
      </c>
      <c r="H308" s="41" t="n">
        <v>0.5</v>
      </c>
      <c r="I308" s="50" t="n">
        <f aca="false">'Object Crosswalk'!I82</f>
        <v>0.0633333333333333</v>
      </c>
      <c r="J308" s="50" t="n">
        <f aca="false">H308*I308</f>
        <v>0.0316666666666667</v>
      </c>
      <c r="K308" s="32" t="n">
        <f aca="false">0</f>
        <v>0</v>
      </c>
      <c r="L308" s="33" t="n">
        <f aca="false">Controls!B35</f>
        <v>0</v>
      </c>
      <c r="M308" s="33" t="n">
        <f aca="false">Controls!B36</f>
        <v>0</v>
      </c>
      <c r="N308" s="32" t="str">
        <f aca="false">IF(M308&gt;0,"PAID","HELD")</f>
        <v>HELD</v>
      </c>
    </row>
    <row r="309" customFormat="false" ht="15" hidden="false" customHeight="false" outlineLevel="0" collapsed="false">
      <c r="A309" s="19" t="str">
        <f aca="false">"PAY-"&amp;B309&amp;"-BREAK"</f>
        <v>PAY-INT-HU-CON-BREAK</v>
      </c>
      <c r="B309" s="19" t="str">
        <f aca="false">'Object Crosswalk'!A82</f>
        <v>INT-HU-CON</v>
      </c>
      <c r="C309" s="19" t="str">
        <f aca="false">'Object Crosswalk'!B82</f>
        <v>Station integration</v>
      </c>
      <c r="D309" s="19" t="str">
        <f aca="false">'Object Crosswalk'!C82</f>
        <v>Public</v>
      </c>
      <c r="E309" s="19" t="str">
        <f aca="false">'Object Crosswalk'!D82</f>
        <v>MS-HU</v>
      </c>
      <c r="F309" s="19" t="str">
        <f aca="false">'Object Crosswalk'!E82</f>
        <v>HU-A</v>
      </c>
      <c r="G309" s="9" t="s">
        <v>1209</v>
      </c>
      <c r="H309" s="41" t="n">
        <v>0</v>
      </c>
      <c r="I309" s="50" t="n">
        <f aca="false">'Object Crosswalk'!I82</f>
        <v>0.0633333333333333</v>
      </c>
      <c r="J309" s="50" t="n">
        <f aca="false">H309*I309</f>
        <v>0</v>
      </c>
      <c r="K309" s="32" t="n">
        <f aca="false">0</f>
        <v>0</v>
      </c>
      <c r="L309" s="33" t="n">
        <f aca="false">Controls!B35</f>
        <v>0</v>
      </c>
      <c r="M309" s="33" t="n">
        <f aca="false">Controls!B36</f>
        <v>0</v>
      </c>
      <c r="N309" s="32" t="str">
        <f aca="false">IF(M309&gt;0,"PAID","HELD")</f>
        <v>HELD</v>
      </c>
    </row>
    <row r="310" customFormat="false" ht="15" hidden="false" customHeight="false" outlineLevel="0" collapsed="false">
      <c r="A310" s="19" t="str">
        <f aca="false">"PAY-"&amp;B310&amp;"-TRANSFER"</f>
        <v>PAY-INT-HU-CON-TRANSFER</v>
      </c>
      <c r="B310" s="19" t="str">
        <f aca="false">'Object Crosswalk'!A82</f>
        <v>INT-HU-CON</v>
      </c>
      <c r="C310" s="19" t="str">
        <f aca="false">'Object Crosswalk'!B82</f>
        <v>Station integration</v>
      </c>
      <c r="D310" s="19" t="str">
        <f aca="false">'Object Crosswalk'!C82</f>
        <v>Public</v>
      </c>
      <c r="E310" s="19" t="str">
        <f aca="false">'Object Crosswalk'!D82</f>
        <v>MS-HU</v>
      </c>
      <c r="F310" s="19" t="str">
        <f aca="false">'Object Crosswalk'!E82</f>
        <v>HU-A</v>
      </c>
      <c r="G310" s="9" t="s">
        <v>1210</v>
      </c>
      <c r="H310" s="41" t="n">
        <v>0.25</v>
      </c>
      <c r="I310" s="50" t="n">
        <f aca="false">'Object Crosswalk'!I82</f>
        <v>0.0633333333333333</v>
      </c>
      <c r="J310" s="50" t="n">
        <f aca="false">H310*I310</f>
        <v>0.0158333333333333</v>
      </c>
      <c r="K310" s="32" t="n">
        <f aca="false">0</f>
        <v>0</v>
      </c>
      <c r="L310" s="33" t="n">
        <f aca="false">Controls!B35</f>
        <v>0</v>
      </c>
      <c r="M310" s="33" t="n">
        <f aca="false">Controls!B36</f>
        <v>0</v>
      </c>
      <c r="N310" s="32" t="str">
        <f aca="false">IF(M310&gt;0,"PAID","HELD")</f>
        <v>HELD</v>
      </c>
    </row>
    <row r="311" customFormat="false" ht="15" hidden="false" customHeight="false" outlineLevel="0" collapsed="false">
      <c r="A311" s="19" t="str">
        <f aca="false">"PAY-"&amp;B311&amp;"-FRAME"</f>
        <v>PAY-RIG-HU-REC-FRAME</v>
      </c>
      <c r="B311" s="19" t="str">
        <f aca="false">'Object Crosswalk'!A83</f>
        <v>RIG-HU-REC</v>
      </c>
      <c r="C311" s="19" t="str">
        <f aca="false">'Object Crosswalk'!B83</f>
        <v>Root-native rig</v>
      </c>
      <c r="D311" s="19" t="str">
        <f aca="false">'Object Crosswalk'!C83</f>
        <v>Public</v>
      </c>
      <c r="E311" s="19" t="str">
        <f aca="false">'Object Crosswalk'!D83</f>
        <v>MS-HU</v>
      </c>
      <c r="F311" s="19" t="str">
        <f aca="false">'Object Crosswalk'!E83</f>
        <v>HU-A</v>
      </c>
      <c r="G311" s="9" t="s">
        <v>543</v>
      </c>
      <c r="H311" s="41" t="n">
        <v>0.25</v>
      </c>
      <c r="I311" s="50" t="n">
        <f aca="false">'Object Crosswalk'!I83</f>
        <v>0.316666666666667</v>
      </c>
      <c r="J311" s="50" t="n">
        <f aca="false">H311*I311</f>
        <v>0.0791666666666667</v>
      </c>
      <c r="K311" s="32" t="n">
        <f aca="false">0</f>
        <v>0</v>
      </c>
      <c r="L311" s="33" t="n">
        <f aca="false">Controls!B35</f>
        <v>0</v>
      </c>
      <c r="M311" s="33" t="n">
        <f aca="false">Controls!B36</f>
        <v>0</v>
      </c>
      <c r="N311" s="32" t="str">
        <f aca="false">IF(M311&gt;0,"PAID","HELD")</f>
        <v>HELD</v>
      </c>
    </row>
    <row r="312" customFormat="false" ht="15" hidden="false" customHeight="false" outlineLevel="0" collapsed="false">
      <c r="A312" s="19" t="str">
        <f aca="false">"PAY-"&amp;B312&amp;"-MAKE"</f>
        <v>PAY-RIG-HU-REC-MAKE</v>
      </c>
      <c r="B312" s="19" t="str">
        <f aca="false">'Object Crosswalk'!A83</f>
        <v>RIG-HU-REC</v>
      </c>
      <c r="C312" s="19" t="str">
        <f aca="false">'Object Crosswalk'!B83</f>
        <v>Root-native rig</v>
      </c>
      <c r="D312" s="19" t="str">
        <f aca="false">'Object Crosswalk'!C83</f>
        <v>Public</v>
      </c>
      <c r="E312" s="19" t="str">
        <f aca="false">'Object Crosswalk'!D83</f>
        <v>MS-HU</v>
      </c>
      <c r="F312" s="19" t="str">
        <f aca="false">'Object Crosswalk'!E83</f>
        <v>HU-A</v>
      </c>
      <c r="G312" s="9" t="s">
        <v>546</v>
      </c>
      <c r="H312" s="41" t="n">
        <v>0.5</v>
      </c>
      <c r="I312" s="50" t="n">
        <f aca="false">'Object Crosswalk'!I83</f>
        <v>0.316666666666667</v>
      </c>
      <c r="J312" s="50" t="n">
        <f aca="false">H312*I312</f>
        <v>0.158333333333333</v>
      </c>
      <c r="K312" s="32" t="n">
        <f aca="false">0</f>
        <v>0</v>
      </c>
      <c r="L312" s="33" t="n">
        <f aca="false">Controls!B35</f>
        <v>0</v>
      </c>
      <c r="M312" s="33" t="n">
        <f aca="false">Controls!B36</f>
        <v>0</v>
      </c>
      <c r="N312" s="32" t="str">
        <f aca="false">IF(M312&gt;0,"PAID","HELD")</f>
        <v>HELD</v>
      </c>
    </row>
    <row r="313" customFormat="false" ht="15" hidden="false" customHeight="false" outlineLevel="0" collapsed="false">
      <c r="A313" s="19" t="str">
        <f aca="false">"PAY-"&amp;B313&amp;"-BREAK"</f>
        <v>PAY-RIG-HU-REC-BREAK</v>
      </c>
      <c r="B313" s="19" t="str">
        <f aca="false">'Object Crosswalk'!A83</f>
        <v>RIG-HU-REC</v>
      </c>
      <c r="C313" s="19" t="str">
        <f aca="false">'Object Crosswalk'!B83</f>
        <v>Root-native rig</v>
      </c>
      <c r="D313" s="19" t="str">
        <f aca="false">'Object Crosswalk'!C83</f>
        <v>Public</v>
      </c>
      <c r="E313" s="19" t="str">
        <f aca="false">'Object Crosswalk'!D83</f>
        <v>MS-HU</v>
      </c>
      <c r="F313" s="19" t="str">
        <f aca="false">'Object Crosswalk'!E83</f>
        <v>HU-A</v>
      </c>
      <c r="G313" s="9" t="s">
        <v>1209</v>
      </c>
      <c r="H313" s="41" t="n">
        <v>0</v>
      </c>
      <c r="I313" s="50" t="n">
        <f aca="false">'Object Crosswalk'!I83</f>
        <v>0.316666666666667</v>
      </c>
      <c r="J313" s="50" t="n">
        <f aca="false">H313*I313</f>
        <v>0</v>
      </c>
      <c r="K313" s="32" t="n">
        <f aca="false">0</f>
        <v>0</v>
      </c>
      <c r="L313" s="33" t="n">
        <f aca="false">Controls!B35</f>
        <v>0</v>
      </c>
      <c r="M313" s="33" t="n">
        <f aca="false">Controls!B36</f>
        <v>0</v>
      </c>
      <c r="N313" s="32" t="str">
        <f aca="false">IF(M313&gt;0,"PAID","HELD")</f>
        <v>HELD</v>
      </c>
    </row>
    <row r="314" customFormat="false" ht="15" hidden="false" customHeight="false" outlineLevel="0" collapsed="false">
      <c r="A314" s="19" t="str">
        <f aca="false">"PAY-"&amp;B314&amp;"-TRANSFER"</f>
        <v>PAY-RIG-HU-REC-TRANSFER</v>
      </c>
      <c r="B314" s="19" t="str">
        <f aca="false">'Object Crosswalk'!A83</f>
        <v>RIG-HU-REC</v>
      </c>
      <c r="C314" s="19" t="str">
        <f aca="false">'Object Crosswalk'!B83</f>
        <v>Root-native rig</v>
      </c>
      <c r="D314" s="19" t="str">
        <f aca="false">'Object Crosswalk'!C83</f>
        <v>Public</v>
      </c>
      <c r="E314" s="19" t="str">
        <f aca="false">'Object Crosswalk'!D83</f>
        <v>MS-HU</v>
      </c>
      <c r="F314" s="19" t="str">
        <f aca="false">'Object Crosswalk'!E83</f>
        <v>HU-A</v>
      </c>
      <c r="G314" s="9" t="s">
        <v>1210</v>
      </c>
      <c r="H314" s="41" t="n">
        <v>0.25</v>
      </c>
      <c r="I314" s="50" t="n">
        <f aca="false">'Object Crosswalk'!I83</f>
        <v>0.316666666666667</v>
      </c>
      <c r="J314" s="50" t="n">
        <f aca="false">H314*I314</f>
        <v>0.0791666666666667</v>
      </c>
      <c r="K314" s="32" t="n">
        <f aca="false">0</f>
        <v>0</v>
      </c>
      <c r="L314" s="33" t="n">
        <f aca="false">Controls!B35</f>
        <v>0</v>
      </c>
      <c r="M314" s="33" t="n">
        <f aca="false">Controls!B36</f>
        <v>0</v>
      </c>
      <c r="N314" s="32" t="str">
        <f aca="false">IF(M314&gt;0,"PAID","HELD")</f>
        <v>HELD</v>
      </c>
    </row>
    <row r="315" customFormat="false" ht="15" hidden="false" customHeight="false" outlineLevel="0" collapsed="false">
      <c r="A315" s="19" t="str">
        <f aca="false">"PAY-"&amp;B315&amp;"-FRAME"</f>
        <v>PAY-MTH-HU-REC-L1-FRAME</v>
      </c>
      <c r="B315" s="19" t="str">
        <f aca="false">'Object Crosswalk'!A84</f>
        <v>MTH-HU-REC-L1</v>
      </c>
      <c r="C315" s="19" t="str">
        <f aca="false">'Object Crosswalk'!B84</f>
        <v>Method lineage</v>
      </c>
      <c r="D315" s="19" t="str">
        <f aca="false">'Object Crosswalk'!C84</f>
        <v>Public</v>
      </c>
      <c r="E315" s="19" t="str">
        <f aca="false">'Object Crosswalk'!D84</f>
        <v>MS-HU</v>
      </c>
      <c r="F315" s="19" t="str">
        <f aca="false">'Object Crosswalk'!E84</f>
        <v>HU-A</v>
      </c>
      <c r="G315" s="9" t="s">
        <v>543</v>
      </c>
      <c r="H315" s="41" t="n">
        <v>0.25</v>
      </c>
      <c r="I315" s="50" t="n">
        <f aca="false">'Object Crosswalk'!I84</f>
        <v>0.09</v>
      </c>
      <c r="J315" s="50" t="n">
        <f aca="false">H315*I315</f>
        <v>0.0225</v>
      </c>
      <c r="K315" s="32" t="n">
        <f aca="false">0</f>
        <v>0</v>
      </c>
      <c r="L315" s="33" t="n">
        <f aca="false">Controls!B35</f>
        <v>0</v>
      </c>
      <c r="M315" s="33" t="n">
        <f aca="false">Controls!B36</f>
        <v>0</v>
      </c>
      <c r="N315" s="32" t="str">
        <f aca="false">IF(M315&gt;0,"PAID","HELD")</f>
        <v>HELD</v>
      </c>
    </row>
    <row r="316" customFormat="false" ht="15" hidden="false" customHeight="false" outlineLevel="0" collapsed="false">
      <c r="A316" s="19" t="str">
        <f aca="false">"PAY-"&amp;B316&amp;"-MAKE"</f>
        <v>PAY-MTH-HU-REC-L1-MAKE</v>
      </c>
      <c r="B316" s="19" t="str">
        <f aca="false">'Object Crosswalk'!A84</f>
        <v>MTH-HU-REC-L1</v>
      </c>
      <c r="C316" s="19" t="str">
        <f aca="false">'Object Crosswalk'!B84</f>
        <v>Method lineage</v>
      </c>
      <c r="D316" s="19" t="str">
        <f aca="false">'Object Crosswalk'!C84</f>
        <v>Public</v>
      </c>
      <c r="E316" s="19" t="str">
        <f aca="false">'Object Crosswalk'!D84</f>
        <v>MS-HU</v>
      </c>
      <c r="F316" s="19" t="str">
        <f aca="false">'Object Crosswalk'!E84</f>
        <v>HU-A</v>
      </c>
      <c r="G316" s="9" t="s">
        <v>546</v>
      </c>
      <c r="H316" s="41" t="n">
        <v>0.5</v>
      </c>
      <c r="I316" s="50" t="n">
        <f aca="false">'Object Crosswalk'!I84</f>
        <v>0.09</v>
      </c>
      <c r="J316" s="50" t="n">
        <f aca="false">H316*I316</f>
        <v>0.045</v>
      </c>
      <c r="K316" s="32" t="n">
        <f aca="false">0</f>
        <v>0</v>
      </c>
      <c r="L316" s="33" t="n">
        <f aca="false">Controls!B35</f>
        <v>0</v>
      </c>
      <c r="M316" s="33" t="n">
        <f aca="false">Controls!B36</f>
        <v>0</v>
      </c>
      <c r="N316" s="32" t="str">
        <f aca="false">IF(M316&gt;0,"PAID","HELD")</f>
        <v>HELD</v>
      </c>
    </row>
    <row r="317" customFormat="false" ht="15" hidden="false" customHeight="false" outlineLevel="0" collapsed="false">
      <c r="A317" s="19" t="str">
        <f aca="false">"PAY-"&amp;B317&amp;"-BREAK"</f>
        <v>PAY-MTH-HU-REC-L1-BREAK</v>
      </c>
      <c r="B317" s="19" t="str">
        <f aca="false">'Object Crosswalk'!A84</f>
        <v>MTH-HU-REC-L1</v>
      </c>
      <c r="C317" s="19" t="str">
        <f aca="false">'Object Crosswalk'!B84</f>
        <v>Method lineage</v>
      </c>
      <c r="D317" s="19" t="str">
        <f aca="false">'Object Crosswalk'!C84</f>
        <v>Public</v>
      </c>
      <c r="E317" s="19" t="str">
        <f aca="false">'Object Crosswalk'!D84</f>
        <v>MS-HU</v>
      </c>
      <c r="F317" s="19" t="str">
        <f aca="false">'Object Crosswalk'!E84</f>
        <v>HU-A</v>
      </c>
      <c r="G317" s="9" t="s">
        <v>1209</v>
      </c>
      <c r="H317" s="41" t="n">
        <v>0</v>
      </c>
      <c r="I317" s="50" t="n">
        <f aca="false">'Object Crosswalk'!I84</f>
        <v>0.09</v>
      </c>
      <c r="J317" s="50" t="n">
        <f aca="false">H317*I317</f>
        <v>0</v>
      </c>
      <c r="K317" s="32" t="n">
        <f aca="false">0</f>
        <v>0</v>
      </c>
      <c r="L317" s="33" t="n">
        <f aca="false">Controls!B35</f>
        <v>0</v>
      </c>
      <c r="M317" s="33" t="n">
        <f aca="false">Controls!B36</f>
        <v>0</v>
      </c>
      <c r="N317" s="32" t="str">
        <f aca="false">IF(M317&gt;0,"PAID","HELD")</f>
        <v>HELD</v>
      </c>
    </row>
    <row r="318" customFormat="false" ht="15" hidden="false" customHeight="false" outlineLevel="0" collapsed="false">
      <c r="A318" s="19" t="str">
        <f aca="false">"PAY-"&amp;B318&amp;"-TRANSFER"</f>
        <v>PAY-MTH-HU-REC-L1-TRANSFER</v>
      </c>
      <c r="B318" s="19" t="str">
        <f aca="false">'Object Crosswalk'!A84</f>
        <v>MTH-HU-REC-L1</v>
      </c>
      <c r="C318" s="19" t="str">
        <f aca="false">'Object Crosswalk'!B84</f>
        <v>Method lineage</v>
      </c>
      <c r="D318" s="19" t="str">
        <f aca="false">'Object Crosswalk'!C84</f>
        <v>Public</v>
      </c>
      <c r="E318" s="19" t="str">
        <f aca="false">'Object Crosswalk'!D84</f>
        <v>MS-HU</v>
      </c>
      <c r="F318" s="19" t="str">
        <f aca="false">'Object Crosswalk'!E84</f>
        <v>HU-A</v>
      </c>
      <c r="G318" s="9" t="s">
        <v>1210</v>
      </c>
      <c r="H318" s="41" t="n">
        <v>0.25</v>
      </c>
      <c r="I318" s="50" t="n">
        <f aca="false">'Object Crosswalk'!I84</f>
        <v>0.09</v>
      </c>
      <c r="J318" s="50" t="n">
        <f aca="false">H318*I318</f>
        <v>0.0225</v>
      </c>
      <c r="K318" s="32" t="n">
        <f aca="false">0</f>
        <v>0</v>
      </c>
      <c r="L318" s="33" t="n">
        <f aca="false">Controls!B35</f>
        <v>0</v>
      </c>
      <c r="M318" s="33" t="n">
        <f aca="false">Controls!B36</f>
        <v>0</v>
      </c>
      <c r="N318" s="32" t="str">
        <f aca="false">IF(M318&gt;0,"PAID","HELD")</f>
        <v>HELD</v>
      </c>
    </row>
    <row r="319" customFormat="false" ht="15" hidden="false" customHeight="false" outlineLevel="0" collapsed="false">
      <c r="A319" s="19" t="str">
        <f aca="false">"PAY-"&amp;B319&amp;"-FRAME"</f>
        <v>PAY-MTH-HU-REC-L2-FRAME</v>
      </c>
      <c r="B319" s="19" t="str">
        <f aca="false">'Object Crosswalk'!A85</f>
        <v>MTH-HU-REC-L2</v>
      </c>
      <c r="C319" s="19" t="str">
        <f aca="false">'Object Crosswalk'!B85</f>
        <v>Method lineage</v>
      </c>
      <c r="D319" s="19" t="str">
        <f aca="false">'Object Crosswalk'!C85</f>
        <v>Public</v>
      </c>
      <c r="E319" s="19" t="str">
        <f aca="false">'Object Crosswalk'!D85</f>
        <v>MS-HU</v>
      </c>
      <c r="F319" s="19" t="str">
        <f aca="false">'Object Crosswalk'!E85</f>
        <v>HU-A</v>
      </c>
      <c r="G319" s="9" t="s">
        <v>543</v>
      </c>
      <c r="H319" s="41" t="n">
        <v>0.25</v>
      </c>
      <c r="I319" s="50" t="n">
        <f aca="false">'Object Crosswalk'!I85</f>
        <v>0.09</v>
      </c>
      <c r="J319" s="50" t="n">
        <f aca="false">H319*I319</f>
        <v>0.0225</v>
      </c>
      <c r="K319" s="32" t="n">
        <f aca="false">0</f>
        <v>0</v>
      </c>
      <c r="L319" s="33" t="n">
        <f aca="false">Controls!B35</f>
        <v>0</v>
      </c>
      <c r="M319" s="33" t="n">
        <f aca="false">Controls!B36</f>
        <v>0</v>
      </c>
      <c r="N319" s="32" t="str">
        <f aca="false">IF(M319&gt;0,"PAID","HELD")</f>
        <v>HELD</v>
      </c>
    </row>
    <row r="320" customFormat="false" ht="15" hidden="false" customHeight="false" outlineLevel="0" collapsed="false">
      <c r="A320" s="19" t="str">
        <f aca="false">"PAY-"&amp;B320&amp;"-MAKE"</f>
        <v>PAY-MTH-HU-REC-L2-MAKE</v>
      </c>
      <c r="B320" s="19" t="str">
        <f aca="false">'Object Crosswalk'!A85</f>
        <v>MTH-HU-REC-L2</v>
      </c>
      <c r="C320" s="19" t="str">
        <f aca="false">'Object Crosswalk'!B85</f>
        <v>Method lineage</v>
      </c>
      <c r="D320" s="19" t="str">
        <f aca="false">'Object Crosswalk'!C85</f>
        <v>Public</v>
      </c>
      <c r="E320" s="19" t="str">
        <f aca="false">'Object Crosswalk'!D85</f>
        <v>MS-HU</v>
      </c>
      <c r="F320" s="19" t="str">
        <f aca="false">'Object Crosswalk'!E85</f>
        <v>HU-A</v>
      </c>
      <c r="G320" s="9" t="s">
        <v>546</v>
      </c>
      <c r="H320" s="41" t="n">
        <v>0.5</v>
      </c>
      <c r="I320" s="50" t="n">
        <f aca="false">'Object Crosswalk'!I85</f>
        <v>0.09</v>
      </c>
      <c r="J320" s="50" t="n">
        <f aca="false">H320*I320</f>
        <v>0.045</v>
      </c>
      <c r="K320" s="32" t="n">
        <f aca="false">0</f>
        <v>0</v>
      </c>
      <c r="L320" s="33" t="n">
        <f aca="false">Controls!B35</f>
        <v>0</v>
      </c>
      <c r="M320" s="33" t="n">
        <f aca="false">Controls!B36</f>
        <v>0</v>
      </c>
      <c r="N320" s="32" t="str">
        <f aca="false">IF(M320&gt;0,"PAID","HELD")</f>
        <v>HELD</v>
      </c>
    </row>
    <row r="321" customFormat="false" ht="15" hidden="false" customHeight="false" outlineLevel="0" collapsed="false">
      <c r="A321" s="19" t="str">
        <f aca="false">"PAY-"&amp;B321&amp;"-BREAK"</f>
        <v>PAY-MTH-HU-REC-L2-BREAK</v>
      </c>
      <c r="B321" s="19" t="str">
        <f aca="false">'Object Crosswalk'!A85</f>
        <v>MTH-HU-REC-L2</v>
      </c>
      <c r="C321" s="19" t="str">
        <f aca="false">'Object Crosswalk'!B85</f>
        <v>Method lineage</v>
      </c>
      <c r="D321" s="19" t="str">
        <f aca="false">'Object Crosswalk'!C85</f>
        <v>Public</v>
      </c>
      <c r="E321" s="19" t="str">
        <f aca="false">'Object Crosswalk'!D85</f>
        <v>MS-HU</v>
      </c>
      <c r="F321" s="19" t="str">
        <f aca="false">'Object Crosswalk'!E85</f>
        <v>HU-A</v>
      </c>
      <c r="G321" s="9" t="s">
        <v>1209</v>
      </c>
      <c r="H321" s="41" t="n">
        <v>0</v>
      </c>
      <c r="I321" s="50" t="n">
        <f aca="false">'Object Crosswalk'!I85</f>
        <v>0.09</v>
      </c>
      <c r="J321" s="50" t="n">
        <f aca="false">H321*I321</f>
        <v>0</v>
      </c>
      <c r="K321" s="32" t="n">
        <f aca="false">0</f>
        <v>0</v>
      </c>
      <c r="L321" s="33" t="n">
        <f aca="false">Controls!B35</f>
        <v>0</v>
      </c>
      <c r="M321" s="33" t="n">
        <f aca="false">Controls!B36</f>
        <v>0</v>
      </c>
      <c r="N321" s="32" t="str">
        <f aca="false">IF(M321&gt;0,"PAID","HELD")</f>
        <v>HELD</v>
      </c>
    </row>
    <row r="322" customFormat="false" ht="15" hidden="false" customHeight="false" outlineLevel="0" collapsed="false">
      <c r="A322" s="19" t="str">
        <f aca="false">"PAY-"&amp;B322&amp;"-TRANSFER"</f>
        <v>PAY-MTH-HU-REC-L2-TRANSFER</v>
      </c>
      <c r="B322" s="19" t="str">
        <f aca="false">'Object Crosswalk'!A85</f>
        <v>MTH-HU-REC-L2</v>
      </c>
      <c r="C322" s="19" t="str">
        <f aca="false">'Object Crosswalk'!B85</f>
        <v>Method lineage</v>
      </c>
      <c r="D322" s="19" t="str">
        <f aca="false">'Object Crosswalk'!C85</f>
        <v>Public</v>
      </c>
      <c r="E322" s="19" t="str">
        <f aca="false">'Object Crosswalk'!D85</f>
        <v>MS-HU</v>
      </c>
      <c r="F322" s="19" t="str">
        <f aca="false">'Object Crosswalk'!E85</f>
        <v>HU-A</v>
      </c>
      <c r="G322" s="9" t="s">
        <v>1210</v>
      </c>
      <c r="H322" s="41" t="n">
        <v>0.25</v>
      </c>
      <c r="I322" s="50" t="n">
        <f aca="false">'Object Crosswalk'!I85</f>
        <v>0.09</v>
      </c>
      <c r="J322" s="50" t="n">
        <f aca="false">H322*I322</f>
        <v>0.0225</v>
      </c>
      <c r="K322" s="32" t="n">
        <f aca="false">0</f>
        <v>0</v>
      </c>
      <c r="L322" s="33" t="n">
        <f aca="false">Controls!B35</f>
        <v>0</v>
      </c>
      <c r="M322" s="33" t="n">
        <f aca="false">Controls!B36</f>
        <v>0</v>
      </c>
      <c r="N322" s="32" t="str">
        <f aca="false">IF(M322&gt;0,"PAID","HELD")</f>
        <v>HELD</v>
      </c>
    </row>
    <row r="323" customFormat="false" ht="15" hidden="false" customHeight="false" outlineLevel="0" collapsed="false">
      <c r="A323" s="19" t="str">
        <f aca="false">"PAY-"&amp;B323&amp;"-FRAME"</f>
        <v>PAY-REG-HU-REC-FRAME</v>
      </c>
      <c r="B323" s="19" t="str">
        <f aca="false">'Object Crosswalk'!A86</f>
        <v>REG-HU-REC</v>
      </c>
      <c r="C323" s="19" t="str">
        <f aca="false">'Object Crosswalk'!B86</f>
        <v>Regeneration tool</v>
      </c>
      <c r="D323" s="19" t="str">
        <f aca="false">'Object Crosswalk'!C86</f>
        <v>Public</v>
      </c>
      <c r="E323" s="19" t="str">
        <f aca="false">'Object Crosswalk'!D86</f>
        <v>MS-HU</v>
      </c>
      <c r="F323" s="19" t="str">
        <f aca="false">'Object Crosswalk'!E86</f>
        <v>HU-A</v>
      </c>
      <c r="G323" s="9" t="s">
        <v>543</v>
      </c>
      <c r="H323" s="41" t="n">
        <v>0.25</v>
      </c>
      <c r="I323" s="50" t="n">
        <f aca="false">'Object Crosswalk'!I86</f>
        <v>0.0666666666666667</v>
      </c>
      <c r="J323" s="50" t="n">
        <f aca="false">H323*I323</f>
        <v>0.0166666666666667</v>
      </c>
      <c r="K323" s="32" t="n">
        <f aca="false">0</f>
        <v>0</v>
      </c>
      <c r="L323" s="33" t="n">
        <f aca="false">Controls!B35</f>
        <v>0</v>
      </c>
      <c r="M323" s="33" t="n">
        <f aca="false">Controls!B36</f>
        <v>0</v>
      </c>
      <c r="N323" s="32" t="str">
        <f aca="false">IF(M323&gt;0,"PAID","HELD")</f>
        <v>HELD</v>
      </c>
    </row>
    <row r="324" customFormat="false" ht="15" hidden="false" customHeight="false" outlineLevel="0" collapsed="false">
      <c r="A324" s="19" t="str">
        <f aca="false">"PAY-"&amp;B324&amp;"-MAKE"</f>
        <v>PAY-REG-HU-REC-MAKE</v>
      </c>
      <c r="B324" s="19" t="str">
        <f aca="false">'Object Crosswalk'!A86</f>
        <v>REG-HU-REC</v>
      </c>
      <c r="C324" s="19" t="str">
        <f aca="false">'Object Crosswalk'!B86</f>
        <v>Regeneration tool</v>
      </c>
      <c r="D324" s="19" t="str">
        <f aca="false">'Object Crosswalk'!C86</f>
        <v>Public</v>
      </c>
      <c r="E324" s="19" t="str">
        <f aca="false">'Object Crosswalk'!D86</f>
        <v>MS-HU</v>
      </c>
      <c r="F324" s="19" t="str">
        <f aca="false">'Object Crosswalk'!E86</f>
        <v>HU-A</v>
      </c>
      <c r="G324" s="9" t="s">
        <v>546</v>
      </c>
      <c r="H324" s="41" t="n">
        <v>0.5</v>
      </c>
      <c r="I324" s="50" t="n">
        <f aca="false">'Object Crosswalk'!I86</f>
        <v>0.0666666666666667</v>
      </c>
      <c r="J324" s="50" t="n">
        <f aca="false">H324*I324</f>
        <v>0.0333333333333333</v>
      </c>
      <c r="K324" s="32" t="n">
        <f aca="false">0</f>
        <v>0</v>
      </c>
      <c r="L324" s="33" t="n">
        <f aca="false">Controls!B35</f>
        <v>0</v>
      </c>
      <c r="M324" s="33" t="n">
        <f aca="false">Controls!B36</f>
        <v>0</v>
      </c>
      <c r="N324" s="32" t="str">
        <f aca="false">IF(M324&gt;0,"PAID","HELD")</f>
        <v>HELD</v>
      </c>
    </row>
    <row r="325" customFormat="false" ht="15" hidden="false" customHeight="false" outlineLevel="0" collapsed="false">
      <c r="A325" s="19" t="str">
        <f aca="false">"PAY-"&amp;B325&amp;"-BREAK"</f>
        <v>PAY-REG-HU-REC-BREAK</v>
      </c>
      <c r="B325" s="19" t="str">
        <f aca="false">'Object Crosswalk'!A86</f>
        <v>REG-HU-REC</v>
      </c>
      <c r="C325" s="19" t="str">
        <f aca="false">'Object Crosswalk'!B86</f>
        <v>Regeneration tool</v>
      </c>
      <c r="D325" s="19" t="str">
        <f aca="false">'Object Crosswalk'!C86</f>
        <v>Public</v>
      </c>
      <c r="E325" s="19" t="str">
        <f aca="false">'Object Crosswalk'!D86</f>
        <v>MS-HU</v>
      </c>
      <c r="F325" s="19" t="str">
        <f aca="false">'Object Crosswalk'!E86</f>
        <v>HU-A</v>
      </c>
      <c r="G325" s="9" t="s">
        <v>1209</v>
      </c>
      <c r="H325" s="41" t="n">
        <v>0</v>
      </c>
      <c r="I325" s="50" t="n">
        <f aca="false">'Object Crosswalk'!I86</f>
        <v>0.0666666666666667</v>
      </c>
      <c r="J325" s="50" t="n">
        <f aca="false">H325*I325</f>
        <v>0</v>
      </c>
      <c r="K325" s="32" t="n">
        <f aca="false">0</f>
        <v>0</v>
      </c>
      <c r="L325" s="33" t="n">
        <f aca="false">Controls!B35</f>
        <v>0</v>
      </c>
      <c r="M325" s="33" t="n">
        <f aca="false">Controls!B36</f>
        <v>0</v>
      </c>
      <c r="N325" s="32" t="str">
        <f aca="false">IF(M325&gt;0,"PAID","HELD")</f>
        <v>HELD</v>
      </c>
    </row>
    <row r="326" customFormat="false" ht="15" hidden="false" customHeight="false" outlineLevel="0" collapsed="false">
      <c r="A326" s="19" t="str">
        <f aca="false">"PAY-"&amp;B326&amp;"-TRANSFER"</f>
        <v>PAY-REG-HU-REC-TRANSFER</v>
      </c>
      <c r="B326" s="19" t="str">
        <f aca="false">'Object Crosswalk'!A86</f>
        <v>REG-HU-REC</v>
      </c>
      <c r="C326" s="19" t="str">
        <f aca="false">'Object Crosswalk'!B86</f>
        <v>Regeneration tool</v>
      </c>
      <c r="D326" s="19" t="str">
        <f aca="false">'Object Crosswalk'!C86</f>
        <v>Public</v>
      </c>
      <c r="E326" s="19" t="str">
        <f aca="false">'Object Crosswalk'!D86</f>
        <v>MS-HU</v>
      </c>
      <c r="F326" s="19" t="str">
        <f aca="false">'Object Crosswalk'!E86</f>
        <v>HU-A</v>
      </c>
      <c r="G326" s="9" t="s">
        <v>1210</v>
      </c>
      <c r="H326" s="41" t="n">
        <v>0.25</v>
      </c>
      <c r="I326" s="50" t="n">
        <f aca="false">'Object Crosswalk'!I86</f>
        <v>0.0666666666666667</v>
      </c>
      <c r="J326" s="50" t="n">
        <f aca="false">H326*I326</f>
        <v>0.0166666666666667</v>
      </c>
      <c r="K326" s="32" t="n">
        <f aca="false">0</f>
        <v>0</v>
      </c>
      <c r="L326" s="33" t="n">
        <f aca="false">Controls!B35</f>
        <v>0</v>
      </c>
      <c r="M326" s="33" t="n">
        <f aca="false">Controls!B36</f>
        <v>0</v>
      </c>
      <c r="N326" s="32" t="str">
        <f aca="false">IF(M326&gt;0,"PAID","HELD")</f>
        <v>HELD</v>
      </c>
    </row>
    <row r="327" customFormat="false" ht="15" hidden="false" customHeight="false" outlineLevel="0" collapsed="false">
      <c r="A327" s="19" t="str">
        <f aca="false">"PAY-"&amp;B327&amp;"-FRAME"</f>
        <v>PAY-INT-HU-REC-FRAME</v>
      </c>
      <c r="B327" s="19" t="str">
        <f aca="false">'Object Crosswalk'!A87</f>
        <v>INT-HU-REC</v>
      </c>
      <c r="C327" s="19" t="str">
        <f aca="false">'Object Crosswalk'!B87</f>
        <v>Station integration</v>
      </c>
      <c r="D327" s="19" t="str">
        <f aca="false">'Object Crosswalk'!C87</f>
        <v>Public</v>
      </c>
      <c r="E327" s="19" t="str">
        <f aca="false">'Object Crosswalk'!D87</f>
        <v>MS-HU</v>
      </c>
      <c r="F327" s="19" t="str">
        <f aca="false">'Object Crosswalk'!E87</f>
        <v>HU-A</v>
      </c>
      <c r="G327" s="9" t="s">
        <v>543</v>
      </c>
      <c r="H327" s="41" t="n">
        <v>0.25</v>
      </c>
      <c r="I327" s="50" t="n">
        <f aca="false">'Object Crosswalk'!I87</f>
        <v>0.0633333333333333</v>
      </c>
      <c r="J327" s="50" t="n">
        <f aca="false">H327*I327</f>
        <v>0.0158333333333333</v>
      </c>
      <c r="K327" s="32" t="n">
        <f aca="false">0</f>
        <v>0</v>
      </c>
      <c r="L327" s="33" t="n">
        <f aca="false">Controls!B35</f>
        <v>0</v>
      </c>
      <c r="M327" s="33" t="n">
        <f aca="false">Controls!B36</f>
        <v>0</v>
      </c>
      <c r="N327" s="32" t="str">
        <f aca="false">IF(M327&gt;0,"PAID","HELD")</f>
        <v>HELD</v>
      </c>
    </row>
    <row r="328" customFormat="false" ht="15" hidden="false" customHeight="false" outlineLevel="0" collapsed="false">
      <c r="A328" s="19" t="str">
        <f aca="false">"PAY-"&amp;B328&amp;"-MAKE"</f>
        <v>PAY-INT-HU-REC-MAKE</v>
      </c>
      <c r="B328" s="19" t="str">
        <f aca="false">'Object Crosswalk'!A87</f>
        <v>INT-HU-REC</v>
      </c>
      <c r="C328" s="19" t="str">
        <f aca="false">'Object Crosswalk'!B87</f>
        <v>Station integration</v>
      </c>
      <c r="D328" s="19" t="str">
        <f aca="false">'Object Crosswalk'!C87</f>
        <v>Public</v>
      </c>
      <c r="E328" s="19" t="str">
        <f aca="false">'Object Crosswalk'!D87</f>
        <v>MS-HU</v>
      </c>
      <c r="F328" s="19" t="str">
        <f aca="false">'Object Crosswalk'!E87</f>
        <v>HU-A</v>
      </c>
      <c r="G328" s="9" t="s">
        <v>546</v>
      </c>
      <c r="H328" s="41" t="n">
        <v>0.5</v>
      </c>
      <c r="I328" s="50" t="n">
        <f aca="false">'Object Crosswalk'!I87</f>
        <v>0.0633333333333333</v>
      </c>
      <c r="J328" s="50" t="n">
        <f aca="false">H328*I328</f>
        <v>0.0316666666666667</v>
      </c>
      <c r="K328" s="32" t="n">
        <f aca="false">0</f>
        <v>0</v>
      </c>
      <c r="L328" s="33" t="n">
        <f aca="false">Controls!B35</f>
        <v>0</v>
      </c>
      <c r="M328" s="33" t="n">
        <f aca="false">Controls!B36</f>
        <v>0</v>
      </c>
      <c r="N328" s="32" t="str">
        <f aca="false">IF(M328&gt;0,"PAID","HELD")</f>
        <v>HELD</v>
      </c>
    </row>
    <row r="329" customFormat="false" ht="15" hidden="false" customHeight="false" outlineLevel="0" collapsed="false">
      <c r="A329" s="19" t="str">
        <f aca="false">"PAY-"&amp;B329&amp;"-BREAK"</f>
        <v>PAY-INT-HU-REC-BREAK</v>
      </c>
      <c r="B329" s="19" t="str">
        <f aca="false">'Object Crosswalk'!A87</f>
        <v>INT-HU-REC</v>
      </c>
      <c r="C329" s="19" t="str">
        <f aca="false">'Object Crosswalk'!B87</f>
        <v>Station integration</v>
      </c>
      <c r="D329" s="19" t="str">
        <f aca="false">'Object Crosswalk'!C87</f>
        <v>Public</v>
      </c>
      <c r="E329" s="19" t="str">
        <f aca="false">'Object Crosswalk'!D87</f>
        <v>MS-HU</v>
      </c>
      <c r="F329" s="19" t="str">
        <f aca="false">'Object Crosswalk'!E87</f>
        <v>HU-A</v>
      </c>
      <c r="G329" s="9" t="s">
        <v>1209</v>
      </c>
      <c r="H329" s="41" t="n">
        <v>0</v>
      </c>
      <c r="I329" s="50" t="n">
        <f aca="false">'Object Crosswalk'!I87</f>
        <v>0.0633333333333333</v>
      </c>
      <c r="J329" s="50" t="n">
        <f aca="false">H329*I329</f>
        <v>0</v>
      </c>
      <c r="K329" s="32" t="n">
        <f aca="false">0</f>
        <v>0</v>
      </c>
      <c r="L329" s="33" t="n">
        <f aca="false">Controls!B35</f>
        <v>0</v>
      </c>
      <c r="M329" s="33" t="n">
        <f aca="false">Controls!B36</f>
        <v>0</v>
      </c>
      <c r="N329" s="32" t="str">
        <f aca="false">IF(M329&gt;0,"PAID","HELD")</f>
        <v>HELD</v>
      </c>
    </row>
    <row r="330" customFormat="false" ht="15" hidden="false" customHeight="false" outlineLevel="0" collapsed="false">
      <c r="A330" s="19" t="str">
        <f aca="false">"PAY-"&amp;B330&amp;"-TRANSFER"</f>
        <v>PAY-INT-HU-REC-TRANSFER</v>
      </c>
      <c r="B330" s="19" t="str">
        <f aca="false">'Object Crosswalk'!A87</f>
        <v>INT-HU-REC</v>
      </c>
      <c r="C330" s="19" t="str">
        <f aca="false">'Object Crosswalk'!B87</f>
        <v>Station integration</v>
      </c>
      <c r="D330" s="19" t="str">
        <f aca="false">'Object Crosswalk'!C87</f>
        <v>Public</v>
      </c>
      <c r="E330" s="19" t="str">
        <f aca="false">'Object Crosswalk'!D87</f>
        <v>MS-HU</v>
      </c>
      <c r="F330" s="19" t="str">
        <f aca="false">'Object Crosswalk'!E87</f>
        <v>HU-A</v>
      </c>
      <c r="G330" s="9" t="s">
        <v>1210</v>
      </c>
      <c r="H330" s="41" t="n">
        <v>0.25</v>
      </c>
      <c r="I330" s="50" t="n">
        <f aca="false">'Object Crosswalk'!I87</f>
        <v>0.0633333333333333</v>
      </c>
      <c r="J330" s="50" t="n">
        <f aca="false">H330*I330</f>
        <v>0.0158333333333333</v>
      </c>
      <c r="K330" s="32" t="n">
        <f aca="false">0</f>
        <v>0</v>
      </c>
      <c r="L330" s="33" t="n">
        <f aca="false">Controls!B35</f>
        <v>0</v>
      </c>
      <c r="M330" s="33" t="n">
        <f aca="false">Controls!B36</f>
        <v>0</v>
      </c>
      <c r="N330" s="32" t="str">
        <f aca="false">IF(M330&gt;0,"PAID","HELD")</f>
        <v>HELD</v>
      </c>
    </row>
    <row r="331" customFormat="false" ht="15" hidden="false" customHeight="false" outlineLevel="0" collapsed="false">
      <c r="A331" s="19" t="str">
        <f aca="false">"PAY-"&amp;B331&amp;"-FRAME"</f>
        <v>PAY-RIG-RT-CHA-FRAME</v>
      </c>
      <c r="B331" s="19" t="str">
        <f aca="false">'Object Crosswalk'!A88</f>
        <v>RIG-RT-CHA</v>
      </c>
      <c r="C331" s="19" t="str">
        <f aca="false">'Object Crosswalk'!B88</f>
        <v>Root-native rig</v>
      </c>
      <c r="D331" s="19" t="str">
        <f aca="false">'Object Crosswalk'!C88</f>
        <v>Public</v>
      </c>
      <c r="E331" s="19" t="str">
        <f aca="false">'Object Crosswalk'!D88</f>
        <v>MS-RT</v>
      </c>
      <c r="F331" s="19" t="str">
        <f aca="false">'Object Crosswalk'!E88</f>
        <v>RT-B</v>
      </c>
      <c r="G331" s="9" t="s">
        <v>543</v>
      </c>
      <c r="H331" s="41" t="n">
        <v>0.25</v>
      </c>
      <c r="I331" s="50" t="n">
        <f aca="false">'Object Crosswalk'!I88</f>
        <v>0.316666666666667</v>
      </c>
      <c r="J331" s="50" t="n">
        <f aca="false">H331*I331</f>
        <v>0.0791666666666667</v>
      </c>
      <c r="K331" s="32" t="n">
        <f aca="false">0</f>
        <v>0</v>
      </c>
      <c r="L331" s="33" t="n">
        <f aca="false">Controls!B35</f>
        <v>0</v>
      </c>
      <c r="M331" s="33" t="n">
        <f aca="false">Controls!B36</f>
        <v>0</v>
      </c>
      <c r="N331" s="32" t="str">
        <f aca="false">IF(M331&gt;0,"PAID","HELD")</f>
        <v>HELD</v>
      </c>
    </row>
    <row r="332" customFormat="false" ht="15" hidden="false" customHeight="false" outlineLevel="0" collapsed="false">
      <c r="A332" s="19" t="str">
        <f aca="false">"PAY-"&amp;B332&amp;"-MAKE"</f>
        <v>PAY-RIG-RT-CHA-MAKE</v>
      </c>
      <c r="B332" s="19" t="str">
        <f aca="false">'Object Crosswalk'!A88</f>
        <v>RIG-RT-CHA</v>
      </c>
      <c r="C332" s="19" t="str">
        <f aca="false">'Object Crosswalk'!B88</f>
        <v>Root-native rig</v>
      </c>
      <c r="D332" s="19" t="str">
        <f aca="false">'Object Crosswalk'!C88</f>
        <v>Public</v>
      </c>
      <c r="E332" s="19" t="str">
        <f aca="false">'Object Crosswalk'!D88</f>
        <v>MS-RT</v>
      </c>
      <c r="F332" s="19" t="str">
        <f aca="false">'Object Crosswalk'!E88</f>
        <v>RT-B</v>
      </c>
      <c r="G332" s="9" t="s">
        <v>546</v>
      </c>
      <c r="H332" s="41" t="n">
        <v>0.5</v>
      </c>
      <c r="I332" s="50" t="n">
        <f aca="false">'Object Crosswalk'!I88</f>
        <v>0.316666666666667</v>
      </c>
      <c r="J332" s="50" t="n">
        <f aca="false">H332*I332</f>
        <v>0.158333333333333</v>
      </c>
      <c r="K332" s="32" t="n">
        <f aca="false">0</f>
        <v>0</v>
      </c>
      <c r="L332" s="33" t="n">
        <f aca="false">Controls!B35</f>
        <v>0</v>
      </c>
      <c r="M332" s="33" t="n">
        <f aca="false">Controls!B36</f>
        <v>0</v>
      </c>
      <c r="N332" s="32" t="str">
        <f aca="false">IF(M332&gt;0,"PAID","HELD")</f>
        <v>HELD</v>
      </c>
    </row>
    <row r="333" customFormat="false" ht="15" hidden="false" customHeight="false" outlineLevel="0" collapsed="false">
      <c r="A333" s="19" t="str">
        <f aca="false">"PAY-"&amp;B333&amp;"-BREAK"</f>
        <v>PAY-RIG-RT-CHA-BREAK</v>
      </c>
      <c r="B333" s="19" t="str">
        <f aca="false">'Object Crosswalk'!A88</f>
        <v>RIG-RT-CHA</v>
      </c>
      <c r="C333" s="19" t="str">
        <f aca="false">'Object Crosswalk'!B88</f>
        <v>Root-native rig</v>
      </c>
      <c r="D333" s="19" t="str">
        <f aca="false">'Object Crosswalk'!C88</f>
        <v>Public</v>
      </c>
      <c r="E333" s="19" t="str">
        <f aca="false">'Object Crosswalk'!D88</f>
        <v>MS-RT</v>
      </c>
      <c r="F333" s="19" t="str">
        <f aca="false">'Object Crosswalk'!E88</f>
        <v>RT-B</v>
      </c>
      <c r="G333" s="9" t="s">
        <v>1209</v>
      </c>
      <c r="H333" s="41" t="n">
        <v>0</v>
      </c>
      <c r="I333" s="50" t="n">
        <f aca="false">'Object Crosswalk'!I88</f>
        <v>0.316666666666667</v>
      </c>
      <c r="J333" s="50" t="n">
        <f aca="false">H333*I333</f>
        <v>0</v>
      </c>
      <c r="K333" s="32" t="n">
        <f aca="false">0</f>
        <v>0</v>
      </c>
      <c r="L333" s="33" t="n">
        <f aca="false">Controls!B35</f>
        <v>0</v>
      </c>
      <c r="M333" s="33" t="n">
        <f aca="false">Controls!B36</f>
        <v>0</v>
      </c>
      <c r="N333" s="32" t="str">
        <f aca="false">IF(M333&gt;0,"PAID","HELD")</f>
        <v>HELD</v>
      </c>
    </row>
    <row r="334" customFormat="false" ht="15" hidden="false" customHeight="false" outlineLevel="0" collapsed="false">
      <c r="A334" s="19" t="str">
        <f aca="false">"PAY-"&amp;B334&amp;"-TRANSFER"</f>
        <v>PAY-RIG-RT-CHA-TRANSFER</v>
      </c>
      <c r="B334" s="19" t="str">
        <f aca="false">'Object Crosswalk'!A88</f>
        <v>RIG-RT-CHA</v>
      </c>
      <c r="C334" s="19" t="str">
        <f aca="false">'Object Crosswalk'!B88</f>
        <v>Root-native rig</v>
      </c>
      <c r="D334" s="19" t="str">
        <f aca="false">'Object Crosswalk'!C88</f>
        <v>Public</v>
      </c>
      <c r="E334" s="19" t="str">
        <f aca="false">'Object Crosswalk'!D88</f>
        <v>MS-RT</v>
      </c>
      <c r="F334" s="19" t="str">
        <f aca="false">'Object Crosswalk'!E88</f>
        <v>RT-B</v>
      </c>
      <c r="G334" s="9" t="s">
        <v>1210</v>
      </c>
      <c r="H334" s="41" t="n">
        <v>0.25</v>
      </c>
      <c r="I334" s="50" t="n">
        <f aca="false">'Object Crosswalk'!I88</f>
        <v>0.316666666666667</v>
      </c>
      <c r="J334" s="50" t="n">
        <f aca="false">H334*I334</f>
        <v>0.0791666666666667</v>
      </c>
      <c r="K334" s="32" t="n">
        <f aca="false">0</f>
        <v>0</v>
      </c>
      <c r="L334" s="33" t="n">
        <f aca="false">Controls!B35</f>
        <v>0</v>
      </c>
      <c r="M334" s="33" t="n">
        <f aca="false">Controls!B36</f>
        <v>0</v>
      </c>
      <c r="N334" s="32" t="str">
        <f aca="false">IF(M334&gt;0,"PAID","HELD")</f>
        <v>HELD</v>
      </c>
    </row>
    <row r="335" customFormat="false" ht="15" hidden="false" customHeight="false" outlineLevel="0" collapsed="false">
      <c r="A335" s="19" t="str">
        <f aca="false">"PAY-"&amp;B335&amp;"-FRAME"</f>
        <v>PAY-MTH-RT-CHA-L1-FRAME</v>
      </c>
      <c r="B335" s="19" t="str">
        <f aca="false">'Object Crosswalk'!A89</f>
        <v>MTH-RT-CHA-L1</v>
      </c>
      <c r="C335" s="19" t="str">
        <f aca="false">'Object Crosswalk'!B89</f>
        <v>Method lineage</v>
      </c>
      <c r="D335" s="19" t="str">
        <f aca="false">'Object Crosswalk'!C89</f>
        <v>Public</v>
      </c>
      <c r="E335" s="19" t="str">
        <f aca="false">'Object Crosswalk'!D89</f>
        <v>MS-RT</v>
      </c>
      <c r="F335" s="19" t="str">
        <f aca="false">'Object Crosswalk'!E89</f>
        <v>RT-B</v>
      </c>
      <c r="G335" s="9" t="s">
        <v>543</v>
      </c>
      <c r="H335" s="41" t="n">
        <v>0.25</v>
      </c>
      <c r="I335" s="50" t="n">
        <f aca="false">'Object Crosswalk'!I89</f>
        <v>0.09</v>
      </c>
      <c r="J335" s="50" t="n">
        <f aca="false">H335*I335</f>
        <v>0.0225</v>
      </c>
      <c r="K335" s="32" t="n">
        <f aca="false">0</f>
        <v>0</v>
      </c>
      <c r="L335" s="33" t="n">
        <f aca="false">Controls!B35</f>
        <v>0</v>
      </c>
      <c r="M335" s="33" t="n">
        <f aca="false">Controls!B36</f>
        <v>0</v>
      </c>
      <c r="N335" s="32" t="str">
        <f aca="false">IF(M335&gt;0,"PAID","HELD")</f>
        <v>HELD</v>
      </c>
    </row>
    <row r="336" customFormat="false" ht="15" hidden="false" customHeight="false" outlineLevel="0" collapsed="false">
      <c r="A336" s="19" t="str">
        <f aca="false">"PAY-"&amp;B336&amp;"-MAKE"</f>
        <v>PAY-MTH-RT-CHA-L1-MAKE</v>
      </c>
      <c r="B336" s="19" t="str">
        <f aca="false">'Object Crosswalk'!A89</f>
        <v>MTH-RT-CHA-L1</v>
      </c>
      <c r="C336" s="19" t="str">
        <f aca="false">'Object Crosswalk'!B89</f>
        <v>Method lineage</v>
      </c>
      <c r="D336" s="19" t="str">
        <f aca="false">'Object Crosswalk'!C89</f>
        <v>Public</v>
      </c>
      <c r="E336" s="19" t="str">
        <f aca="false">'Object Crosswalk'!D89</f>
        <v>MS-RT</v>
      </c>
      <c r="F336" s="19" t="str">
        <f aca="false">'Object Crosswalk'!E89</f>
        <v>RT-B</v>
      </c>
      <c r="G336" s="9" t="s">
        <v>546</v>
      </c>
      <c r="H336" s="41" t="n">
        <v>0.5</v>
      </c>
      <c r="I336" s="50" t="n">
        <f aca="false">'Object Crosswalk'!I89</f>
        <v>0.09</v>
      </c>
      <c r="J336" s="50" t="n">
        <f aca="false">H336*I336</f>
        <v>0.045</v>
      </c>
      <c r="K336" s="32" t="n">
        <f aca="false">0</f>
        <v>0</v>
      </c>
      <c r="L336" s="33" t="n">
        <f aca="false">Controls!B35</f>
        <v>0</v>
      </c>
      <c r="M336" s="33" t="n">
        <f aca="false">Controls!B36</f>
        <v>0</v>
      </c>
      <c r="N336" s="32" t="str">
        <f aca="false">IF(M336&gt;0,"PAID","HELD")</f>
        <v>HELD</v>
      </c>
    </row>
    <row r="337" customFormat="false" ht="15" hidden="false" customHeight="false" outlineLevel="0" collapsed="false">
      <c r="A337" s="19" t="str">
        <f aca="false">"PAY-"&amp;B337&amp;"-BREAK"</f>
        <v>PAY-MTH-RT-CHA-L1-BREAK</v>
      </c>
      <c r="B337" s="19" t="str">
        <f aca="false">'Object Crosswalk'!A89</f>
        <v>MTH-RT-CHA-L1</v>
      </c>
      <c r="C337" s="19" t="str">
        <f aca="false">'Object Crosswalk'!B89</f>
        <v>Method lineage</v>
      </c>
      <c r="D337" s="19" t="str">
        <f aca="false">'Object Crosswalk'!C89</f>
        <v>Public</v>
      </c>
      <c r="E337" s="19" t="str">
        <f aca="false">'Object Crosswalk'!D89</f>
        <v>MS-RT</v>
      </c>
      <c r="F337" s="19" t="str">
        <f aca="false">'Object Crosswalk'!E89</f>
        <v>RT-B</v>
      </c>
      <c r="G337" s="9" t="s">
        <v>1209</v>
      </c>
      <c r="H337" s="41" t="n">
        <v>0</v>
      </c>
      <c r="I337" s="50" t="n">
        <f aca="false">'Object Crosswalk'!I89</f>
        <v>0.09</v>
      </c>
      <c r="J337" s="50" t="n">
        <f aca="false">H337*I337</f>
        <v>0</v>
      </c>
      <c r="K337" s="32" t="n">
        <f aca="false">0</f>
        <v>0</v>
      </c>
      <c r="L337" s="33" t="n">
        <f aca="false">Controls!B35</f>
        <v>0</v>
      </c>
      <c r="M337" s="33" t="n">
        <f aca="false">Controls!B36</f>
        <v>0</v>
      </c>
      <c r="N337" s="32" t="str">
        <f aca="false">IF(M337&gt;0,"PAID","HELD")</f>
        <v>HELD</v>
      </c>
    </row>
    <row r="338" customFormat="false" ht="15" hidden="false" customHeight="false" outlineLevel="0" collapsed="false">
      <c r="A338" s="19" t="str">
        <f aca="false">"PAY-"&amp;B338&amp;"-TRANSFER"</f>
        <v>PAY-MTH-RT-CHA-L1-TRANSFER</v>
      </c>
      <c r="B338" s="19" t="str">
        <f aca="false">'Object Crosswalk'!A89</f>
        <v>MTH-RT-CHA-L1</v>
      </c>
      <c r="C338" s="19" t="str">
        <f aca="false">'Object Crosswalk'!B89</f>
        <v>Method lineage</v>
      </c>
      <c r="D338" s="19" t="str">
        <f aca="false">'Object Crosswalk'!C89</f>
        <v>Public</v>
      </c>
      <c r="E338" s="19" t="str">
        <f aca="false">'Object Crosswalk'!D89</f>
        <v>MS-RT</v>
      </c>
      <c r="F338" s="19" t="str">
        <f aca="false">'Object Crosswalk'!E89</f>
        <v>RT-B</v>
      </c>
      <c r="G338" s="9" t="s">
        <v>1210</v>
      </c>
      <c r="H338" s="41" t="n">
        <v>0.25</v>
      </c>
      <c r="I338" s="50" t="n">
        <f aca="false">'Object Crosswalk'!I89</f>
        <v>0.09</v>
      </c>
      <c r="J338" s="50" t="n">
        <f aca="false">H338*I338</f>
        <v>0.0225</v>
      </c>
      <c r="K338" s="32" t="n">
        <f aca="false">0</f>
        <v>0</v>
      </c>
      <c r="L338" s="33" t="n">
        <f aca="false">Controls!B35</f>
        <v>0</v>
      </c>
      <c r="M338" s="33" t="n">
        <f aca="false">Controls!B36</f>
        <v>0</v>
      </c>
      <c r="N338" s="32" t="str">
        <f aca="false">IF(M338&gt;0,"PAID","HELD")</f>
        <v>HELD</v>
      </c>
    </row>
    <row r="339" customFormat="false" ht="15" hidden="false" customHeight="false" outlineLevel="0" collapsed="false">
      <c r="A339" s="19" t="str">
        <f aca="false">"PAY-"&amp;B339&amp;"-FRAME"</f>
        <v>PAY-MTH-RT-CHA-L2-FRAME</v>
      </c>
      <c r="B339" s="19" t="str">
        <f aca="false">'Object Crosswalk'!A90</f>
        <v>MTH-RT-CHA-L2</v>
      </c>
      <c r="C339" s="19" t="str">
        <f aca="false">'Object Crosswalk'!B90</f>
        <v>Method lineage</v>
      </c>
      <c r="D339" s="19" t="str">
        <f aca="false">'Object Crosswalk'!C90</f>
        <v>Public</v>
      </c>
      <c r="E339" s="19" t="str">
        <f aca="false">'Object Crosswalk'!D90</f>
        <v>MS-RT</v>
      </c>
      <c r="F339" s="19" t="str">
        <f aca="false">'Object Crosswalk'!E90</f>
        <v>RT-B</v>
      </c>
      <c r="G339" s="9" t="s">
        <v>543</v>
      </c>
      <c r="H339" s="41" t="n">
        <v>0.25</v>
      </c>
      <c r="I339" s="50" t="n">
        <f aca="false">'Object Crosswalk'!I90</f>
        <v>0.09</v>
      </c>
      <c r="J339" s="50" t="n">
        <f aca="false">H339*I339</f>
        <v>0.0225</v>
      </c>
      <c r="K339" s="32" t="n">
        <f aca="false">0</f>
        <v>0</v>
      </c>
      <c r="L339" s="33" t="n">
        <f aca="false">Controls!B35</f>
        <v>0</v>
      </c>
      <c r="M339" s="33" t="n">
        <f aca="false">Controls!B36</f>
        <v>0</v>
      </c>
      <c r="N339" s="32" t="str">
        <f aca="false">IF(M339&gt;0,"PAID","HELD")</f>
        <v>HELD</v>
      </c>
    </row>
    <row r="340" customFormat="false" ht="15" hidden="false" customHeight="false" outlineLevel="0" collapsed="false">
      <c r="A340" s="19" t="str">
        <f aca="false">"PAY-"&amp;B340&amp;"-MAKE"</f>
        <v>PAY-MTH-RT-CHA-L2-MAKE</v>
      </c>
      <c r="B340" s="19" t="str">
        <f aca="false">'Object Crosswalk'!A90</f>
        <v>MTH-RT-CHA-L2</v>
      </c>
      <c r="C340" s="19" t="str">
        <f aca="false">'Object Crosswalk'!B90</f>
        <v>Method lineage</v>
      </c>
      <c r="D340" s="19" t="str">
        <f aca="false">'Object Crosswalk'!C90</f>
        <v>Public</v>
      </c>
      <c r="E340" s="19" t="str">
        <f aca="false">'Object Crosswalk'!D90</f>
        <v>MS-RT</v>
      </c>
      <c r="F340" s="19" t="str">
        <f aca="false">'Object Crosswalk'!E90</f>
        <v>RT-B</v>
      </c>
      <c r="G340" s="9" t="s">
        <v>546</v>
      </c>
      <c r="H340" s="41" t="n">
        <v>0.5</v>
      </c>
      <c r="I340" s="50" t="n">
        <f aca="false">'Object Crosswalk'!I90</f>
        <v>0.09</v>
      </c>
      <c r="J340" s="50" t="n">
        <f aca="false">H340*I340</f>
        <v>0.045</v>
      </c>
      <c r="K340" s="32" t="n">
        <f aca="false">0</f>
        <v>0</v>
      </c>
      <c r="L340" s="33" t="n">
        <f aca="false">Controls!B35</f>
        <v>0</v>
      </c>
      <c r="M340" s="33" t="n">
        <f aca="false">Controls!B36</f>
        <v>0</v>
      </c>
      <c r="N340" s="32" t="str">
        <f aca="false">IF(M340&gt;0,"PAID","HELD")</f>
        <v>HELD</v>
      </c>
    </row>
    <row r="341" customFormat="false" ht="15" hidden="false" customHeight="false" outlineLevel="0" collapsed="false">
      <c r="A341" s="19" t="str">
        <f aca="false">"PAY-"&amp;B341&amp;"-BREAK"</f>
        <v>PAY-MTH-RT-CHA-L2-BREAK</v>
      </c>
      <c r="B341" s="19" t="str">
        <f aca="false">'Object Crosswalk'!A90</f>
        <v>MTH-RT-CHA-L2</v>
      </c>
      <c r="C341" s="19" t="str">
        <f aca="false">'Object Crosswalk'!B90</f>
        <v>Method lineage</v>
      </c>
      <c r="D341" s="19" t="str">
        <f aca="false">'Object Crosswalk'!C90</f>
        <v>Public</v>
      </c>
      <c r="E341" s="19" t="str">
        <f aca="false">'Object Crosswalk'!D90</f>
        <v>MS-RT</v>
      </c>
      <c r="F341" s="19" t="str">
        <f aca="false">'Object Crosswalk'!E90</f>
        <v>RT-B</v>
      </c>
      <c r="G341" s="9" t="s">
        <v>1209</v>
      </c>
      <c r="H341" s="41" t="n">
        <v>0</v>
      </c>
      <c r="I341" s="50" t="n">
        <f aca="false">'Object Crosswalk'!I90</f>
        <v>0.09</v>
      </c>
      <c r="J341" s="50" t="n">
        <f aca="false">H341*I341</f>
        <v>0</v>
      </c>
      <c r="K341" s="32" t="n">
        <f aca="false">0</f>
        <v>0</v>
      </c>
      <c r="L341" s="33" t="n">
        <f aca="false">Controls!B35</f>
        <v>0</v>
      </c>
      <c r="M341" s="33" t="n">
        <f aca="false">Controls!B36</f>
        <v>0</v>
      </c>
      <c r="N341" s="32" t="str">
        <f aca="false">IF(M341&gt;0,"PAID","HELD")</f>
        <v>HELD</v>
      </c>
    </row>
    <row r="342" customFormat="false" ht="15" hidden="false" customHeight="false" outlineLevel="0" collapsed="false">
      <c r="A342" s="19" t="str">
        <f aca="false">"PAY-"&amp;B342&amp;"-TRANSFER"</f>
        <v>PAY-MTH-RT-CHA-L2-TRANSFER</v>
      </c>
      <c r="B342" s="19" t="str">
        <f aca="false">'Object Crosswalk'!A90</f>
        <v>MTH-RT-CHA-L2</v>
      </c>
      <c r="C342" s="19" t="str">
        <f aca="false">'Object Crosswalk'!B90</f>
        <v>Method lineage</v>
      </c>
      <c r="D342" s="19" t="str">
        <f aca="false">'Object Crosswalk'!C90</f>
        <v>Public</v>
      </c>
      <c r="E342" s="19" t="str">
        <f aca="false">'Object Crosswalk'!D90</f>
        <v>MS-RT</v>
      </c>
      <c r="F342" s="19" t="str">
        <f aca="false">'Object Crosswalk'!E90</f>
        <v>RT-B</v>
      </c>
      <c r="G342" s="9" t="s">
        <v>1210</v>
      </c>
      <c r="H342" s="41" t="n">
        <v>0.25</v>
      </c>
      <c r="I342" s="50" t="n">
        <f aca="false">'Object Crosswalk'!I90</f>
        <v>0.09</v>
      </c>
      <c r="J342" s="50" t="n">
        <f aca="false">H342*I342</f>
        <v>0.0225</v>
      </c>
      <c r="K342" s="32" t="n">
        <f aca="false">0</f>
        <v>0</v>
      </c>
      <c r="L342" s="33" t="n">
        <f aca="false">Controls!B35</f>
        <v>0</v>
      </c>
      <c r="M342" s="33" t="n">
        <f aca="false">Controls!B36</f>
        <v>0</v>
      </c>
      <c r="N342" s="32" t="str">
        <f aca="false">IF(M342&gt;0,"PAID","HELD")</f>
        <v>HELD</v>
      </c>
    </row>
    <row r="343" customFormat="false" ht="15" hidden="false" customHeight="false" outlineLevel="0" collapsed="false">
      <c r="A343" s="19" t="str">
        <f aca="false">"PAY-"&amp;B343&amp;"-FRAME"</f>
        <v>PAY-REG-RT-CHA-FRAME</v>
      </c>
      <c r="B343" s="19" t="str">
        <f aca="false">'Object Crosswalk'!A91</f>
        <v>REG-RT-CHA</v>
      </c>
      <c r="C343" s="19" t="str">
        <f aca="false">'Object Crosswalk'!B91</f>
        <v>Regeneration tool</v>
      </c>
      <c r="D343" s="19" t="str">
        <f aca="false">'Object Crosswalk'!C91</f>
        <v>Public</v>
      </c>
      <c r="E343" s="19" t="str">
        <f aca="false">'Object Crosswalk'!D91</f>
        <v>MS-RT</v>
      </c>
      <c r="F343" s="19" t="str">
        <f aca="false">'Object Crosswalk'!E91</f>
        <v>RT-B</v>
      </c>
      <c r="G343" s="9" t="s">
        <v>543</v>
      </c>
      <c r="H343" s="41" t="n">
        <v>0.25</v>
      </c>
      <c r="I343" s="50" t="n">
        <f aca="false">'Object Crosswalk'!I91</f>
        <v>0.0666666666666667</v>
      </c>
      <c r="J343" s="50" t="n">
        <f aca="false">H343*I343</f>
        <v>0.0166666666666667</v>
      </c>
      <c r="K343" s="32" t="n">
        <f aca="false">0</f>
        <v>0</v>
      </c>
      <c r="L343" s="33" t="n">
        <f aca="false">Controls!B35</f>
        <v>0</v>
      </c>
      <c r="M343" s="33" t="n">
        <f aca="false">Controls!B36</f>
        <v>0</v>
      </c>
      <c r="N343" s="32" t="str">
        <f aca="false">IF(M343&gt;0,"PAID","HELD")</f>
        <v>HELD</v>
      </c>
    </row>
    <row r="344" customFormat="false" ht="15" hidden="false" customHeight="false" outlineLevel="0" collapsed="false">
      <c r="A344" s="19" t="str">
        <f aca="false">"PAY-"&amp;B344&amp;"-MAKE"</f>
        <v>PAY-REG-RT-CHA-MAKE</v>
      </c>
      <c r="B344" s="19" t="str">
        <f aca="false">'Object Crosswalk'!A91</f>
        <v>REG-RT-CHA</v>
      </c>
      <c r="C344" s="19" t="str">
        <f aca="false">'Object Crosswalk'!B91</f>
        <v>Regeneration tool</v>
      </c>
      <c r="D344" s="19" t="str">
        <f aca="false">'Object Crosswalk'!C91</f>
        <v>Public</v>
      </c>
      <c r="E344" s="19" t="str">
        <f aca="false">'Object Crosswalk'!D91</f>
        <v>MS-RT</v>
      </c>
      <c r="F344" s="19" t="str">
        <f aca="false">'Object Crosswalk'!E91</f>
        <v>RT-B</v>
      </c>
      <c r="G344" s="9" t="s">
        <v>546</v>
      </c>
      <c r="H344" s="41" t="n">
        <v>0.5</v>
      </c>
      <c r="I344" s="50" t="n">
        <f aca="false">'Object Crosswalk'!I91</f>
        <v>0.0666666666666667</v>
      </c>
      <c r="J344" s="50" t="n">
        <f aca="false">H344*I344</f>
        <v>0.0333333333333333</v>
      </c>
      <c r="K344" s="32" t="n">
        <f aca="false">0</f>
        <v>0</v>
      </c>
      <c r="L344" s="33" t="n">
        <f aca="false">Controls!B35</f>
        <v>0</v>
      </c>
      <c r="M344" s="33" t="n">
        <f aca="false">Controls!B36</f>
        <v>0</v>
      </c>
      <c r="N344" s="32" t="str">
        <f aca="false">IF(M344&gt;0,"PAID","HELD")</f>
        <v>HELD</v>
      </c>
    </row>
    <row r="345" customFormat="false" ht="15" hidden="false" customHeight="false" outlineLevel="0" collapsed="false">
      <c r="A345" s="19" t="str">
        <f aca="false">"PAY-"&amp;B345&amp;"-BREAK"</f>
        <v>PAY-REG-RT-CHA-BREAK</v>
      </c>
      <c r="B345" s="19" t="str">
        <f aca="false">'Object Crosswalk'!A91</f>
        <v>REG-RT-CHA</v>
      </c>
      <c r="C345" s="19" t="str">
        <f aca="false">'Object Crosswalk'!B91</f>
        <v>Regeneration tool</v>
      </c>
      <c r="D345" s="19" t="str">
        <f aca="false">'Object Crosswalk'!C91</f>
        <v>Public</v>
      </c>
      <c r="E345" s="19" t="str">
        <f aca="false">'Object Crosswalk'!D91</f>
        <v>MS-RT</v>
      </c>
      <c r="F345" s="19" t="str">
        <f aca="false">'Object Crosswalk'!E91</f>
        <v>RT-B</v>
      </c>
      <c r="G345" s="9" t="s">
        <v>1209</v>
      </c>
      <c r="H345" s="41" t="n">
        <v>0</v>
      </c>
      <c r="I345" s="50" t="n">
        <f aca="false">'Object Crosswalk'!I91</f>
        <v>0.0666666666666667</v>
      </c>
      <c r="J345" s="50" t="n">
        <f aca="false">H345*I345</f>
        <v>0</v>
      </c>
      <c r="K345" s="32" t="n">
        <f aca="false">0</f>
        <v>0</v>
      </c>
      <c r="L345" s="33" t="n">
        <f aca="false">Controls!B35</f>
        <v>0</v>
      </c>
      <c r="M345" s="33" t="n">
        <f aca="false">Controls!B36</f>
        <v>0</v>
      </c>
      <c r="N345" s="32" t="str">
        <f aca="false">IF(M345&gt;0,"PAID","HELD")</f>
        <v>HELD</v>
      </c>
    </row>
    <row r="346" customFormat="false" ht="15" hidden="false" customHeight="false" outlineLevel="0" collapsed="false">
      <c r="A346" s="19" t="str">
        <f aca="false">"PAY-"&amp;B346&amp;"-TRANSFER"</f>
        <v>PAY-REG-RT-CHA-TRANSFER</v>
      </c>
      <c r="B346" s="19" t="str">
        <f aca="false">'Object Crosswalk'!A91</f>
        <v>REG-RT-CHA</v>
      </c>
      <c r="C346" s="19" t="str">
        <f aca="false">'Object Crosswalk'!B91</f>
        <v>Regeneration tool</v>
      </c>
      <c r="D346" s="19" t="str">
        <f aca="false">'Object Crosswalk'!C91</f>
        <v>Public</v>
      </c>
      <c r="E346" s="19" t="str">
        <f aca="false">'Object Crosswalk'!D91</f>
        <v>MS-RT</v>
      </c>
      <c r="F346" s="19" t="str">
        <f aca="false">'Object Crosswalk'!E91</f>
        <v>RT-B</v>
      </c>
      <c r="G346" s="9" t="s">
        <v>1210</v>
      </c>
      <c r="H346" s="41" t="n">
        <v>0.25</v>
      </c>
      <c r="I346" s="50" t="n">
        <f aca="false">'Object Crosswalk'!I91</f>
        <v>0.0666666666666667</v>
      </c>
      <c r="J346" s="50" t="n">
        <f aca="false">H346*I346</f>
        <v>0.0166666666666667</v>
      </c>
      <c r="K346" s="32" t="n">
        <f aca="false">0</f>
        <v>0</v>
      </c>
      <c r="L346" s="33" t="n">
        <f aca="false">Controls!B35</f>
        <v>0</v>
      </c>
      <c r="M346" s="33" t="n">
        <f aca="false">Controls!B36</f>
        <v>0</v>
      </c>
      <c r="N346" s="32" t="str">
        <f aca="false">IF(M346&gt;0,"PAID","HELD")</f>
        <v>HELD</v>
      </c>
    </row>
    <row r="347" customFormat="false" ht="15" hidden="false" customHeight="false" outlineLevel="0" collapsed="false">
      <c r="A347" s="19" t="str">
        <f aca="false">"PAY-"&amp;B347&amp;"-FRAME"</f>
        <v>PAY-INT-RT-CHA-FRAME</v>
      </c>
      <c r="B347" s="19" t="str">
        <f aca="false">'Object Crosswalk'!A92</f>
        <v>INT-RT-CHA</v>
      </c>
      <c r="C347" s="19" t="str">
        <f aca="false">'Object Crosswalk'!B92</f>
        <v>Station integration</v>
      </c>
      <c r="D347" s="19" t="str">
        <f aca="false">'Object Crosswalk'!C92</f>
        <v>Public</v>
      </c>
      <c r="E347" s="19" t="str">
        <f aca="false">'Object Crosswalk'!D92</f>
        <v>MS-RT</v>
      </c>
      <c r="F347" s="19" t="str">
        <f aca="false">'Object Crosswalk'!E92</f>
        <v>RT-B</v>
      </c>
      <c r="G347" s="9" t="s">
        <v>543</v>
      </c>
      <c r="H347" s="41" t="n">
        <v>0.25</v>
      </c>
      <c r="I347" s="50" t="n">
        <f aca="false">'Object Crosswalk'!I92</f>
        <v>0.0633333333333333</v>
      </c>
      <c r="J347" s="50" t="n">
        <f aca="false">H347*I347</f>
        <v>0.0158333333333333</v>
      </c>
      <c r="K347" s="32" t="n">
        <f aca="false">0</f>
        <v>0</v>
      </c>
      <c r="L347" s="33" t="n">
        <f aca="false">Controls!B35</f>
        <v>0</v>
      </c>
      <c r="M347" s="33" t="n">
        <f aca="false">Controls!B36</f>
        <v>0</v>
      </c>
      <c r="N347" s="32" t="str">
        <f aca="false">IF(M347&gt;0,"PAID","HELD")</f>
        <v>HELD</v>
      </c>
    </row>
    <row r="348" customFormat="false" ht="15" hidden="false" customHeight="false" outlineLevel="0" collapsed="false">
      <c r="A348" s="19" t="str">
        <f aca="false">"PAY-"&amp;B348&amp;"-MAKE"</f>
        <v>PAY-INT-RT-CHA-MAKE</v>
      </c>
      <c r="B348" s="19" t="str">
        <f aca="false">'Object Crosswalk'!A92</f>
        <v>INT-RT-CHA</v>
      </c>
      <c r="C348" s="19" t="str">
        <f aca="false">'Object Crosswalk'!B92</f>
        <v>Station integration</v>
      </c>
      <c r="D348" s="19" t="str">
        <f aca="false">'Object Crosswalk'!C92</f>
        <v>Public</v>
      </c>
      <c r="E348" s="19" t="str">
        <f aca="false">'Object Crosswalk'!D92</f>
        <v>MS-RT</v>
      </c>
      <c r="F348" s="19" t="str">
        <f aca="false">'Object Crosswalk'!E92</f>
        <v>RT-B</v>
      </c>
      <c r="G348" s="9" t="s">
        <v>546</v>
      </c>
      <c r="H348" s="41" t="n">
        <v>0.5</v>
      </c>
      <c r="I348" s="50" t="n">
        <f aca="false">'Object Crosswalk'!I92</f>
        <v>0.0633333333333333</v>
      </c>
      <c r="J348" s="50" t="n">
        <f aca="false">H348*I348</f>
        <v>0.0316666666666667</v>
      </c>
      <c r="K348" s="32" t="n">
        <f aca="false">0</f>
        <v>0</v>
      </c>
      <c r="L348" s="33" t="n">
        <f aca="false">Controls!B35</f>
        <v>0</v>
      </c>
      <c r="M348" s="33" t="n">
        <f aca="false">Controls!B36</f>
        <v>0</v>
      </c>
      <c r="N348" s="32" t="str">
        <f aca="false">IF(M348&gt;0,"PAID","HELD")</f>
        <v>HELD</v>
      </c>
    </row>
    <row r="349" customFormat="false" ht="15" hidden="false" customHeight="false" outlineLevel="0" collapsed="false">
      <c r="A349" s="19" t="str">
        <f aca="false">"PAY-"&amp;B349&amp;"-BREAK"</f>
        <v>PAY-INT-RT-CHA-BREAK</v>
      </c>
      <c r="B349" s="19" t="str">
        <f aca="false">'Object Crosswalk'!A92</f>
        <v>INT-RT-CHA</v>
      </c>
      <c r="C349" s="19" t="str">
        <f aca="false">'Object Crosswalk'!B92</f>
        <v>Station integration</v>
      </c>
      <c r="D349" s="19" t="str">
        <f aca="false">'Object Crosswalk'!C92</f>
        <v>Public</v>
      </c>
      <c r="E349" s="19" t="str">
        <f aca="false">'Object Crosswalk'!D92</f>
        <v>MS-RT</v>
      </c>
      <c r="F349" s="19" t="str">
        <f aca="false">'Object Crosswalk'!E92</f>
        <v>RT-B</v>
      </c>
      <c r="G349" s="9" t="s">
        <v>1209</v>
      </c>
      <c r="H349" s="41" t="n">
        <v>0</v>
      </c>
      <c r="I349" s="50" t="n">
        <f aca="false">'Object Crosswalk'!I92</f>
        <v>0.0633333333333333</v>
      </c>
      <c r="J349" s="50" t="n">
        <f aca="false">H349*I349</f>
        <v>0</v>
      </c>
      <c r="K349" s="32" t="n">
        <f aca="false">0</f>
        <v>0</v>
      </c>
      <c r="L349" s="33" t="n">
        <f aca="false">Controls!B35</f>
        <v>0</v>
      </c>
      <c r="M349" s="33" t="n">
        <f aca="false">Controls!B36</f>
        <v>0</v>
      </c>
      <c r="N349" s="32" t="str">
        <f aca="false">IF(M349&gt;0,"PAID","HELD")</f>
        <v>HELD</v>
      </c>
    </row>
    <row r="350" customFormat="false" ht="15" hidden="false" customHeight="false" outlineLevel="0" collapsed="false">
      <c r="A350" s="19" t="str">
        <f aca="false">"PAY-"&amp;B350&amp;"-TRANSFER"</f>
        <v>PAY-INT-RT-CHA-TRANSFER</v>
      </c>
      <c r="B350" s="19" t="str">
        <f aca="false">'Object Crosswalk'!A92</f>
        <v>INT-RT-CHA</v>
      </c>
      <c r="C350" s="19" t="str">
        <f aca="false">'Object Crosswalk'!B92</f>
        <v>Station integration</v>
      </c>
      <c r="D350" s="19" t="str">
        <f aca="false">'Object Crosswalk'!C92</f>
        <v>Public</v>
      </c>
      <c r="E350" s="19" t="str">
        <f aca="false">'Object Crosswalk'!D92</f>
        <v>MS-RT</v>
      </c>
      <c r="F350" s="19" t="str">
        <f aca="false">'Object Crosswalk'!E92</f>
        <v>RT-B</v>
      </c>
      <c r="G350" s="9" t="s">
        <v>1210</v>
      </c>
      <c r="H350" s="41" t="n">
        <v>0.25</v>
      </c>
      <c r="I350" s="50" t="n">
        <f aca="false">'Object Crosswalk'!I92</f>
        <v>0.0633333333333333</v>
      </c>
      <c r="J350" s="50" t="n">
        <f aca="false">H350*I350</f>
        <v>0.0158333333333333</v>
      </c>
      <c r="K350" s="32" t="n">
        <f aca="false">0</f>
        <v>0</v>
      </c>
      <c r="L350" s="33" t="n">
        <f aca="false">Controls!B35</f>
        <v>0</v>
      </c>
      <c r="M350" s="33" t="n">
        <f aca="false">Controls!B36</f>
        <v>0</v>
      </c>
      <c r="N350" s="32" t="str">
        <f aca="false">IF(M350&gt;0,"PAID","HELD")</f>
        <v>HELD</v>
      </c>
    </row>
    <row r="351" customFormat="false" ht="15" hidden="false" customHeight="false" outlineLevel="0" collapsed="false">
      <c r="A351" s="19" t="str">
        <f aca="false">"PAY-"&amp;B351&amp;"-FRAME"</f>
        <v>PAY-RIG-RT-CON-FRAME</v>
      </c>
      <c r="B351" s="19" t="str">
        <f aca="false">'Object Crosswalk'!A93</f>
        <v>RIG-RT-CON</v>
      </c>
      <c r="C351" s="19" t="str">
        <f aca="false">'Object Crosswalk'!B93</f>
        <v>Root-native rig</v>
      </c>
      <c r="D351" s="19" t="str">
        <f aca="false">'Object Crosswalk'!C93</f>
        <v>Public</v>
      </c>
      <c r="E351" s="19" t="str">
        <f aca="false">'Object Crosswalk'!D93</f>
        <v>MS-RT</v>
      </c>
      <c r="F351" s="19" t="str">
        <f aca="false">'Object Crosswalk'!E93</f>
        <v>RT-B</v>
      </c>
      <c r="G351" s="9" t="s">
        <v>543</v>
      </c>
      <c r="H351" s="41" t="n">
        <v>0.25</v>
      </c>
      <c r="I351" s="50" t="n">
        <f aca="false">'Object Crosswalk'!I93</f>
        <v>0.316666666666667</v>
      </c>
      <c r="J351" s="50" t="n">
        <f aca="false">H351*I351</f>
        <v>0.0791666666666667</v>
      </c>
      <c r="K351" s="32" t="n">
        <f aca="false">0</f>
        <v>0</v>
      </c>
      <c r="L351" s="33" t="n">
        <f aca="false">Controls!B35</f>
        <v>0</v>
      </c>
      <c r="M351" s="33" t="n">
        <f aca="false">Controls!B36</f>
        <v>0</v>
      </c>
      <c r="N351" s="32" t="str">
        <f aca="false">IF(M351&gt;0,"PAID","HELD")</f>
        <v>HELD</v>
      </c>
    </row>
    <row r="352" customFormat="false" ht="15" hidden="false" customHeight="false" outlineLevel="0" collapsed="false">
      <c r="A352" s="19" t="str">
        <f aca="false">"PAY-"&amp;B352&amp;"-MAKE"</f>
        <v>PAY-RIG-RT-CON-MAKE</v>
      </c>
      <c r="B352" s="19" t="str">
        <f aca="false">'Object Crosswalk'!A93</f>
        <v>RIG-RT-CON</v>
      </c>
      <c r="C352" s="19" t="str">
        <f aca="false">'Object Crosswalk'!B93</f>
        <v>Root-native rig</v>
      </c>
      <c r="D352" s="19" t="str">
        <f aca="false">'Object Crosswalk'!C93</f>
        <v>Public</v>
      </c>
      <c r="E352" s="19" t="str">
        <f aca="false">'Object Crosswalk'!D93</f>
        <v>MS-RT</v>
      </c>
      <c r="F352" s="19" t="str">
        <f aca="false">'Object Crosswalk'!E93</f>
        <v>RT-B</v>
      </c>
      <c r="G352" s="9" t="s">
        <v>546</v>
      </c>
      <c r="H352" s="41" t="n">
        <v>0.5</v>
      </c>
      <c r="I352" s="50" t="n">
        <f aca="false">'Object Crosswalk'!I93</f>
        <v>0.316666666666667</v>
      </c>
      <c r="J352" s="50" t="n">
        <f aca="false">H352*I352</f>
        <v>0.158333333333333</v>
      </c>
      <c r="K352" s="32" t="n">
        <f aca="false">0</f>
        <v>0</v>
      </c>
      <c r="L352" s="33" t="n">
        <f aca="false">Controls!B35</f>
        <v>0</v>
      </c>
      <c r="M352" s="33" t="n">
        <f aca="false">Controls!B36</f>
        <v>0</v>
      </c>
      <c r="N352" s="32" t="str">
        <f aca="false">IF(M352&gt;0,"PAID","HELD")</f>
        <v>HELD</v>
      </c>
    </row>
    <row r="353" customFormat="false" ht="15" hidden="false" customHeight="false" outlineLevel="0" collapsed="false">
      <c r="A353" s="19" t="str">
        <f aca="false">"PAY-"&amp;B353&amp;"-BREAK"</f>
        <v>PAY-RIG-RT-CON-BREAK</v>
      </c>
      <c r="B353" s="19" t="str">
        <f aca="false">'Object Crosswalk'!A93</f>
        <v>RIG-RT-CON</v>
      </c>
      <c r="C353" s="19" t="str">
        <f aca="false">'Object Crosswalk'!B93</f>
        <v>Root-native rig</v>
      </c>
      <c r="D353" s="19" t="str">
        <f aca="false">'Object Crosswalk'!C93</f>
        <v>Public</v>
      </c>
      <c r="E353" s="19" t="str">
        <f aca="false">'Object Crosswalk'!D93</f>
        <v>MS-RT</v>
      </c>
      <c r="F353" s="19" t="str">
        <f aca="false">'Object Crosswalk'!E93</f>
        <v>RT-B</v>
      </c>
      <c r="G353" s="9" t="s">
        <v>1209</v>
      </c>
      <c r="H353" s="41" t="n">
        <v>0</v>
      </c>
      <c r="I353" s="50" t="n">
        <f aca="false">'Object Crosswalk'!I93</f>
        <v>0.316666666666667</v>
      </c>
      <c r="J353" s="50" t="n">
        <f aca="false">H353*I353</f>
        <v>0</v>
      </c>
      <c r="K353" s="32" t="n">
        <f aca="false">0</f>
        <v>0</v>
      </c>
      <c r="L353" s="33" t="n">
        <f aca="false">Controls!B35</f>
        <v>0</v>
      </c>
      <c r="M353" s="33" t="n">
        <f aca="false">Controls!B36</f>
        <v>0</v>
      </c>
      <c r="N353" s="32" t="str">
        <f aca="false">IF(M353&gt;0,"PAID","HELD")</f>
        <v>HELD</v>
      </c>
    </row>
    <row r="354" customFormat="false" ht="15" hidden="false" customHeight="false" outlineLevel="0" collapsed="false">
      <c r="A354" s="19" t="str">
        <f aca="false">"PAY-"&amp;B354&amp;"-TRANSFER"</f>
        <v>PAY-RIG-RT-CON-TRANSFER</v>
      </c>
      <c r="B354" s="19" t="str">
        <f aca="false">'Object Crosswalk'!A93</f>
        <v>RIG-RT-CON</v>
      </c>
      <c r="C354" s="19" t="str">
        <f aca="false">'Object Crosswalk'!B93</f>
        <v>Root-native rig</v>
      </c>
      <c r="D354" s="19" t="str">
        <f aca="false">'Object Crosswalk'!C93</f>
        <v>Public</v>
      </c>
      <c r="E354" s="19" t="str">
        <f aca="false">'Object Crosswalk'!D93</f>
        <v>MS-RT</v>
      </c>
      <c r="F354" s="19" t="str">
        <f aca="false">'Object Crosswalk'!E93</f>
        <v>RT-B</v>
      </c>
      <c r="G354" s="9" t="s">
        <v>1210</v>
      </c>
      <c r="H354" s="41" t="n">
        <v>0.25</v>
      </c>
      <c r="I354" s="50" t="n">
        <f aca="false">'Object Crosswalk'!I93</f>
        <v>0.316666666666667</v>
      </c>
      <c r="J354" s="50" t="n">
        <f aca="false">H354*I354</f>
        <v>0.0791666666666667</v>
      </c>
      <c r="K354" s="32" t="n">
        <f aca="false">0</f>
        <v>0</v>
      </c>
      <c r="L354" s="33" t="n">
        <f aca="false">Controls!B35</f>
        <v>0</v>
      </c>
      <c r="M354" s="33" t="n">
        <f aca="false">Controls!B36</f>
        <v>0</v>
      </c>
      <c r="N354" s="32" t="str">
        <f aca="false">IF(M354&gt;0,"PAID","HELD")</f>
        <v>HELD</v>
      </c>
    </row>
    <row r="355" customFormat="false" ht="15" hidden="false" customHeight="false" outlineLevel="0" collapsed="false">
      <c r="A355" s="19" t="str">
        <f aca="false">"PAY-"&amp;B355&amp;"-FRAME"</f>
        <v>PAY-MTH-RT-CON-L1-FRAME</v>
      </c>
      <c r="B355" s="19" t="str">
        <f aca="false">'Object Crosswalk'!A94</f>
        <v>MTH-RT-CON-L1</v>
      </c>
      <c r="C355" s="19" t="str">
        <f aca="false">'Object Crosswalk'!B94</f>
        <v>Method lineage</v>
      </c>
      <c r="D355" s="19" t="str">
        <f aca="false">'Object Crosswalk'!C94</f>
        <v>Public</v>
      </c>
      <c r="E355" s="19" t="str">
        <f aca="false">'Object Crosswalk'!D94</f>
        <v>MS-RT</v>
      </c>
      <c r="F355" s="19" t="str">
        <f aca="false">'Object Crosswalk'!E94</f>
        <v>RT-B</v>
      </c>
      <c r="G355" s="9" t="s">
        <v>543</v>
      </c>
      <c r="H355" s="41" t="n">
        <v>0.25</v>
      </c>
      <c r="I355" s="50" t="n">
        <f aca="false">'Object Crosswalk'!I94</f>
        <v>0.09</v>
      </c>
      <c r="J355" s="50" t="n">
        <f aca="false">H355*I355</f>
        <v>0.0225</v>
      </c>
      <c r="K355" s="32" t="n">
        <f aca="false">0</f>
        <v>0</v>
      </c>
      <c r="L355" s="33" t="n">
        <f aca="false">Controls!B35</f>
        <v>0</v>
      </c>
      <c r="M355" s="33" t="n">
        <f aca="false">Controls!B36</f>
        <v>0</v>
      </c>
      <c r="N355" s="32" t="str">
        <f aca="false">IF(M355&gt;0,"PAID","HELD")</f>
        <v>HELD</v>
      </c>
    </row>
    <row r="356" customFormat="false" ht="15" hidden="false" customHeight="false" outlineLevel="0" collapsed="false">
      <c r="A356" s="19" t="str">
        <f aca="false">"PAY-"&amp;B356&amp;"-MAKE"</f>
        <v>PAY-MTH-RT-CON-L1-MAKE</v>
      </c>
      <c r="B356" s="19" t="str">
        <f aca="false">'Object Crosswalk'!A94</f>
        <v>MTH-RT-CON-L1</v>
      </c>
      <c r="C356" s="19" t="str">
        <f aca="false">'Object Crosswalk'!B94</f>
        <v>Method lineage</v>
      </c>
      <c r="D356" s="19" t="str">
        <f aca="false">'Object Crosswalk'!C94</f>
        <v>Public</v>
      </c>
      <c r="E356" s="19" t="str">
        <f aca="false">'Object Crosswalk'!D94</f>
        <v>MS-RT</v>
      </c>
      <c r="F356" s="19" t="str">
        <f aca="false">'Object Crosswalk'!E94</f>
        <v>RT-B</v>
      </c>
      <c r="G356" s="9" t="s">
        <v>546</v>
      </c>
      <c r="H356" s="41" t="n">
        <v>0.5</v>
      </c>
      <c r="I356" s="50" t="n">
        <f aca="false">'Object Crosswalk'!I94</f>
        <v>0.09</v>
      </c>
      <c r="J356" s="50" t="n">
        <f aca="false">H356*I356</f>
        <v>0.045</v>
      </c>
      <c r="K356" s="32" t="n">
        <f aca="false">0</f>
        <v>0</v>
      </c>
      <c r="L356" s="33" t="n">
        <f aca="false">Controls!B35</f>
        <v>0</v>
      </c>
      <c r="M356" s="33" t="n">
        <f aca="false">Controls!B36</f>
        <v>0</v>
      </c>
      <c r="N356" s="32" t="str">
        <f aca="false">IF(M356&gt;0,"PAID","HELD")</f>
        <v>HELD</v>
      </c>
    </row>
    <row r="357" customFormat="false" ht="15" hidden="false" customHeight="false" outlineLevel="0" collapsed="false">
      <c r="A357" s="19" t="str">
        <f aca="false">"PAY-"&amp;B357&amp;"-BREAK"</f>
        <v>PAY-MTH-RT-CON-L1-BREAK</v>
      </c>
      <c r="B357" s="19" t="str">
        <f aca="false">'Object Crosswalk'!A94</f>
        <v>MTH-RT-CON-L1</v>
      </c>
      <c r="C357" s="19" t="str">
        <f aca="false">'Object Crosswalk'!B94</f>
        <v>Method lineage</v>
      </c>
      <c r="D357" s="19" t="str">
        <f aca="false">'Object Crosswalk'!C94</f>
        <v>Public</v>
      </c>
      <c r="E357" s="19" t="str">
        <f aca="false">'Object Crosswalk'!D94</f>
        <v>MS-RT</v>
      </c>
      <c r="F357" s="19" t="str">
        <f aca="false">'Object Crosswalk'!E94</f>
        <v>RT-B</v>
      </c>
      <c r="G357" s="9" t="s">
        <v>1209</v>
      </c>
      <c r="H357" s="41" t="n">
        <v>0</v>
      </c>
      <c r="I357" s="50" t="n">
        <f aca="false">'Object Crosswalk'!I94</f>
        <v>0.09</v>
      </c>
      <c r="J357" s="50" t="n">
        <f aca="false">H357*I357</f>
        <v>0</v>
      </c>
      <c r="K357" s="32" t="n">
        <f aca="false">0</f>
        <v>0</v>
      </c>
      <c r="L357" s="33" t="n">
        <f aca="false">Controls!B35</f>
        <v>0</v>
      </c>
      <c r="M357" s="33" t="n">
        <f aca="false">Controls!B36</f>
        <v>0</v>
      </c>
      <c r="N357" s="32" t="str">
        <f aca="false">IF(M357&gt;0,"PAID","HELD")</f>
        <v>HELD</v>
      </c>
    </row>
    <row r="358" customFormat="false" ht="15" hidden="false" customHeight="false" outlineLevel="0" collapsed="false">
      <c r="A358" s="19" t="str">
        <f aca="false">"PAY-"&amp;B358&amp;"-TRANSFER"</f>
        <v>PAY-MTH-RT-CON-L1-TRANSFER</v>
      </c>
      <c r="B358" s="19" t="str">
        <f aca="false">'Object Crosswalk'!A94</f>
        <v>MTH-RT-CON-L1</v>
      </c>
      <c r="C358" s="19" t="str">
        <f aca="false">'Object Crosswalk'!B94</f>
        <v>Method lineage</v>
      </c>
      <c r="D358" s="19" t="str">
        <f aca="false">'Object Crosswalk'!C94</f>
        <v>Public</v>
      </c>
      <c r="E358" s="19" t="str">
        <f aca="false">'Object Crosswalk'!D94</f>
        <v>MS-RT</v>
      </c>
      <c r="F358" s="19" t="str">
        <f aca="false">'Object Crosswalk'!E94</f>
        <v>RT-B</v>
      </c>
      <c r="G358" s="9" t="s">
        <v>1210</v>
      </c>
      <c r="H358" s="41" t="n">
        <v>0.25</v>
      </c>
      <c r="I358" s="50" t="n">
        <f aca="false">'Object Crosswalk'!I94</f>
        <v>0.09</v>
      </c>
      <c r="J358" s="50" t="n">
        <f aca="false">H358*I358</f>
        <v>0.0225</v>
      </c>
      <c r="K358" s="32" t="n">
        <f aca="false">0</f>
        <v>0</v>
      </c>
      <c r="L358" s="33" t="n">
        <f aca="false">Controls!B35</f>
        <v>0</v>
      </c>
      <c r="M358" s="33" t="n">
        <f aca="false">Controls!B36</f>
        <v>0</v>
      </c>
      <c r="N358" s="32" t="str">
        <f aca="false">IF(M358&gt;0,"PAID","HELD")</f>
        <v>HELD</v>
      </c>
    </row>
    <row r="359" customFormat="false" ht="15" hidden="false" customHeight="false" outlineLevel="0" collapsed="false">
      <c r="A359" s="19" t="str">
        <f aca="false">"PAY-"&amp;B359&amp;"-FRAME"</f>
        <v>PAY-MTH-RT-CON-L2-FRAME</v>
      </c>
      <c r="B359" s="19" t="str">
        <f aca="false">'Object Crosswalk'!A95</f>
        <v>MTH-RT-CON-L2</v>
      </c>
      <c r="C359" s="19" t="str">
        <f aca="false">'Object Crosswalk'!B95</f>
        <v>Method lineage</v>
      </c>
      <c r="D359" s="19" t="str">
        <f aca="false">'Object Crosswalk'!C95</f>
        <v>Public</v>
      </c>
      <c r="E359" s="19" t="str">
        <f aca="false">'Object Crosswalk'!D95</f>
        <v>MS-RT</v>
      </c>
      <c r="F359" s="19" t="str">
        <f aca="false">'Object Crosswalk'!E95</f>
        <v>RT-B</v>
      </c>
      <c r="G359" s="9" t="s">
        <v>543</v>
      </c>
      <c r="H359" s="41" t="n">
        <v>0.25</v>
      </c>
      <c r="I359" s="50" t="n">
        <f aca="false">'Object Crosswalk'!I95</f>
        <v>0.09</v>
      </c>
      <c r="J359" s="50" t="n">
        <f aca="false">H359*I359</f>
        <v>0.0225</v>
      </c>
      <c r="K359" s="32" t="n">
        <f aca="false">0</f>
        <v>0</v>
      </c>
      <c r="L359" s="33" t="n">
        <f aca="false">Controls!B35</f>
        <v>0</v>
      </c>
      <c r="M359" s="33" t="n">
        <f aca="false">Controls!B36</f>
        <v>0</v>
      </c>
      <c r="N359" s="32" t="str">
        <f aca="false">IF(M359&gt;0,"PAID","HELD")</f>
        <v>HELD</v>
      </c>
    </row>
    <row r="360" customFormat="false" ht="15" hidden="false" customHeight="false" outlineLevel="0" collapsed="false">
      <c r="A360" s="19" t="str">
        <f aca="false">"PAY-"&amp;B360&amp;"-MAKE"</f>
        <v>PAY-MTH-RT-CON-L2-MAKE</v>
      </c>
      <c r="B360" s="19" t="str">
        <f aca="false">'Object Crosswalk'!A95</f>
        <v>MTH-RT-CON-L2</v>
      </c>
      <c r="C360" s="19" t="str">
        <f aca="false">'Object Crosswalk'!B95</f>
        <v>Method lineage</v>
      </c>
      <c r="D360" s="19" t="str">
        <f aca="false">'Object Crosswalk'!C95</f>
        <v>Public</v>
      </c>
      <c r="E360" s="19" t="str">
        <f aca="false">'Object Crosswalk'!D95</f>
        <v>MS-RT</v>
      </c>
      <c r="F360" s="19" t="str">
        <f aca="false">'Object Crosswalk'!E95</f>
        <v>RT-B</v>
      </c>
      <c r="G360" s="9" t="s">
        <v>546</v>
      </c>
      <c r="H360" s="41" t="n">
        <v>0.5</v>
      </c>
      <c r="I360" s="50" t="n">
        <f aca="false">'Object Crosswalk'!I95</f>
        <v>0.09</v>
      </c>
      <c r="J360" s="50" t="n">
        <f aca="false">H360*I360</f>
        <v>0.045</v>
      </c>
      <c r="K360" s="32" t="n">
        <f aca="false">0</f>
        <v>0</v>
      </c>
      <c r="L360" s="33" t="n">
        <f aca="false">Controls!B35</f>
        <v>0</v>
      </c>
      <c r="M360" s="33" t="n">
        <f aca="false">Controls!B36</f>
        <v>0</v>
      </c>
      <c r="N360" s="32" t="str">
        <f aca="false">IF(M360&gt;0,"PAID","HELD")</f>
        <v>HELD</v>
      </c>
    </row>
    <row r="361" customFormat="false" ht="15" hidden="false" customHeight="false" outlineLevel="0" collapsed="false">
      <c r="A361" s="19" t="str">
        <f aca="false">"PAY-"&amp;B361&amp;"-BREAK"</f>
        <v>PAY-MTH-RT-CON-L2-BREAK</v>
      </c>
      <c r="B361" s="19" t="str">
        <f aca="false">'Object Crosswalk'!A95</f>
        <v>MTH-RT-CON-L2</v>
      </c>
      <c r="C361" s="19" t="str">
        <f aca="false">'Object Crosswalk'!B95</f>
        <v>Method lineage</v>
      </c>
      <c r="D361" s="19" t="str">
        <f aca="false">'Object Crosswalk'!C95</f>
        <v>Public</v>
      </c>
      <c r="E361" s="19" t="str">
        <f aca="false">'Object Crosswalk'!D95</f>
        <v>MS-RT</v>
      </c>
      <c r="F361" s="19" t="str">
        <f aca="false">'Object Crosswalk'!E95</f>
        <v>RT-B</v>
      </c>
      <c r="G361" s="9" t="s">
        <v>1209</v>
      </c>
      <c r="H361" s="41" t="n">
        <v>0</v>
      </c>
      <c r="I361" s="50" t="n">
        <f aca="false">'Object Crosswalk'!I95</f>
        <v>0.09</v>
      </c>
      <c r="J361" s="50" t="n">
        <f aca="false">H361*I361</f>
        <v>0</v>
      </c>
      <c r="K361" s="32" t="n">
        <f aca="false">0</f>
        <v>0</v>
      </c>
      <c r="L361" s="33" t="n">
        <f aca="false">Controls!B35</f>
        <v>0</v>
      </c>
      <c r="M361" s="33" t="n">
        <f aca="false">Controls!B36</f>
        <v>0</v>
      </c>
      <c r="N361" s="32" t="str">
        <f aca="false">IF(M361&gt;0,"PAID","HELD")</f>
        <v>HELD</v>
      </c>
    </row>
    <row r="362" customFormat="false" ht="15" hidden="false" customHeight="false" outlineLevel="0" collapsed="false">
      <c r="A362" s="19" t="str">
        <f aca="false">"PAY-"&amp;B362&amp;"-TRANSFER"</f>
        <v>PAY-MTH-RT-CON-L2-TRANSFER</v>
      </c>
      <c r="B362" s="19" t="str">
        <f aca="false">'Object Crosswalk'!A95</f>
        <v>MTH-RT-CON-L2</v>
      </c>
      <c r="C362" s="19" t="str">
        <f aca="false">'Object Crosswalk'!B95</f>
        <v>Method lineage</v>
      </c>
      <c r="D362" s="19" t="str">
        <f aca="false">'Object Crosswalk'!C95</f>
        <v>Public</v>
      </c>
      <c r="E362" s="19" t="str">
        <f aca="false">'Object Crosswalk'!D95</f>
        <v>MS-RT</v>
      </c>
      <c r="F362" s="19" t="str">
        <f aca="false">'Object Crosswalk'!E95</f>
        <v>RT-B</v>
      </c>
      <c r="G362" s="9" t="s">
        <v>1210</v>
      </c>
      <c r="H362" s="41" t="n">
        <v>0.25</v>
      </c>
      <c r="I362" s="50" t="n">
        <f aca="false">'Object Crosswalk'!I95</f>
        <v>0.09</v>
      </c>
      <c r="J362" s="50" t="n">
        <f aca="false">H362*I362</f>
        <v>0.0225</v>
      </c>
      <c r="K362" s="32" t="n">
        <f aca="false">0</f>
        <v>0</v>
      </c>
      <c r="L362" s="33" t="n">
        <f aca="false">Controls!B35</f>
        <v>0</v>
      </c>
      <c r="M362" s="33" t="n">
        <f aca="false">Controls!B36</f>
        <v>0</v>
      </c>
      <c r="N362" s="32" t="str">
        <f aca="false">IF(M362&gt;0,"PAID","HELD")</f>
        <v>HELD</v>
      </c>
    </row>
    <row r="363" customFormat="false" ht="15" hidden="false" customHeight="false" outlineLevel="0" collapsed="false">
      <c r="A363" s="19" t="str">
        <f aca="false">"PAY-"&amp;B363&amp;"-FRAME"</f>
        <v>PAY-REG-RT-CON-FRAME</v>
      </c>
      <c r="B363" s="19" t="str">
        <f aca="false">'Object Crosswalk'!A96</f>
        <v>REG-RT-CON</v>
      </c>
      <c r="C363" s="19" t="str">
        <f aca="false">'Object Crosswalk'!B96</f>
        <v>Regeneration tool</v>
      </c>
      <c r="D363" s="19" t="str">
        <f aca="false">'Object Crosswalk'!C96</f>
        <v>Public</v>
      </c>
      <c r="E363" s="19" t="str">
        <f aca="false">'Object Crosswalk'!D96</f>
        <v>MS-RT</v>
      </c>
      <c r="F363" s="19" t="str">
        <f aca="false">'Object Crosswalk'!E96</f>
        <v>RT-B</v>
      </c>
      <c r="G363" s="9" t="s">
        <v>543</v>
      </c>
      <c r="H363" s="41" t="n">
        <v>0.25</v>
      </c>
      <c r="I363" s="50" t="n">
        <f aca="false">'Object Crosswalk'!I96</f>
        <v>0.0666666666666667</v>
      </c>
      <c r="J363" s="50" t="n">
        <f aca="false">H363*I363</f>
        <v>0.0166666666666667</v>
      </c>
      <c r="K363" s="32" t="n">
        <f aca="false">0</f>
        <v>0</v>
      </c>
      <c r="L363" s="33" t="n">
        <f aca="false">Controls!B35</f>
        <v>0</v>
      </c>
      <c r="M363" s="33" t="n">
        <f aca="false">Controls!B36</f>
        <v>0</v>
      </c>
      <c r="N363" s="32" t="str">
        <f aca="false">IF(M363&gt;0,"PAID","HELD")</f>
        <v>HELD</v>
      </c>
    </row>
    <row r="364" customFormat="false" ht="15" hidden="false" customHeight="false" outlineLevel="0" collapsed="false">
      <c r="A364" s="19" t="str">
        <f aca="false">"PAY-"&amp;B364&amp;"-MAKE"</f>
        <v>PAY-REG-RT-CON-MAKE</v>
      </c>
      <c r="B364" s="19" t="str">
        <f aca="false">'Object Crosswalk'!A96</f>
        <v>REG-RT-CON</v>
      </c>
      <c r="C364" s="19" t="str">
        <f aca="false">'Object Crosswalk'!B96</f>
        <v>Regeneration tool</v>
      </c>
      <c r="D364" s="19" t="str">
        <f aca="false">'Object Crosswalk'!C96</f>
        <v>Public</v>
      </c>
      <c r="E364" s="19" t="str">
        <f aca="false">'Object Crosswalk'!D96</f>
        <v>MS-RT</v>
      </c>
      <c r="F364" s="19" t="str">
        <f aca="false">'Object Crosswalk'!E96</f>
        <v>RT-B</v>
      </c>
      <c r="G364" s="9" t="s">
        <v>546</v>
      </c>
      <c r="H364" s="41" t="n">
        <v>0.5</v>
      </c>
      <c r="I364" s="50" t="n">
        <f aca="false">'Object Crosswalk'!I96</f>
        <v>0.0666666666666667</v>
      </c>
      <c r="J364" s="50" t="n">
        <f aca="false">H364*I364</f>
        <v>0.0333333333333333</v>
      </c>
      <c r="K364" s="32" t="n">
        <f aca="false">0</f>
        <v>0</v>
      </c>
      <c r="L364" s="33" t="n">
        <f aca="false">Controls!B35</f>
        <v>0</v>
      </c>
      <c r="M364" s="33" t="n">
        <f aca="false">Controls!B36</f>
        <v>0</v>
      </c>
      <c r="N364" s="32" t="str">
        <f aca="false">IF(M364&gt;0,"PAID","HELD")</f>
        <v>HELD</v>
      </c>
    </row>
    <row r="365" customFormat="false" ht="15" hidden="false" customHeight="false" outlineLevel="0" collapsed="false">
      <c r="A365" s="19" t="str">
        <f aca="false">"PAY-"&amp;B365&amp;"-BREAK"</f>
        <v>PAY-REG-RT-CON-BREAK</v>
      </c>
      <c r="B365" s="19" t="str">
        <f aca="false">'Object Crosswalk'!A96</f>
        <v>REG-RT-CON</v>
      </c>
      <c r="C365" s="19" t="str">
        <f aca="false">'Object Crosswalk'!B96</f>
        <v>Regeneration tool</v>
      </c>
      <c r="D365" s="19" t="str">
        <f aca="false">'Object Crosswalk'!C96</f>
        <v>Public</v>
      </c>
      <c r="E365" s="19" t="str">
        <f aca="false">'Object Crosswalk'!D96</f>
        <v>MS-RT</v>
      </c>
      <c r="F365" s="19" t="str">
        <f aca="false">'Object Crosswalk'!E96</f>
        <v>RT-B</v>
      </c>
      <c r="G365" s="9" t="s">
        <v>1209</v>
      </c>
      <c r="H365" s="41" t="n">
        <v>0</v>
      </c>
      <c r="I365" s="50" t="n">
        <f aca="false">'Object Crosswalk'!I96</f>
        <v>0.0666666666666667</v>
      </c>
      <c r="J365" s="50" t="n">
        <f aca="false">H365*I365</f>
        <v>0</v>
      </c>
      <c r="K365" s="32" t="n">
        <f aca="false">0</f>
        <v>0</v>
      </c>
      <c r="L365" s="33" t="n">
        <f aca="false">Controls!B35</f>
        <v>0</v>
      </c>
      <c r="M365" s="33" t="n">
        <f aca="false">Controls!B36</f>
        <v>0</v>
      </c>
      <c r="N365" s="32" t="str">
        <f aca="false">IF(M365&gt;0,"PAID","HELD")</f>
        <v>HELD</v>
      </c>
    </row>
    <row r="366" customFormat="false" ht="15" hidden="false" customHeight="false" outlineLevel="0" collapsed="false">
      <c r="A366" s="19" t="str">
        <f aca="false">"PAY-"&amp;B366&amp;"-TRANSFER"</f>
        <v>PAY-REG-RT-CON-TRANSFER</v>
      </c>
      <c r="B366" s="19" t="str">
        <f aca="false">'Object Crosswalk'!A96</f>
        <v>REG-RT-CON</v>
      </c>
      <c r="C366" s="19" t="str">
        <f aca="false">'Object Crosswalk'!B96</f>
        <v>Regeneration tool</v>
      </c>
      <c r="D366" s="19" t="str">
        <f aca="false">'Object Crosswalk'!C96</f>
        <v>Public</v>
      </c>
      <c r="E366" s="19" t="str">
        <f aca="false">'Object Crosswalk'!D96</f>
        <v>MS-RT</v>
      </c>
      <c r="F366" s="19" t="str">
        <f aca="false">'Object Crosswalk'!E96</f>
        <v>RT-B</v>
      </c>
      <c r="G366" s="9" t="s">
        <v>1210</v>
      </c>
      <c r="H366" s="41" t="n">
        <v>0.25</v>
      </c>
      <c r="I366" s="50" t="n">
        <f aca="false">'Object Crosswalk'!I96</f>
        <v>0.0666666666666667</v>
      </c>
      <c r="J366" s="50" t="n">
        <f aca="false">H366*I366</f>
        <v>0.0166666666666667</v>
      </c>
      <c r="K366" s="32" t="n">
        <f aca="false">0</f>
        <v>0</v>
      </c>
      <c r="L366" s="33" t="n">
        <f aca="false">Controls!B35</f>
        <v>0</v>
      </c>
      <c r="M366" s="33" t="n">
        <f aca="false">Controls!B36</f>
        <v>0</v>
      </c>
      <c r="N366" s="32" t="str">
        <f aca="false">IF(M366&gt;0,"PAID","HELD")</f>
        <v>HELD</v>
      </c>
    </row>
    <row r="367" customFormat="false" ht="15" hidden="false" customHeight="false" outlineLevel="0" collapsed="false">
      <c r="A367" s="19" t="str">
        <f aca="false">"PAY-"&amp;B367&amp;"-FRAME"</f>
        <v>PAY-INT-RT-CON-FRAME</v>
      </c>
      <c r="B367" s="19" t="str">
        <f aca="false">'Object Crosswalk'!A97</f>
        <v>INT-RT-CON</v>
      </c>
      <c r="C367" s="19" t="str">
        <f aca="false">'Object Crosswalk'!B97</f>
        <v>Station integration</v>
      </c>
      <c r="D367" s="19" t="str">
        <f aca="false">'Object Crosswalk'!C97</f>
        <v>Public</v>
      </c>
      <c r="E367" s="19" t="str">
        <f aca="false">'Object Crosswalk'!D97</f>
        <v>MS-RT</v>
      </c>
      <c r="F367" s="19" t="str">
        <f aca="false">'Object Crosswalk'!E97</f>
        <v>RT-B</v>
      </c>
      <c r="G367" s="9" t="s">
        <v>543</v>
      </c>
      <c r="H367" s="41" t="n">
        <v>0.25</v>
      </c>
      <c r="I367" s="50" t="n">
        <f aca="false">'Object Crosswalk'!I97</f>
        <v>0.0633333333333333</v>
      </c>
      <c r="J367" s="50" t="n">
        <f aca="false">H367*I367</f>
        <v>0.0158333333333333</v>
      </c>
      <c r="K367" s="32" t="n">
        <f aca="false">0</f>
        <v>0</v>
      </c>
      <c r="L367" s="33" t="n">
        <f aca="false">Controls!B35</f>
        <v>0</v>
      </c>
      <c r="M367" s="33" t="n">
        <f aca="false">Controls!B36</f>
        <v>0</v>
      </c>
      <c r="N367" s="32" t="str">
        <f aca="false">IF(M367&gt;0,"PAID","HELD")</f>
        <v>HELD</v>
      </c>
    </row>
    <row r="368" customFormat="false" ht="15" hidden="false" customHeight="false" outlineLevel="0" collapsed="false">
      <c r="A368" s="19" t="str">
        <f aca="false">"PAY-"&amp;B368&amp;"-MAKE"</f>
        <v>PAY-INT-RT-CON-MAKE</v>
      </c>
      <c r="B368" s="19" t="str">
        <f aca="false">'Object Crosswalk'!A97</f>
        <v>INT-RT-CON</v>
      </c>
      <c r="C368" s="19" t="str">
        <f aca="false">'Object Crosswalk'!B97</f>
        <v>Station integration</v>
      </c>
      <c r="D368" s="19" t="str">
        <f aca="false">'Object Crosswalk'!C97</f>
        <v>Public</v>
      </c>
      <c r="E368" s="19" t="str">
        <f aca="false">'Object Crosswalk'!D97</f>
        <v>MS-RT</v>
      </c>
      <c r="F368" s="19" t="str">
        <f aca="false">'Object Crosswalk'!E97</f>
        <v>RT-B</v>
      </c>
      <c r="G368" s="9" t="s">
        <v>546</v>
      </c>
      <c r="H368" s="41" t="n">
        <v>0.5</v>
      </c>
      <c r="I368" s="50" t="n">
        <f aca="false">'Object Crosswalk'!I97</f>
        <v>0.0633333333333333</v>
      </c>
      <c r="J368" s="50" t="n">
        <f aca="false">H368*I368</f>
        <v>0.0316666666666667</v>
      </c>
      <c r="K368" s="32" t="n">
        <f aca="false">0</f>
        <v>0</v>
      </c>
      <c r="L368" s="33" t="n">
        <f aca="false">Controls!B35</f>
        <v>0</v>
      </c>
      <c r="M368" s="33" t="n">
        <f aca="false">Controls!B36</f>
        <v>0</v>
      </c>
      <c r="N368" s="32" t="str">
        <f aca="false">IF(M368&gt;0,"PAID","HELD")</f>
        <v>HELD</v>
      </c>
    </row>
    <row r="369" customFormat="false" ht="15" hidden="false" customHeight="false" outlineLevel="0" collapsed="false">
      <c r="A369" s="19" t="str">
        <f aca="false">"PAY-"&amp;B369&amp;"-BREAK"</f>
        <v>PAY-INT-RT-CON-BREAK</v>
      </c>
      <c r="B369" s="19" t="str">
        <f aca="false">'Object Crosswalk'!A97</f>
        <v>INT-RT-CON</v>
      </c>
      <c r="C369" s="19" t="str">
        <f aca="false">'Object Crosswalk'!B97</f>
        <v>Station integration</v>
      </c>
      <c r="D369" s="19" t="str">
        <f aca="false">'Object Crosswalk'!C97</f>
        <v>Public</v>
      </c>
      <c r="E369" s="19" t="str">
        <f aca="false">'Object Crosswalk'!D97</f>
        <v>MS-RT</v>
      </c>
      <c r="F369" s="19" t="str">
        <f aca="false">'Object Crosswalk'!E97</f>
        <v>RT-B</v>
      </c>
      <c r="G369" s="9" t="s">
        <v>1209</v>
      </c>
      <c r="H369" s="41" t="n">
        <v>0</v>
      </c>
      <c r="I369" s="50" t="n">
        <f aca="false">'Object Crosswalk'!I97</f>
        <v>0.0633333333333333</v>
      </c>
      <c r="J369" s="50" t="n">
        <f aca="false">H369*I369</f>
        <v>0</v>
      </c>
      <c r="K369" s="32" t="n">
        <f aca="false">0</f>
        <v>0</v>
      </c>
      <c r="L369" s="33" t="n">
        <f aca="false">Controls!B35</f>
        <v>0</v>
      </c>
      <c r="M369" s="33" t="n">
        <f aca="false">Controls!B36</f>
        <v>0</v>
      </c>
      <c r="N369" s="32" t="str">
        <f aca="false">IF(M369&gt;0,"PAID","HELD")</f>
        <v>HELD</v>
      </c>
    </row>
    <row r="370" customFormat="false" ht="15" hidden="false" customHeight="false" outlineLevel="0" collapsed="false">
      <c r="A370" s="19" t="str">
        <f aca="false">"PAY-"&amp;B370&amp;"-TRANSFER"</f>
        <v>PAY-INT-RT-CON-TRANSFER</v>
      </c>
      <c r="B370" s="19" t="str">
        <f aca="false">'Object Crosswalk'!A97</f>
        <v>INT-RT-CON</v>
      </c>
      <c r="C370" s="19" t="str">
        <f aca="false">'Object Crosswalk'!B97</f>
        <v>Station integration</v>
      </c>
      <c r="D370" s="19" t="str">
        <f aca="false">'Object Crosswalk'!C97</f>
        <v>Public</v>
      </c>
      <c r="E370" s="19" t="str">
        <f aca="false">'Object Crosswalk'!D97</f>
        <v>MS-RT</v>
      </c>
      <c r="F370" s="19" t="str">
        <f aca="false">'Object Crosswalk'!E97</f>
        <v>RT-B</v>
      </c>
      <c r="G370" s="9" t="s">
        <v>1210</v>
      </c>
      <c r="H370" s="41" t="n">
        <v>0.25</v>
      </c>
      <c r="I370" s="50" t="n">
        <f aca="false">'Object Crosswalk'!I97</f>
        <v>0.0633333333333333</v>
      </c>
      <c r="J370" s="50" t="n">
        <f aca="false">H370*I370</f>
        <v>0.0158333333333333</v>
      </c>
      <c r="K370" s="32" t="n">
        <f aca="false">0</f>
        <v>0</v>
      </c>
      <c r="L370" s="33" t="n">
        <f aca="false">Controls!B35</f>
        <v>0</v>
      </c>
      <c r="M370" s="33" t="n">
        <f aca="false">Controls!B36</f>
        <v>0</v>
      </c>
      <c r="N370" s="32" t="str">
        <f aca="false">IF(M370&gt;0,"PAID","HELD")</f>
        <v>HELD</v>
      </c>
    </row>
    <row r="371" customFormat="false" ht="15" hidden="false" customHeight="false" outlineLevel="0" collapsed="false">
      <c r="A371" s="19" t="str">
        <f aca="false">"PAY-"&amp;B371&amp;"-FRAME"</f>
        <v>PAY-RIG-RT-REC-FRAME</v>
      </c>
      <c r="B371" s="19" t="str">
        <f aca="false">'Object Crosswalk'!A98</f>
        <v>RIG-RT-REC</v>
      </c>
      <c r="C371" s="19" t="str">
        <f aca="false">'Object Crosswalk'!B98</f>
        <v>Root-native rig</v>
      </c>
      <c r="D371" s="19" t="str">
        <f aca="false">'Object Crosswalk'!C98</f>
        <v>Public</v>
      </c>
      <c r="E371" s="19" t="str">
        <f aca="false">'Object Crosswalk'!D98</f>
        <v>MS-RT</v>
      </c>
      <c r="F371" s="19" t="str">
        <f aca="false">'Object Crosswalk'!E98</f>
        <v>RT-B</v>
      </c>
      <c r="G371" s="9" t="s">
        <v>543</v>
      </c>
      <c r="H371" s="41" t="n">
        <v>0.25</v>
      </c>
      <c r="I371" s="50" t="n">
        <f aca="false">'Object Crosswalk'!I98</f>
        <v>0.316666666666667</v>
      </c>
      <c r="J371" s="50" t="n">
        <f aca="false">H371*I371</f>
        <v>0.0791666666666667</v>
      </c>
      <c r="K371" s="32" t="n">
        <f aca="false">0</f>
        <v>0</v>
      </c>
      <c r="L371" s="33" t="n">
        <f aca="false">Controls!B35</f>
        <v>0</v>
      </c>
      <c r="M371" s="33" t="n">
        <f aca="false">Controls!B36</f>
        <v>0</v>
      </c>
      <c r="N371" s="32" t="str">
        <f aca="false">IF(M371&gt;0,"PAID","HELD")</f>
        <v>HELD</v>
      </c>
    </row>
    <row r="372" customFormat="false" ht="15" hidden="false" customHeight="false" outlineLevel="0" collapsed="false">
      <c r="A372" s="19" t="str">
        <f aca="false">"PAY-"&amp;B372&amp;"-MAKE"</f>
        <v>PAY-RIG-RT-REC-MAKE</v>
      </c>
      <c r="B372" s="19" t="str">
        <f aca="false">'Object Crosswalk'!A98</f>
        <v>RIG-RT-REC</v>
      </c>
      <c r="C372" s="19" t="str">
        <f aca="false">'Object Crosswalk'!B98</f>
        <v>Root-native rig</v>
      </c>
      <c r="D372" s="19" t="str">
        <f aca="false">'Object Crosswalk'!C98</f>
        <v>Public</v>
      </c>
      <c r="E372" s="19" t="str">
        <f aca="false">'Object Crosswalk'!D98</f>
        <v>MS-RT</v>
      </c>
      <c r="F372" s="19" t="str">
        <f aca="false">'Object Crosswalk'!E98</f>
        <v>RT-B</v>
      </c>
      <c r="G372" s="9" t="s">
        <v>546</v>
      </c>
      <c r="H372" s="41" t="n">
        <v>0.5</v>
      </c>
      <c r="I372" s="50" t="n">
        <f aca="false">'Object Crosswalk'!I98</f>
        <v>0.316666666666667</v>
      </c>
      <c r="J372" s="50" t="n">
        <f aca="false">H372*I372</f>
        <v>0.158333333333333</v>
      </c>
      <c r="K372" s="32" t="n">
        <f aca="false">0</f>
        <v>0</v>
      </c>
      <c r="L372" s="33" t="n">
        <f aca="false">Controls!B35</f>
        <v>0</v>
      </c>
      <c r="M372" s="33" t="n">
        <f aca="false">Controls!B36</f>
        <v>0</v>
      </c>
      <c r="N372" s="32" t="str">
        <f aca="false">IF(M372&gt;0,"PAID","HELD")</f>
        <v>HELD</v>
      </c>
    </row>
    <row r="373" customFormat="false" ht="15" hidden="false" customHeight="false" outlineLevel="0" collapsed="false">
      <c r="A373" s="19" t="str">
        <f aca="false">"PAY-"&amp;B373&amp;"-BREAK"</f>
        <v>PAY-RIG-RT-REC-BREAK</v>
      </c>
      <c r="B373" s="19" t="str">
        <f aca="false">'Object Crosswalk'!A98</f>
        <v>RIG-RT-REC</v>
      </c>
      <c r="C373" s="19" t="str">
        <f aca="false">'Object Crosswalk'!B98</f>
        <v>Root-native rig</v>
      </c>
      <c r="D373" s="19" t="str">
        <f aca="false">'Object Crosswalk'!C98</f>
        <v>Public</v>
      </c>
      <c r="E373" s="19" t="str">
        <f aca="false">'Object Crosswalk'!D98</f>
        <v>MS-RT</v>
      </c>
      <c r="F373" s="19" t="str">
        <f aca="false">'Object Crosswalk'!E98</f>
        <v>RT-B</v>
      </c>
      <c r="G373" s="9" t="s">
        <v>1209</v>
      </c>
      <c r="H373" s="41" t="n">
        <v>0</v>
      </c>
      <c r="I373" s="50" t="n">
        <f aca="false">'Object Crosswalk'!I98</f>
        <v>0.316666666666667</v>
      </c>
      <c r="J373" s="50" t="n">
        <f aca="false">H373*I373</f>
        <v>0</v>
      </c>
      <c r="K373" s="32" t="n">
        <f aca="false">0</f>
        <v>0</v>
      </c>
      <c r="L373" s="33" t="n">
        <f aca="false">Controls!B35</f>
        <v>0</v>
      </c>
      <c r="M373" s="33" t="n">
        <f aca="false">Controls!B36</f>
        <v>0</v>
      </c>
      <c r="N373" s="32" t="str">
        <f aca="false">IF(M373&gt;0,"PAID","HELD")</f>
        <v>HELD</v>
      </c>
    </row>
    <row r="374" customFormat="false" ht="15" hidden="false" customHeight="false" outlineLevel="0" collapsed="false">
      <c r="A374" s="19" t="str">
        <f aca="false">"PAY-"&amp;B374&amp;"-TRANSFER"</f>
        <v>PAY-RIG-RT-REC-TRANSFER</v>
      </c>
      <c r="B374" s="19" t="str">
        <f aca="false">'Object Crosswalk'!A98</f>
        <v>RIG-RT-REC</v>
      </c>
      <c r="C374" s="19" t="str">
        <f aca="false">'Object Crosswalk'!B98</f>
        <v>Root-native rig</v>
      </c>
      <c r="D374" s="19" t="str">
        <f aca="false">'Object Crosswalk'!C98</f>
        <v>Public</v>
      </c>
      <c r="E374" s="19" t="str">
        <f aca="false">'Object Crosswalk'!D98</f>
        <v>MS-RT</v>
      </c>
      <c r="F374" s="19" t="str">
        <f aca="false">'Object Crosswalk'!E98</f>
        <v>RT-B</v>
      </c>
      <c r="G374" s="9" t="s">
        <v>1210</v>
      </c>
      <c r="H374" s="41" t="n">
        <v>0.25</v>
      </c>
      <c r="I374" s="50" t="n">
        <f aca="false">'Object Crosswalk'!I98</f>
        <v>0.316666666666667</v>
      </c>
      <c r="J374" s="50" t="n">
        <f aca="false">H374*I374</f>
        <v>0.0791666666666667</v>
      </c>
      <c r="K374" s="32" t="n">
        <f aca="false">0</f>
        <v>0</v>
      </c>
      <c r="L374" s="33" t="n">
        <f aca="false">Controls!B35</f>
        <v>0</v>
      </c>
      <c r="M374" s="33" t="n">
        <f aca="false">Controls!B36</f>
        <v>0</v>
      </c>
      <c r="N374" s="32" t="str">
        <f aca="false">IF(M374&gt;0,"PAID","HELD")</f>
        <v>HELD</v>
      </c>
    </row>
    <row r="375" customFormat="false" ht="15" hidden="false" customHeight="false" outlineLevel="0" collapsed="false">
      <c r="A375" s="19" t="str">
        <f aca="false">"PAY-"&amp;B375&amp;"-FRAME"</f>
        <v>PAY-MTH-RT-REC-L1-FRAME</v>
      </c>
      <c r="B375" s="19" t="str">
        <f aca="false">'Object Crosswalk'!A99</f>
        <v>MTH-RT-REC-L1</v>
      </c>
      <c r="C375" s="19" t="str">
        <f aca="false">'Object Crosswalk'!B99</f>
        <v>Method lineage</v>
      </c>
      <c r="D375" s="19" t="str">
        <f aca="false">'Object Crosswalk'!C99</f>
        <v>Public</v>
      </c>
      <c r="E375" s="19" t="str">
        <f aca="false">'Object Crosswalk'!D99</f>
        <v>MS-RT</v>
      </c>
      <c r="F375" s="19" t="str">
        <f aca="false">'Object Crosswalk'!E99</f>
        <v>RT-B</v>
      </c>
      <c r="G375" s="9" t="s">
        <v>543</v>
      </c>
      <c r="H375" s="41" t="n">
        <v>0.25</v>
      </c>
      <c r="I375" s="50" t="n">
        <f aca="false">'Object Crosswalk'!I99</f>
        <v>0.09</v>
      </c>
      <c r="J375" s="50" t="n">
        <f aca="false">H375*I375</f>
        <v>0.0225</v>
      </c>
      <c r="K375" s="32" t="n">
        <f aca="false">0</f>
        <v>0</v>
      </c>
      <c r="L375" s="33" t="n">
        <f aca="false">Controls!B35</f>
        <v>0</v>
      </c>
      <c r="M375" s="33" t="n">
        <f aca="false">Controls!B36</f>
        <v>0</v>
      </c>
      <c r="N375" s="32" t="str">
        <f aca="false">IF(M375&gt;0,"PAID","HELD")</f>
        <v>HELD</v>
      </c>
    </row>
    <row r="376" customFormat="false" ht="15" hidden="false" customHeight="false" outlineLevel="0" collapsed="false">
      <c r="A376" s="19" t="str">
        <f aca="false">"PAY-"&amp;B376&amp;"-MAKE"</f>
        <v>PAY-MTH-RT-REC-L1-MAKE</v>
      </c>
      <c r="B376" s="19" t="str">
        <f aca="false">'Object Crosswalk'!A99</f>
        <v>MTH-RT-REC-L1</v>
      </c>
      <c r="C376" s="19" t="str">
        <f aca="false">'Object Crosswalk'!B99</f>
        <v>Method lineage</v>
      </c>
      <c r="D376" s="19" t="str">
        <f aca="false">'Object Crosswalk'!C99</f>
        <v>Public</v>
      </c>
      <c r="E376" s="19" t="str">
        <f aca="false">'Object Crosswalk'!D99</f>
        <v>MS-RT</v>
      </c>
      <c r="F376" s="19" t="str">
        <f aca="false">'Object Crosswalk'!E99</f>
        <v>RT-B</v>
      </c>
      <c r="G376" s="9" t="s">
        <v>546</v>
      </c>
      <c r="H376" s="41" t="n">
        <v>0.5</v>
      </c>
      <c r="I376" s="50" t="n">
        <f aca="false">'Object Crosswalk'!I99</f>
        <v>0.09</v>
      </c>
      <c r="J376" s="50" t="n">
        <f aca="false">H376*I376</f>
        <v>0.045</v>
      </c>
      <c r="K376" s="32" t="n">
        <f aca="false">0</f>
        <v>0</v>
      </c>
      <c r="L376" s="33" t="n">
        <f aca="false">Controls!B35</f>
        <v>0</v>
      </c>
      <c r="M376" s="33" t="n">
        <f aca="false">Controls!B36</f>
        <v>0</v>
      </c>
      <c r="N376" s="32" t="str">
        <f aca="false">IF(M376&gt;0,"PAID","HELD")</f>
        <v>HELD</v>
      </c>
    </row>
    <row r="377" customFormat="false" ht="15" hidden="false" customHeight="false" outlineLevel="0" collapsed="false">
      <c r="A377" s="19" t="str">
        <f aca="false">"PAY-"&amp;B377&amp;"-BREAK"</f>
        <v>PAY-MTH-RT-REC-L1-BREAK</v>
      </c>
      <c r="B377" s="19" t="str">
        <f aca="false">'Object Crosswalk'!A99</f>
        <v>MTH-RT-REC-L1</v>
      </c>
      <c r="C377" s="19" t="str">
        <f aca="false">'Object Crosswalk'!B99</f>
        <v>Method lineage</v>
      </c>
      <c r="D377" s="19" t="str">
        <f aca="false">'Object Crosswalk'!C99</f>
        <v>Public</v>
      </c>
      <c r="E377" s="19" t="str">
        <f aca="false">'Object Crosswalk'!D99</f>
        <v>MS-RT</v>
      </c>
      <c r="F377" s="19" t="str">
        <f aca="false">'Object Crosswalk'!E99</f>
        <v>RT-B</v>
      </c>
      <c r="G377" s="9" t="s">
        <v>1209</v>
      </c>
      <c r="H377" s="41" t="n">
        <v>0</v>
      </c>
      <c r="I377" s="50" t="n">
        <f aca="false">'Object Crosswalk'!I99</f>
        <v>0.09</v>
      </c>
      <c r="J377" s="50" t="n">
        <f aca="false">H377*I377</f>
        <v>0</v>
      </c>
      <c r="K377" s="32" t="n">
        <f aca="false">0</f>
        <v>0</v>
      </c>
      <c r="L377" s="33" t="n">
        <f aca="false">Controls!B35</f>
        <v>0</v>
      </c>
      <c r="M377" s="33" t="n">
        <f aca="false">Controls!B36</f>
        <v>0</v>
      </c>
      <c r="N377" s="32" t="str">
        <f aca="false">IF(M377&gt;0,"PAID","HELD")</f>
        <v>HELD</v>
      </c>
    </row>
    <row r="378" customFormat="false" ht="15" hidden="false" customHeight="false" outlineLevel="0" collapsed="false">
      <c r="A378" s="19" t="str">
        <f aca="false">"PAY-"&amp;B378&amp;"-TRANSFER"</f>
        <v>PAY-MTH-RT-REC-L1-TRANSFER</v>
      </c>
      <c r="B378" s="19" t="str">
        <f aca="false">'Object Crosswalk'!A99</f>
        <v>MTH-RT-REC-L1</v>
      </c>
      <c r="C378" s="19" t="str">
        <f aca="false">'Object Crosswalk'!B99</f>
        <v>Method lineage</v>
      </c>
      <c r="D378" s="19" t="str">
        <f aca="false">'Object Crosswalk'!C99</f>
        <v>Public</v>
      </c>
      <c r="E378" s="19" t="str">
        <f aca="false">'Object Crosswalk'!D99</f>
        <v>MS-RT</v>
      </c>
      <c r="F378" s="19" t="str">
        <f aca="false">'Object Crosswalk'!E99</f>
        <v>RT-B</v>
      </c>
      <c r="G378" s="9" t="s">
        <v>1210</v>
      </c>
      <c r="H378" s="41" t="n">
        <v>0.25</v>
      </c>
      <c r="I378" s="50" t="n">
        <f aca="false">'Object Crosswalk'!I99</f>
        <v>0.09</v>
      </c>
      <c r="J378" s="50" t="n">
        <f aca="false">H378*I378</f>
        <v>0.0225</v>
      </c>
      <c r="K378" s="32" t="n">
        <f aca="false">0</f>
        <v>0</v>
      </c>
      <c r="L378" s="33" t="n">
        <f aca="false">Controls!B35</f>
        <v>0</v>
      </c>
      <c r="M378" s="33" t="n">
        <f aca="false">Controls!B36</f>
        <v>0</v>
      </c>
      <c r="N378" s="32" t="str">
        <f aca="false">IF(M378&gt;0,"PAID","HELD")</f>
        <v>HELD</v>
      </c>
    </row>
    <row r="379" customFormat="false" ht="15" hidden="false" customHeight="false" outlineLevel="0" collapsed="false">
      <c r="A379" s="19" t="str">
        <f aca="false">"PAY-"&amp;B379&amp;"-FRAME"</f>
        <v>PAY-MTH-RT-REC-L2-FRAME</v>
      </c>
      <c r="B379" s="19" t="str">
        <f aca="false">'Object Crosswalk'!A100</f>
        <v>MTH-RT-REC-L2</v>
      </c>
      <c r="C379" s="19" t="str">
        <f aca="false">'Object Crosswalk'!B100</f>
        <v>Method lineage</v>
      </c>
      <c r="D379" s="19" t="str">
        <f aca="false">'Object Crosswalk'!C100</f>
        <v>Public</v>
      </c>
      <c r="E379" s="19" t="str">
        <f aca="false">'Object Crosswalk'!D100</f>
        <v>MS-RT</v>
      </c>
      <c r="F379" s="19" t="str">
        <f aca="false">'Object Crosswalk'!E100</f>
        <v>RT-B</v>
      </c>
      <c r="G379" s="9" t="s">
        <v>543</v>
      </c>
      <c r="H379" s="41" t="n">
        <v>0.25</v>
      </c>
      <c r="I379" s="50" t="n">
        <f aca="false">'Object Crosswalk'!I100</f>
        <v>0.09</v>
      </c>
      <c r="J379" s="50" t="n">
        <f aca="false">H379*I379</f>
        <v>0.0225</v>
      </c>
      <c r="K379" s="32" t="n">
        <f aca="false">0</f>
        <v>0</v>
      </c>
      <c r="L379" s="33" t="n">
        <f aca="false">Controls!B35</f>
        <v>0</v>
      </c>
      <c r="M379" s="33" t="n">
        <f aca="false">Controls!B36</f>
        <v>0</v>
      </c>
      <c r="N379" s="32" t="str">
        <f aca="false">IF(M379&gt;0,"PAID","HELD")</f>
        <v>HELD</v>
      </c>
    </row>
    <row r="380" customFormat="false" ht="15" hidden="false" customHeight="false" outlineLevel="0" collapsed="false">
      <c r="A380" s="19" t="str">
        <f aca="false">"PAY-"&amp;B380&amp;"-MAKE"</f>
        <v>PAY-MTH-RT-REC-L2-MAKE</v>
      </c>
      <c r="B380" s="19" t="str">
        <f aca="false">'Object Crosswalk'!A100</f>
        <v>MTH-RT-REC-L2</v>
      </c>
      <c r="C380" s="19" t="str">
        <f aca="false">'Object Crosswalk'!B100</f>
        <v>Method lineage</v>
      </c>
      <c r="D380" s="19" t="str">
        <f aca="false">'Object Crosswalk'!C100</f>
        <v>Public</v>
      </c>
      <c r="E380" s="19" t="str">
        <f aca="false">'Object Crosswalk'!D100</f>
        <v>MS-RT</v>
      </c>
      <c r="F380" s="19" t="str">
        <f aca="false">'Object Crosswalk'!E100</f>
        <v>RT-B</v>
      </c>
      <c r="G380" s="9" t="s">
        <v>546</v>
      </c>
      <c r="H380" s="41" t="n">
        <v>0.5</v>
      </c>
      <c r="I380" s="50" t="n">
        <f aca="false">'Object Crosswalk'!I100</f>
        <v>0.09</v>
      </c>
      <c r="J380" s="50" t="n">
        <f aca="false">H380*I380</f>
        <v>0.045</v>
      </c>
      <c r="K380" s="32" t="n">
        <f aca="false">0</f>
        <v>0</v>
      </c>
      <c r="L380" s="33" t="n">
        <f aca="false">Controls!B35</f>
        <v>0</v>
      </c>
      <c r="M380" s="33" t="n">
        <f aca="false">Controls!B36</f>
        <v>0</v>
      </c>
      <c r="N380" s="32" t="str">
        <f aca="false">IF(M380&gt;0,"PAID","HELD")</f>
        <v>HELD</v>
      </c>
    </row>
    <row r="381" customFormat="false" ht="15" hidden="false" customHeight="false" outlineLevel="0" collapsed="false">
      <c r="A381" s="19" t="str">
        <f aca="false">"PAY-"&amp;B381&amp;"-BREAK"</f>
        <v>PAY-MTH-RT-REC-L2-BREAK</v>
      </c>
      <c r="B381" s="19" t="str">
        <f aca="false">'Object Crosswalk'!A100</f>
        <v>MTH-RT-REC-L2</v>
      </c>
      <c r="C381" s="19" t="str">
        <f aca="false">'Object Crosswalk'!B100</f>
        <v>Method lineage</v>
      </c>
      <c r="D381" s="19" t="str">
        <f aca="false">'Object Crosswalk'!C100</f>
        <v>Public</v>
      </c>
      <c r="E381" s="19" t="str">
        <f aca="false">'Object Crosswalk'!D100</f>
        <v>MS-RT</v>
      </c>
      <c r="F381" s="19" t="str">
        <f aca="false">'Object Crosswalk'!E100</f>
        <v>RT-B</v>
      </c>
      <c r="G381" s="9" t="s">
        <v>1209</v>
      </c>
      <c r="H381" s="41" t="n">
        <v>0</v>
      </c>
      <c r="I381" s="50" t="n">
        <f aca="false">'Object Crosswalk'!I100</f>
        <v>0.09</v>
      </c>
      <c r="J381" s="50" t="n">
        <f aca="false">H381*I381</f>
        <v>0</v>
      </c>
      <c r="K381" s="32" t="n">
        <f aca="false">0</f>
        <v>0</v>
      </c>
      <c r="L381" s="33" t="n">
        <f aca="false">Controls!B35</f>
        <v>0</v>
      </c>
      <c r="M381" s="33" t="n">
        <f aca="false">Controls!B36</f>
        <v>0</v>
      </c>
      <c r="N381" s="32" t="str">
        <f aca="false">IF(M381&gt;0,"PAID","HELD")</f>
        <v>HELD</v>
      </c>
    </row>
    <row r="382" customFormat="false" ht="15" hidden="false" customHeight="false" outlineLevel="0" collapsed="false">
      <c r="A382" s="19" t="str">
        <f aca="false">"PAY-"&amp;B382&amp;"-TRANSFER"</f>
        <v>PAY-MTH-RT-REC-L2-TRANSFER</v>
      </c>
      <c r="B382" s="19" t="str">
        <f aca="false">'Object Crosswalk'!A100</f>
        <v>MTH-RT-REC-L2</v>
      </c>
      <c r="C382" s="19" t="str">
        <f aca="false">'Object Crosswalk'!B100</f>
        <v>Method lineage</v>
      </c>
      <c r="D382" s="19" t="str">
        <f aca="false">'Object Crosswalk'!C100</f>
        <v>Public</v>
      </c>
      <c r="E382" s="19" t="str">
        <f aca="false">'Object Crosswalk'!D100</f>
        <v>MS-RT</v>
      </c>
      <c r="F382" s="19" t="str">
        <f aca="false">'Object Crosswalk'!E100</f>
        <v>RT-B</v>
      </c>
      <c r="G382" s="9" t="s">
        <v>1210</v>
      </c>
      <c r="H382" s="41" t="n">
        <v>0.25</v>
      </c>
      <c r="I382" s="50" t="n">
        <f aca="false">'Object Crosswalk'!I100</f>
        <v>0.09</v>
      </c>
      <c r="J382" s="50" t="n">
        <f aca="false">H382*I382</f>
        <v>0.0225</v>
      </c>
      <c r="K382" s="32" t="n">
        <f aca="false">0</f>
        <v>0</v>
      </c>
      <c r="L382" s="33" t="n">
        <f aca="false">Controls!B35</f>
        <v>0</v>
      </c>
      <c r="M382" s="33" t="n">
        <f aca="false">Controls!B36</f>
        <v>0</v>
      </c>
      <c r="N382" s="32" t="str">
        <f aca="false">IF(M382&gt;0,"PAID","HELD")</f>
        <v>HELD</v>
      </c>
    </row>
    <row r="383" customFormat="false" ht="15" hidden="false" customHeight="false" outlineLevel="0" collapsed="false">
      <c r="A383" s="19" t="str">
        <f aca="false">"PAY-"&amp;B383&amp;"-FRAME"</f>
        <v>PAY-REG-RT-REC-FRAME</v>
      </c>
      <c r="B383" s="19" t="str">
        <f aca="false">'Object Crosswalk'!A101</f>
        <v>REG-RT-REC</v>
      </c>
      <c r="C383" s="19" t="str">
        <f aca="false">'Object Crosswalk'!B101</f>
        <v>Regeneration tool</v>
      </c>
      <c r="D383" s="19" t="str">
        <f aca="false">'Object Crosswalk'!C101</f>
        <v>Public</v>
      </c>
      <c r="E383" s="19" t="str">
        <f aca="false">'Object Crosswalk'!D101</f>
        <v>MS-RT</v>
      </c>
      <c r="F383" s="19" t="str">
        <f aca="false">'Object Crosswalk'!E101</f>
        <v>RT-B</v>
      </c>
      <c r="G383" s="9" t="s">
        <v>543</v>
      </c>
      <c r="H383" s="41" t="n">
        <v>0.25</v>
      </c>
      <c r="I383" s="50" t="n">
        <f aca="false">'Object Crosswalk'!I101</f>
        <v>0.0666666666666667</v>
      </c>
      <c r="J383" s="50" t="n">
        <f aca="false">H383*I383</f>
        <v>0.0166666666666667</v>
      </c>
      <c r="K383" s="32" t="n">
        <f aca="false">0</f>
        <v>0</v>
      </c>
      <c r="L383" s="33" t="n">
        <f aca="false">Controls!B35</f>
        <v>0</v>
      </c>
      <c r="M383" s="33" t="n">
        <f aca="false">Controls!B36</f>
        <v>0</v>
      </c>
      <c r="N383" s="32" t="str">
        <f aca="false">IF(M383&gt;0,"PAID","HELD")</f>
        <v>HELD</v>
      </c>
    </row>
    <row r="384" customFormat="false" ht="15" hidden="false" customHeight="false" outlineLevel="0" collapsed="false">
      <c r="A384" s="19" t="str">
        <f aca="false">"PAY-"&amp;B384&amp;"-MAKE"</f>
        <v>PAY-REG-RT-REC-MAKE</v>
      </c>
      <c r="B384" s="19" t="str">
        <f aca="false">'Object Crosswalk'!A101</f>
        <v>REG-RT-REC</v>
      </c>
      <c r="C384" s="19" t="str">
        <f aca="false">'Object Crosswalk'!B101</f>
        <v>Regeneration tool</v>
      </c>
      <c r="D384" s="19" t="str">
        <f aca="false">'Object Crosswalk'!C101</f>
        <v>Public</v>
      </c>
      <c r="E384" s="19" t="str">
        <f aca="false">'Object Crosswalk'!D101</f>
        <v>MS-RT</v>
      </c>
      <c r="F384" s="19" t="str">
        <f aca="false">'Object Crosswalk'!E101</f>
        <v>RT-B</v>
      </c>
      <c r="G384" s="9" t="s">
        <v>546</v>
      </c>
      <c r="H384" s="41" t="n">
        <v>0.5</v>
      </c>
      <c r="I384" s="50" t="n">
        <f aca="false">'Object Crosswalk'!I101</f>
        <v>0.0666666666666667</v>
      </c>
      <c r="J384" s="50" t="n">
        <f aca="false">H384*I384</f>
        <v>0.0333333333333333</v>
      </c>
      <c r="K384" s="32" t="n">
        <f aca="false">0</f>
        <v>0</v>
      </c>
      <c r="L384" s="33" t="n">
        <f aca="false">Controls!B35</f>
        <v>0</v>
      </c>
      <c r="M384" s="33" t="n">
        <f aca="false">Controls!B36</f>
        <v>0</v>
      </c>
      <c r="N384" s="32" t="str">
        <f aca="false">IF(M384&gt;0,"PAID","HELD")</f>
        <v>HELD</v>
      </c>
    </row>
    <row r="385" customFormat="false" ht="15" hidden="false" customHeight="false" outlineLevel="0" collapsed="false">
      <c r="A385" s="19" t="str">
        <f aca="false">"PAY-"&amp;B385&amp;"-BREAK"</f>
        <v>PAY-REG-RT-REC-BREAK</v>
      </c>
      <c r="B385" s="19" t="str">
        <f aca="false">'Object Crosswalk'!A101</f>
        <v>REG-RT-REC</v>
      </c>
      <c r="C385" s="19" t="str">
        <f aca="false">'Object Crosswalk'!B101</f>
        <v>Regeneration tool</v>
      </c>
      <c r="D385" s="19" t="str">
        <f aca="false">'Object Crosswalk'!C101</f>
        <v>Public</v>
      </c>
      <c r="E385" s="19" t="str">
        <f aca="false">'Object Crosswalk'!D101</f>
        <v>MS-RT</v>
      </c>
      <c r="F385" s="19" t="str">
        <f aca="false">'Object Crosswalk'!E101</f>
        <v>RT-B</v>
      </c>
      <c r="G385" s="9" t="s">
        <v>1209</v>
      </c>
      <c r="H385" s="41" t="n">
        <v>0</v>
      </c>
      <c r="I385" s="50" t="n">
        <f aca="false">'Object Crosswalk'!I101</f>
        <v>0.0666666666666667</v>
      </c>
      <c r="J385" s="50" t="n">
        <f aca="false">H385*I385</f>
        <v>0</v>
      </c>
      <c r="K385" s="32" t="n">
        <f aca="false">0</f>
        <v>0</v>
      </c>
      <c r="L385" s="33" t="n">
        <f aca="false">Controls!B35</f>
        <v>0</v>
      </c>
      <c r="M385" s="33" t="n">
        <f aca="false">Controls!B36</f>
        <v>0</v>
      </c>
      <c r="N385" s="32" t="str">
        <f aca="false">IF(M385&gt;0,"PAID","HELD")</f>
        <v>HELD</v>
      </c>
    </row>
    <row r="386" customFormat="false" ht="15" hidden="false" customHeight="false" outlineLevel="0" collapsed="false">
      <c r="A386" s="19" t="str">
        <f aca="false">"PAY-"&amp;B386&amp;"-TRANSFER"</f>
        <v>PAY-REG-RT-REC-TRANSFER</v>
      </c>
      <c r="B386" s="19" t="str">
        <f aca="false">'Object Crosswalk'!A101</f>
        <v>REG-RT-REC</v>
      </c>
      <c r="C386" s="19" t="str">
        <f aca="false">'Object Crosswalk'!B101</f>
        <v>Regeneration tool</v>
      </c>
      <c r="D386" s="19" t="str">
        <f aca="false">'Object Crosswalk'!C101</f>
        <v>Public</v>
      </c>
      <c r="E386" s="19" t="str">
        <f aca="false">'Object Crosswalk'!D101</f>
        <v>MS-RT</v>
      </c>
      <c r="F386" s="19" t="str">
        <f aca="false">'Object Crosswalk'!E101</f>
        <v>RT-B</v>
      </c>
      <c r="G386" s="9" t="s">
        <v>1210</v>
      </c>
      <c r="H386" s="41" t="n">
        <v>0.25</v>
      </c>
      <c r="I386" s="50" t="n">
        <f aca="false">'Object Crosswalk'!I101</f>
        <v>0.0666666666666667</v>
      </c>
      <c r="J386" s="50" t="n">
        <f aca="false">H386*I386</f>
        <v>0.0166666666666667</v>
      </c>
      <c r="K386" s="32" t="n">
        <f aca="false">0</f>
        <v>0</v>
      </c>
      <c r="L386" s="33" t="n">
        <f aca="false">Controls!B35</f>
        <v>0</v>
      </c>
      <c r="M386" s="33" t="n">
        <f aca="false">Controls!B36</f>
        <v>0</v>
      </c>
      <c r="N386" s="32" t="str">
        <f aca="false">IF(M386&gt;0,"PAID","HELD")</f>
        <v>HELD</v>
      </c>
    </row>
    <row r="387" customFormat="false" ht="15" hidden="false" customHeight="false" outlineLevel="0" collapsed="false">
      <c r="A387" s="19" t="str">
        <f aca="false">"PAY-"&amp;B387&amp;"-FRAME"</f>
        <v>PAY-INT-RT-REC-FRAME</v>
      </c>
      <c r="B387" s="19" t="str">
        <f aca="false">'Object Crosswalk'!A102</f>
        <v>INT-RT-REC</v>
      </c>
      <c r="C387" s="19" t="str">
        <f aca="false">'Object Crosswalk'!B102</f>
        <v>Station integration</v>
      </c>
      <c r="D387" s="19" t="str">
        <f aca="false">'Object Crosswalk'!C102</f>
        <v>Public</v>
      </c>
      <c r="E387" s="19" t="str">
        <f aca="false">'Object Crosswalk'!D102</f>
        <v>MS-RT</v>
      </c>
      <c r="F387" s="19" t="str">
        <f aca="false">'Object Crosswalk'!E102</f>
        <v>RT-B</v>
      </c>
      <c r="G387" s="9" t="s">
        <v>543</v>
      </c>
      <c r="H387" s="41" t="n">
        <v>0.25</v>
      </c>
      <c r="I387" s="50" t="n">
        <f aca="false">'Object Crosswalk'!I102</f>
        <v>0.0633333333333333</v>
      </c>
      <c r="J387" s="50" t="n">
        <f aca="false">H387*I387</f>
        <v>0.0158333333333333</v>
      </c>
      <c r="K387" s="32" t="n">
        <f aca="false">0</f>
        <v>0</v>
      </c>
      <c r="L387" s="33" t="n">
        <f aca="false">Controls!B35</f>
        <v>0</v>
      </c>
      <c r="M387" s="33" t="n">
        <f aca="false">Controls!B36</f>
        <v>0</v>
      </c>
      <c r="N387" s="32" t="str">
        <f aca="false">IF(M387&gt;0,"PAID","HELD")</f>
        <v>HELD</v>
      </c>
    </row>
    <row r="388" customFormat="false" ht="15" hidden="false" customHeight="false" outlineLevel="0" collapsed="false">
      <c r="A388" s="19" t="str">
        <f aca="false">"PAY-"&amp;B388&amp;"-MAKE"</f>
        <v>PAY-INT-RT-REC-MAKE</v>
      </c>
      <c r="B388" s="19" t="str">
        <f aca="false">'Object Crosswalk'!A102</f>
        <v>INT-RT-REC</v>
      </c>
      <c r="C388" s="19" t="str">
        <f aca="false">'Object Crosswalk'!B102</f>
        <v>Station integration</v>
      </c>
      <c r="D388" s="19" t="str">
        <f aca="false">'Object Crosswalk'!C102</f>
        <v>Public</v>
      </c>
      <c r="E388" s="19" t="str">
        <f aca="false">'Object Crosswalk'!D102</f>
        <v>MS-RT</v>
      </c>
      <c r="F388" s="19" t="str">
        <f aca="false">'Object Crosswalk'!E102</f>
        <v>RT-B</v>
      </c>
      <c r="G388" s="9" t="s">
        <v>546</v>
      </c>
      <c r="H388" s="41" t="n">
        <v>0.5</v>
      </c>
      <c r="I388" s="50" t="n">
        <f aca="false">'Object Crosswalk'!I102</f>
        <v>0.0633333333333333</v>
      </c>
      <c r="J388" s="50" t="n">
        <f aca="false">H388*I388</f>
        <v>0.0316666666666667</v>
      </c>
      <c r="K388" s="32" t="n">
        <f aca="false">0</f>
        <v>0</v>
      </c>
      <c r="L388" s="33" t="n">
        <f aca="false">Controls!B35</f>
        <v>0</v>
      </c>
      <c r="M388" s="33" t="n">
        <f aca="false">Controls!B36</f>
        <v>0</v>
      </c>
      <c r="N388" s="32" t="str">
        <f aca="false">IF(M388&gt;0,"PAID","HELD")</f>
        <v>HELD</v>
      </c>
    </row>
    <row r="389" customFormat="false" ht="15" hidden="false" customHeight="false" outlineLevel="0" collapsed="false">
      <c r="A389" s="19" t="str">
        <f aca="false">"PAY-"&amp;B389&amp;"-BREAK"</f>
        <v>PAY-INT-RT-REC-BREAK</v>
      </c>
      <c r="B389" s="19" t="str">
        <f aca="false">'Object Crosswalk'!A102</f>
        <v>INT-RT-REC</v>
      </c>
      <c r="C389" s="19" t="str">
        <f aca="false">'Object Crosswalk'!B102</f>
        <v>Station integration</v>
      </c>
      <c r="D389" s="19" t="str">
        <f aca="false">'Object Crosswalk'!C102</f>
        <v>Public</v>
      </c>
      <c r="E389" s="19" t="str">
        <f aca="false">'Object Crosswalk'!D102</f>
        <v>MS-RT</v>
      </c>
      <c r="F389" s="19" t="str">
        <f aca="false">'Object Crosswalk'!E102</f>
        <v>RT-B</v>
      </c>
      <c r="G389" s="9" t="s">
        <v>1209</v>
      </c>
      <c r="H389" s="41" t="n">
        <v>0</v>
      </c>
      <c r="I389" s="50" t="n">
        <f aca="false">'Object Crosswalk'!I102</f>
        <v>0.0633333333333333</v>
      </c>
      <c r="J389" s="50" t="n">
        <f aca="false">H389*I389</f>
        <v>0</v>
      </c>
      <c r="K389" s="32" t="n">
        <f aca="false">0</f>
        <v>0</v>
      </c>
      <c r="L389" s="33" t="n">
        <f aca="false">Controls!B35</f>
        <v>0</v>
      </c>
      <c r="M389" s="33" t="n">
        <f aca="false">Controls!B36</f>
        <v>0</v>
      </c>
      <c r="N389" s="32" t="str">
        <f aca="false">IF(M389&gt;0,"PAID","HELD")</f>
        <v>HELD</v>
      </c>
    </row>
    <row r="390" customFormat="false" ht="15" hidden="false" customHeight="false" outlineLevel="0" collapsed="false">
      <c r="A390" s="19" t="str">
        <f aca="false">"PAY-"&amp;B390&amp;"-TRANSFER"</f>
        <v>PAY-INT-RT-REC-TRANSFER</v>
      </c>
      <c r="B390" s="19" t="str">
        <f aca="false">'Object Crosswalk'!A102</f>
        <v>INT-RT-REC</v>
      </c>
      <c r="C390" s="19" t="str">
        <f aca="false">'Object Crosswalk'!B102</f>
        <v>Station integration</v>
      </c>
      <c r="D390" s="19" t="str">
        <f aca="false">'Object Crosswalk'!C102</f>
        <v>Public</v>
      </c>
      <c r="E390" s="19" t="str">
        <f aca="false">'Object Crosswalk'!D102</f>
        <v>MS-RT</v>
      </c>
      <c r="F390" s="19" t="str">
        <f aca="false">'Object Crosswalk'!E102</f>
        <v>RT-B</v>
      </c>
      <c r="G390" s="9" t="s">
        <v>1210</v>
      </c>
      <c r="H390" s="41" t="n">
        <v>0.25</v>
      </c>
      <c r="I390" s="50" t="n">
        <f aca="false">'Object Crosswalk'!I102</f>
        <v>0.0633333333333333</v>
      </c>
      <c r="J390" s="50" t="n">
        <f aca="false">H390*I390</f>
        <v>0.0158333333333333</v>
      </c>
      <c r="K390" s="32" t="n">
        <f aca="false">0</f>
        <v>0</v>
      </c>
      <c r="L390" s="33" t="n">
        <f aca="false">Controls!B35</f>
        <v>0</v>
      </c>
      <c r="M390" s="33" t="n">
        <f aca="false">Controls!B36</f>
        <v>0</v>
      </c>
      <c r="N390" s="32" t="str">
        <f aca="false">IF(M390&gt;0,"PAID","HELD")</f>
        <v>HELD</v>
      </c>
    </row>
    <row r="391" customFormat="false" ht="15" hidden="false" customHeight="false" outlineLevel="0" collapsed="false">
      <c r="A391" s="19" t="str">
        <f aca="false">"PAY-"&amp;B391&amp;"-FRAME"</f>
        <v>PAY-CAN-ET-A-FRAME</v>
      </c>
      <c r="B391" s="19" t="str">
        <f aca="false">'Object Crosswalk'!A103</f>
        <v>CAN-ET-A</v>
      </c>
      <c r="C391" s="19" t="str">
        <f aca="false">'Object Crosswalk'!B103</f>
        <v>Candidate mechanism</v>
      </c>
      <c r="D391" s="19" t="str">
        <f aca="false">'Object Crosswalk'!C103</f>
        <v>Private option</v>
      </c>
      <c r="E391" s="19" t="str">
        <f aca="false">'Object Crosswalk'!D103</f>
        <v>MS-ET</v>
      </c>
      <c r="F391" s="19" t="str">
        <f aca="false">'Object Crosswalk'!E103</f>
        <v>ET-A</v>
      </c>
      <c r="G391" s="9" t="s">
        <v>543</v>
      </c>
      <c r="H391" s="41" t="n">
        <v>0.15</v>
      </c>
      <c r="I391" s="50" t="n">
        <f aca="false">'Object Crosswalk'!I103</f>
        <v>0.50047461808185</v>
      </c>
      <c r="J391" s="50" t="n">
        <f aca="false">H391*I391</f>
        <v>0.0750711927122775</v>
      </c>
      <c r="K391" s="32" t="n">
        <f aca="false">0</f>
        <v>0</v>
      </c>
      <c r="L391" s="33" t="n">
        <f aca="false">Controls!B35</f>
        <v>0</v>
      </c>
      <c r="M391" s="33" t="n">
        <f aca="false">Controls!B36</f>
        <v>0</v>
      </c>
      <c r="N391" s="32" t="str">
        <f aca="false">IF(M391&gt;0,"PAID","HELD")</f>
        <v>HELD</v>
      </c>
    </row>
    <row r="392" customFormat="false" ht="15" hidden="false" customHeight="false" outlineLevel="0" collapsed="false">
      <c r="A392" s="19" t="str">
        <f aca="false">"PAY-"&amp;B392&amp;"-MAKE"</f>
        <v>PAY-CAN-ET-A-MAKE</v>
      </c>
      <c r="B392" s="19" t="str">
        <f aca="false">'Object Crosswalk'!A103</f>
        <v>CAN-ET-A</v>
      </c>
      <c r="C392" s="19" t="str">
        <f aca="false">'Object Crosswalk'!B103</f>
        <v>Candidate mechanism</v>
      </c>
      <c r="D392" s="19" t="str">
        <f aca="false">'Object Crosswalk'!C103</f>
        <v>Private option</v>
      </c>
      <c r="E392" s="19" t="str">
        <f aca="false">'Object Crosswalk'!D103</f>
        <v>MS-ET</v>
      </c>
      <c r="F392" s="19" t="str">
        <f aca="false">'Object Crosswalk'!E103</f>
        <v>ET-A</v>
      </c>
      <c r="G392" s="9" t="s">
        <v>546</v>
      </c>
      <c r="H392" s="41" t="n">
        <v>0.35</v>
      </c>
      <c r="I392" s="50" t="n">
        <f aca="false">'Object Crosswalk'!I103</f>
        <v>0.50047461808185</v>
      </c>
      <c r="J392" s="50" t="n">
        <f aca="false">H392*I392</f>
        <v>0.175166116328647</v>
      </c>
      <c r="K392" s="32" t="n">
        <f aca="false">0</f>
        <v>0</v>
      </c>
      <c r="L392" s="33" t="n">
        <f aca="false">Controls!B35</f>
        <v>0</v>
      </c>
      <c r="M392" s="33" t="n">
        <f aca="false">Controls!B36</f>
        <v>0</v>
      </c>
      <c r="N392" s="32" t="str">
        <f aca="false">IF(M392&gt;0,"PAID","HELD")</f>
        <v>HELD</v>
      </c>
    </row>
    <row r="393" customFormat="false" ht="15" hidden="false" customHeight="false" outlineLevel="0" collapsed="false">
      <c r="A393" s="19" t="str">
        <f aca="false">"PAY-"&amp;B393&amp;"-BREAK"</f>
        <v>PAY-CAN-ET-A-BREAK</v>
      </c>
      <c r="B393" s="19" t="str">
        <f aca="false">'Object Crosswalk'!A103</f>
        <v>CAN-ET-A</v>
      </c>
      <c r="C393" s="19" t="str">
        <f aca="false">'Object Crosswalk'!B103</f>
        <v>Candidate mechanism</v>
      </c>
      <c r="D393" s="19" t="str">
        <f aca="false">'Object Crosswalk'!C103</f>
        <v>Private option</v>
      </c>
      <c r="E393" s="19" t="str">
        <f aca="false">'Object Crosswalk'!D103</f>
        <v>MS-ET</v>
      </c>
      <c r="F393" s="19" t="str">
        <f aca="false">'Object Crosswalk'!E103</f>
        <v>ET-A</v>
      </c>
      <c r="G393" s="9" t="s">
        <v>1209</v>
      </c>
      <c r="H393" s="41" t="n">
        <v>0.35</v>
      </c>
      <c r="I393" s="50" t="n">
        <f aca="false">'Object Crosswalk'!I103</f>
        <v>0.50047461808185</v>
      </c>
      <c r="J393" s="50" t="n">
        <f aca="false">H393*I393</f>
        <v>0.175166116328647</v>
      </c>
      <c r="K393" s="32" t="n">
        <f aca="false">0</f>
        <v>0</v>
      </c>
      <c r="L393" s="33" t="n">
        <f aca="false">Controls!B35</f>
        <v>0</v>
      </c>
      <c r="M393" s="33" t="n">
        <f aca="false">Controls!B36</f>
        <v>0</v>
      </c>
      <c r="N393" s="32" t="str">
        <f aca="false">IF(M393&gt;0,"PAID","HELD")</f>
        <v>HELD</v>
      </c>
    </row>
    <row r="394" customFormat="false" ht="15" hidden="false" customHeight="false" outlineLevel="0" collapsed="false">
      <c r="A394" s="19" t="str">
        <f aca="false">"PAY-"&amp;B394&amp;"-TRANSFER"</f>
        <v>PAY-CAN-ET-A-TRANSFER</v>
      </c>
      <c r="B394" s="19" t="str">
        <f aca="false">'Object Crosswalk'!A103</f>
        <v>CAN-ET-A</v>
      </c>
      <c r="C394" s="19" t="str">
        <f aca="false">'Object Crosswalk'!B103</f>
        <v>Candidate mechanism</v>
      </c>
      <c r="D394" s="19" t="str">
        <f aca="false">'Object Crosswalk'!C103</f>
        <v>Private option</v>
      </c>
      <c r="E394" s="19" t="str">
        <f aca="false">'Object Crosswalk'!D103</f>
        <v>MS-ET</v>
      </c>
      <c r="F394" s="19" t="str">
        <f aca="false">'Object Crosswalk'!E103</f>
        <v>ET-A</v>
      </c>
      <c r="G394" s="9" t="s">
        <v>1210</v>
      </c>
      <c r="H394" s="41" t="n">
        <v>0.15</v>
      </c>
      <c r="I394" s="50" t="n">
        <f aca="false">'Object Crosswalk'!I103</f>
        <v>0.50047461808185</v>
      </c>
      <c r="J394" s="50" t="n">
        <f aca="false">H394*I394</f>
        <v>0.0750711927122775</v>
      </c>
      <c r="K394" s="32" t="n">
        <f aca="false">0</f>
        <v>0</v>
      </c>
      <c r="L394" s="33" t="n">
        <f aca="false">Controls!B35</f>
        <v>0</v>
      </c>
      <c r="M394" s="33" t="n">
        <f aca="false">Controls!B36</f>
        <v>0</v>
      </c>
      <c r="N394" s="32" t="str">
        <f aca="false">IF(M394&gt;0,"PAID","HELD")</f>
        <v>HELD</v>
      </c>
    </row>
    <row r="395" customFormat="false" ht="15" hidden="false" customHeight="false" outlineLevel="0" collapsed="false">
      <c r="A395" s="19" t="str">
        <f aca="false">"PAY-"&amp;B395&amp;"-FRAME"</f>
        <v>PAY-CAN-CT-C-FRAME</v>
      </c>
      <c r="B395" s="19" t="str">
        <f aca="false">'Object Crosswalk'!A104</f>
        <v>CAN-CT-C</v>
      </c>
      <c r="C395" s="19" t="str">
        <f aca="false">'Object Crosswalk'!B104</f>
        <v>Candidate mechanism</v>
      </c>
      <c r="D395" s="19" t="str">
        <f aca="false">'Object Crosswalk'!C104</f>
        <v>Private option</v>
      </c>
      <c r="E395" s="19" t="str">
        <f aca="false">'Object Crosswalk'!D104</f>
        <v>MS-CT</v>
      </c>
      <c r="F395" s="19" t="str">
        <f aca="false">'Object Crosswalk'!E104</f>
        <v>CT-C</v>
      </c>
      <c r="G395" s="9" t="s">
        <v>543</v>
      </c>
      <c r="H395" s="41" t="n">
        <v>0.15</v>
      </c>
      <c r="I395" s="50" t="n">
        <f aca="false">'Object Crosswalk'!I104</f>
        <v>0.51649348177396</v>
      </c>
      <c r="J395" s="50" t="n">
        <f aca="false">H395*I395</f>
        <v>0.077474022266094</v>
      </c>
      <c r="K395" s="32" t="n">
        <f aca="false">0</f>
        <v>0</v>
      </c>
      <c r="L395" s="33" t="n">
        <f aca="false">Controls!B35</f>
        <v>0</v>
      </c>
      <c r="M395" s="33" t="n">
        <f aca="false">Controls!B36</f>
        <v>0</v>
      </c>
      <c r="N395" s="32" t="str">
        <f aca="false">IF(M395&gt;0,"PAID","HELD")</f>
        <v>HELD</v>
      </c>
    </row>
    <row r="396" customFormat="false" ht="15" hidden="false" customHeight="false" outlineLevel="0" collapsed="false">
      <c r="A396" s="19" t="str">
        <f aca="false">"PAY-"&amp;B396&amp;"-MAKE"</f>
        <v>PAY-CAN-CT-C-MAKE</v>
      </c>
      <c r="B396" s="19" t="str">
        <f aca="false">'Object Crosswalk'!A104</f>
        <v>CAN-CT-C</v>
      </c>
      <c r="C396" s="19" t="str">
        <f aca="false">'Object Crosswalk'!B104</f>
        <v>Candidate mechanism</v>
      </c>
      <c r="D396" s="19" t="str">
        <f aca="false">'Object Crosswalk'!C104</f>
        <v>Private option</v>
      </c>
      <c r="E396" s="19" t="str">
        <f aca="false">'Object Crosswalk'!D104</f>
        <v>MS-CT</v>
      </c>
      <c r="F396" s="19" t="str">
        <f aca="false">'Object Crosswalk'!E104</f>
        <v>CT-C</v>
      </c>
      <c r="G396" s="9" t="s">
        <v>546</v>
      </c>
      <c r="H396" s="41" t="n">
        <v>0.35</v>
      </c>
      <c r="I396" s="50" t="n">
        <f aca="false">'Object Crosswalk'!I104</f>
        <v>0.51649348177396</v>
      </c>
      <c r="J396" s="50" t="n">
        <f aca="false">H396*I396</f>
        <v>0.180772718620886</v>
      </c>
      <c r="K396" s="32" t="n">
        <f aca="false">0</f>
        <v>0</v>
      </c>
      <c r="L396" s="33" t="n">
        <f aca="false">Controls!B35</f>
        <v>0</v>
      </c>
      <c r="M396" s="33" t="n">
        <f aca="false">Controls!B36</f>
        <v>0</v>
      </c>
      <c r="N396" s="32" t="str">
        <f aca="false">IF(M396&gt;0,"PAID","HELD")</f>
        <v>HELD</v>
      </c>
    </row>
    <row r="397" customFormat="false" ht="15" hidden="false" customHeight="false" outlineLevel="0" collapsed="false">
      <c r="A397" s="19" t="str">
        <f aca="false">"PAY-"&amp;B397&amp;"-BREAK"</f>
        <v>PAY-CAN-CT-C-BREAK</v>
      </c>
      <c r="B397" s="19" t="str">
        <f aca="false">'Object Crosswalk'!A104</f>
        <v>CAN-CT-C</v>
      </c>
      <c r="C397" s="19" t="str">
        <f aca="false">'Object Crosswalk'!B104</f>
        <v>Candidate mechanism</v>
      </c>
      <c r="D397" s="19" t="str">
        <f aca="false">'Object Crosswalk'!C104</f>
        <v>Private option</v>
      </c>
      <c r="E397" s="19" t="str">
        <f aca="false">'Object Crosswalk'!D104</f>
        <v>MS-CT</v>
      </c>
      <c r="F397" s="19" t="str">
        <f aca="false">'Object Crosswalk'!E104</f>
        <v>CT-C</v>
      </c>
      <c r="G397" s="9" t="s">
        <v>1209</v>
      </c>
      <c r="H397" s="41" t="n">
        <v>0.35</v>
      </c>
      <c r="I397" s="50" t="n">
        <f aca="false">'Object Crosswalk'!I104</f>
        <v>0.51649348177396</v>
      </c>
      <c r="J397" s="50" t="n">
        <f aca="false">H397*I397</f>
        <v>0.180772718620886</v>
      </c>
      <c r="K397" s="32" t="n">
        <f aca="false">0</f>
        <v>0</v>
      </c>
      <c r="L397" s="33" t="n">
        <f aca="false">Controls!B35</f>
        <v>0</v>
      </c>
      <c r="M397" s="33" t="n">
        <f aca="false">Controls!B36</f>
        <v>0</v>
      </c>
      <c r="N397" s="32" t="str">
        <f aca="false">IF(M397&gt;0,"PAID","HELD")</f>
        <v>HELD</v>
      </c>
    </row>
    <row r="398" customFormat="false" ht="15" hidden="false" customHeight="false" outlineLevel="0" collapsed="false">
      <c r="A398" s="19" t="str">
        <f aca="false">"PAY-"&amp;B398&amp;"-TRANSFER"</f>
        <v>PAY-CAN-CT-C-TRANSFER</v>
      </c>
      <c r="B398" s="19" t="str">
        <f aca="false">'Object Crosswalk'!A104</f>
        <v>CAN-CT-C</v>
      </c>
      <c r="C398" s="19" t="str">
        <f aca="false">'Object Crosswalk'!B104</f>
        <v>Candidate mechanism</v>
      </c>
      <c r="D398" s="19" t="str">
        <f aca="false">'Object Crosswalk'!C104</f>
        <v>Private option</v>
      </c>
      <c r="E398" s="19" t="str">
        <f aca="false">'Object Crosswalk'!D104</f>
        <v>MS-CT</v>
      </c>
      <c r="F398" s="19" t="str">
        <f aca="false">'Object Crosswalk'!E104</f>
        <v>CT-C</v>
      </c>
      <c r="G398" s="9" t="s">
        <v>1210</v>
      </c>
      <c r="H398" s="41" t="n">
        <v>0.15</v>
      </c>
      <c r="I398" s="50" t="n">
        <f aca="false">'Object Crosswalk'!I104</f>
        <v>0.51649348177396</v>
      </c>
      <c r="J398" s="50" t="n">
        <f aca="false">H398*I398</f>
        <v>0.077474022266094</v>
      </c>
      <c r="K398" s="32" t="n">
        <f aca="false">0</f>
        <v>0</v>
      </c>
      <c r="L398" s="33" t="n">
        <f aca="false">Controls!B35</f>
        <v>0</v>
      </c>
      <c r="M398" s="33" t="n">
        <f aca="false">Controls!B36</f>
        <v>0</v>
      </c>
      <c r="N398" s="32" t="str">
        <f aca="false">IF(M398&gt;0,"PAID","HELD")</f>
        <v>HELD</v>
      </c>
    </row>
    <row r="399" customFormat="false" ht="15" hidden="false" customHeight="false" outlineLevel="0" collapsed="false">
      <c r="A399" s="19" t="str">
        <f aca="false">"PAY-"&amp;B399&amp;"-FRAME"</f>
        <v>PAY-CAN-HC-A-FRAME</v>
      </c>
      <c r="B399" s="19" t="str">
        <f aca="false">'Object Crosswalk'!A105</f>
        <v>CAN-HC-A</v>
      </c>
      <c r="C399" s="19" t="str">
        <f aca="false">'Object Crosswalk'!B105</f>
        <v>Candidate mechanism</v>
      </c>
      <c r="D399" s="19" t="str">
        <f aca="false">'Object Crosswalk'!C105</f>
        <v>Private option</v>
      </c>
      <c r="E399" s="19" t="str">
        <f aca="false">'Object Crosswalk'!D105</f>
        <v>MS-HC</v>
      </c>
      <c r="F399" s="19" t="str">
        <f aca="false">'Object Crosswalk'!E105</f>
        <v>HC-A</v>
      </c>
      <c r="G399" s="9" t="s">
        <v>543</v>
      </c>
      <c r="H399" s="41" t="n">
        <v>0.15</v>
      </c>
      <c r="I399" s="50" t="n">
        <f aca="false">'Object Crosswalk'!I105</f>
        <v>0.307221654067133</v>
      </c>
      <c r="J399" s="50" t="n">
        <f aca="false">H399*I399</f>
        <v>0.0460832481100699</v>
      </c>
      <c r="K399" s="32" t="n">
        <f aca="false">0</f>
        <v>0</v>
      </c>
      <c r="L399" s="33" t="n">
        <f aca="false">Controls!B35</f>
        <v>0</v>
      </c>
      <c r="M399" s="33" t="n">
        <f aca="false">Controls!B36</f>
        <v>0</v>
      </c>
      <c r="N399" s="32" t="str">
        <f aca="false">IF(M399&gt;0,"PAID","HELD")</f>
        <v>HELD</v>
      </c>
    </row>
    <row r="400" customFormat="false" ht="15" hidden="false" customHeight="false" outlineLevel="0" collapsed="false">
      <c r="A400" s="19" t="str">
        <f aca="false">"PAY-"&amp;B400&amp;"-MAKE"</f>
        <v>PAY-CAN-HC-A-MAKE</v>
      </c>
      <c r="B400" s="19" t="str">
        <f aca="false">'Object Crosswalk'!A105</f>
        <v>CAN-HC-A</v>
      </c>
      <c r="C400" s="19" t="str">
        <f aca="false">'Object Crosswalk'!B105</f>
        <v>Candidate mechanism</v>
      </c>
      <c r="D400" s="19" t="str">
        <f aca="false">'Object Crosswalk'!C105</f>
        <v>Private option</v>
      </c>
      <c r="E400" s="19" t="str">
        <f aca="false">'Object Crosswalk'!D105</f>
        <v>MS-HC</v>
      </c>
      <c r="F400" s="19" t="str">
        <f aca="false">'Object Crosswalk'!E105</f>
        <v>HC-A</v>
      </c>
      <c r="G400" s="9" t="s">
        <v>546</v>
      </c>
      <c r="H400" s="41" t="n">
        <v>0.35</v>
      </c>
      <c r="I400" s="50" t="n">
        <f aca="false">'Object Crosswalk'!I105</f>
        <v>0.307221654067133</v>
      </c>
      <c r="J400" s="50" t="n">
        <f aca="false">H400*I400</f>
        <v>0.107527578923497</v>
      </c>
      <c r="K400" s="32" t="n">
        <f aca="false">0</f>
        <v>0</v>
      </c>
      <c r="L400" s="33" t="n">
        <f aca="false">Controls!B35</f>
        <v>0</v>
      </c>
      <c r="M400" s="33" t="n">
        <f aca="false">Controls!B36</f>
        <v>0</v>
      </c>
      <c r="N400" s="32" t="str">
        <f aca="false">IF(M400&gt;0,"PAID","HELD")</f>
        <v>HELD</v>
      </c>
    </row>
    <row r="401" customFormat="false" ht="15" hidden="false" customHeight="false" outlineLevel="0" collapsed="false">
      <c r="A401" s="19" t="str">
        <f aca="false">"PAY-"&amp;B401&amp;"-BREAK"</f>
        <v>PAY-CAN-HC-A-BREAK</v>
      </c>
      <c r="B401" s="19" t="str">
        <f aca="false">'Object Crosswalk'!A105</f>
        <v>CAN-HC-A</v>
      </c>
      <c r="C401" s="19" t="str">
        <f aca="false">'Object Crosswalk'!B105</f>
        <v>Candidate mechanism</v>
      </c>
      <c r="D401" s="19" t="str">
        <f aca="false">'Object Crosswalk'!C105</f>
        <v>Private option</v>
      </c>
      <c r="E401" s="19" t="str">
        <f aca="false">'Object Crosswalk'!D105</f>
        <v>MS-HC</v>
      </c>
      <c r="F401" s="19" t="str">
        <f aca="false">'Object Crosswalk'!E105</f>
        <v>HC-A</v>
      </c>
      <c r="G401" s="9" t="s">
        <v>1209</v>
      </c>
      <c r="H401" s="41" t="n">
        <v>0.35</v>
      </c>
      <c r="I401" s="50" t="n">
        <f aca="false">'Object Crosswalk'!I105</f>
        <v>0.307221654067133</v>
      </c>
      <c r="J401" s="50" t="n">
        <f aca="false">H401*I401</f>
        <v>0.107527578923497</v>
      </c>
      <c r="K401" s="32" t="n">
        <f aca="false">0</f>
        <v>0</v>
      </c>
      <c r="L401" s="33" t="n">
        <f aca="false">Controls!B35</f>
        <v>0</v>
      </c>
      <c r="M401" s="33" t="n">
        <f aca="false">Controls!B36</f>
        <v>0</v>
      </c>
      <c r="N401" s="32" t="str">
        <f aca="false">IF(M401&gt;0,"PAID","HELD")</f>
        <v>HELD</v>
      </c>
    </row>
    <row r="402" customFormat="false" ht="15" hidden="false" customHeight="false" outlineLevel="0" collapsed="false">
      <c r="A402" s="19" t="str">
        <f aca="false">"PAY-"&amp;B402&amp;"-TRANSFER"</f>
        <v>PAY-CAN-HC-A-TRANSFER</v>
      </c>
      <c r="B402" s="19" t="str">
        <f aca="false">'Object Crosswalk'!A105</f>
        <v>CAN-HC-A</v>
      </c>
      <c r="C402" s="19" t="str">
        <f aca="false">'Object Crosswalk'!B105</f>
        <v>Candidate mechanism</v>
      </c>
      <c r="D402" s="19" t="str">
        <f aca="false">'Object Crosswalk'!C105</f>
        <v>Private option</v>
      </c>
      <c r="E402" s="19" t="str">
        <f aca="false">'Object Crosswalk'!D105</f>
        <v>MS-HC</v>
      </c>
      <c r="F402" s="19" t="str">
        <f aca="false">'Object Crosswalk'!E105</f>
        <v>HC-A</v>
      </c>
      <c r="G402" s="9" t="s">
        <v>1210</v>
      </c>
      <c r="H402" s="41" t="n">
        <v>0.15</v>
      </c>
      <c r="I402" s="50" t="n">
        <f aca="false">'Object Crosswalk'!I105</f>
        <v>0.307221654067133</v>
      </c>
      <c r="J402" s="50" t="n">
        <f aca="false">H402*I402</f>
        <v>0.0460832481100699</v>
      </c>
      <c r="K402" s="32" t="n">
        <f aca="false">0</f>
        <v>0</v>
      </c>
      <c r="L402" s="33" t="n">
        <f aca="false">Controls!B35</f>
        <v>0</v>
      </c>
      <c r="M402" s="33" t="n">
        <f aca="false">Controls!B36</f>
        <v>0</v>
      </c>
      <c r="N402" s="32" t="str">
        <f aca="false">IF(M402&gt;0,"PAID","HELD")</f>
        <v>HELD</v>
      </c>
    </row>
    <row r="403" customFormat="false" ht="15" hidden="false" customHeight="false" outlineLevel="0" collapsed="false">
      <c r="A403" s="19" t="str">
        <f aca="false">"PAY-"&amp;B403&amp;"-FRAME"</f>
        <v>PAY-CAN-LF-B-FRAME</v>
      </c>
      <c r="B403" s="19" t="str">
        <f aca="false">'Object Crosswalk'!A106</f>
        <v>CAN-LF-B</v>
      </c>
      <c r="C403" s="19" t="str">
        <f aca="false">'Object Crosswalk'!B106</f>
        <v>Candidate mechanism</v>
      </c>
      <c r="D403" s="19" t="str">
        <f aca="false">'Object Crosswalk'!C106</f>
        <v>Private option</v>
      </c>
      <c r="E403" s="19" t="str">
        <f aca="false">'Object Crosswalk'!D106</f>
        <v>MS-LF</v>
      </c>
      <c r="F403" s="19" t="str">
        <f aca="false">'Object Crosswalk'!E106</f>
        <v>LF-B</v>
      </c>
      <c r="G403" s="9" t="s">
        <v>543</v>
      </c>
      <c r="H403" s="41" t="n">
        <v>0.15</v>
      </c>
      <c r="I403" s="50" t="n">
        <f aca="false">'Object Crosswalk'!I106</f>
        <v>0.899412819320565</v>
      </c>
      <c r="J403" s="50" t="n">
        <f aca="false">H403*I403</f>
        <v>0.134911922898085</v>
      </c>
      <c r="K403" s="32" t="n">
        <f aca="false">0</f>
        <v>0</v>
      </c>
      <c r="L403" s="33" t="n">
        <f aca="false">Controls!B35</f>
        <v>0</v>
      </c>
      <c r="M403" s="33" t="n">
        <f aca="false">Controls!B36</f>
        <v>0</v>
      </c>
      <c r="N403" s="32" t="str">
        <f aca="false">IF(M403&gt;0,"PAID","HELD")</f>
        <v>HELD</v>
      </c>
    </row>
    <row r="404" customFormat="false" ht="15" hidden="false" customHeight="false" outlineLevel="0" collapsed="false">
      <c r="A404" s="19" t="str">
        <f aca="false">"PAY-"&amp;B404&amp;"-MAKE"</f>
        <v>PAY-CAN-LF-B-MAKE</v>
      </c>
      <c r="B404" s="19" t="str">
        <f aca="false">'Object Crosswalk'!A106</f>
        <v>CAN-LF-B</v>
      </c>
      <c r="C404" s="19" t="str">
        <f aca="false">'Object Crosswalk'!B106</f>
        <v>Candidate mechanism</v>
      </c>
      <c r="D404" s="19" t="str">
        <f aca="false">'Object Crosswalk'!C106</f>
        <v>Private option</v>
      </c>
      <c r="E404" s="19" t="str">
        <f aca="false">'Object Crosswalk'!D106</f>
        <v>MS-LF</v>
      </c>
      <c r="F404" s="19" t="str">
        <f aca="false">'Object Crosswalk'!E106</f>
        <v>LF-B</v>
      </c>
      <c r="G404" s="9" t="s">
        <v>546</v>
      </c>
      <c r="H404" s="41" t="n">
        <v>0.35</v>
      </c>
      <c r="I404" s="50" t="n">
        <f aca="false">'Object Crosswalk'!I106</f>
        <v>0.899412819320565</v>
      </c>
      <c r="J404" s="50" t="n">
        <f aca="false">H404*I404</f>
        <v>0.314794486762198</v>
      </c>
      <c r="K404" s="32" t="n">
        <f aca="false">0</f>
        <v>0</v>
      </c>
      <c r="L404" s="33" t="n">
        <f aca="false">Controls!B35</f>
        <v>0</v>
      </c>
      <c r="M404" s="33" t="n">
        <f aca="false">Controls!B36</f>
        <v>0</v>
      </c>
      <c r="N404" s="32" t="str">
        <f aca="false">IF(M404&gt;0,"PAID","HELD")</f>
        <v>HELD</v>
      </c>
    </row>
    <row r="405" customFormat="false" ht="15" hidden="false" customHeight="false" outlineLevel="0" collapsed="false">
      <c r="A405" s="19" t="str">
        <f aca="false">"PAY-"&amp;B405&amp;"-BREAK"</f>
        <v>PAY-CAN-LF-B-BREAK</v>
      </c>
      <c r="B405" s="19" t="str">
        <f aca="false">'Object Crosswalk'!A106</f>
        <v>CAN-LF-B</v>
      </c>
      <c r="C405" s="19" t="str">
        <f aca="false">'Object Crosswalk'!B106</f>
        <v>Candidate mechanism</v>
      </c>
      <c r="D405" s="19" t="str">
        <f aca="false">'Object Crosswalk'!C106</f>
        <v>Private option</v>
      </c>
      <c r="E405" s="19" t="str">
        <f aca="false">'Object Crosswalk'!D106</f>
        <v>MS-LF</v>
      </c>
      <c r="F405" s="19" t="str">
        <f aca="false">'Object Crosswalk'!E106</f>
        <v>LF-B</v>
      </c>
      <c r="G405" s="9" t="s">
        <v>1209</v>
      </c>
      <c r="H405" s="41" t="n">
        <v>0.35</v>
      </c>
      <c r="I405" s="50" t="n">
        <f aca="false">'Object Crosswalk'!I106</f>
        <v>0.899412819320565</v>
      </c>
      <c r="J405" s="50" t="n">
        <f aca="false">H405*I405</f>
        <v>0.314794486762198</v>
      </c>
      <c r="K405" s="32" t="n">
        <f aca="false">0</f>
        <v>0</v>
      </c>
      <c r="L405" s="33" t="n">
        <f aca="false">Controls!B35</f>
        <v>0</v>
      </c>
      <c r="M405" s="33" t="n">
        <f aca="false">Controls!B36</f>
        <v>0</v>
      </c>
      <c r="N405" s="32" t="str">
        <f aca="false">IF(M405&gt;0,"PAID","HELD")</f>
        <v>HELD</v>
      </c>
    </row>
    <row r="406" customFormat="false" ht="15" hidden="false" customHeight="false" outlineLevel="0" collapsed="false">
      <c r="A406" s="19" t="str">
        <f aca="false">"PAY-"&amp;B406&amp;"-TRANSFER"</f>
        <v>PAY-CAN-LF-B-TRANSFER</v>
      </c>
      <c r="B406" s="19" t="str">
        <f aca="false">'Object Crosswalk'!A106</f>
        <v>CAN-LF-B</v>
      </c>
      <c r="C406" s="19" t="str">
        <f aca="false">'Object Crosswalk'!B106</f>
        <v>Candidate mechanism</v>
      </c>
      <c r="D406" s="19" t="str">
        <f aca="false">'Object Crosswalk'!C106</f>
        <v>Private option</v>
      </c>
      <c r="E406" s="19" t="str">
        <f aca="false">'Object Crosswalk'!D106</f>
        <v>MS-LF</v>
      </c>
      <c r="F406" s="19" t="str">
        <f aca="false">'Object Crosswalk'!E106</f>
        <v>LF-B</v>
      </c>
      <c r="G406" s="9" t="s">
        <v>1210</v>
      </c>
      <c r="H406" s="41" t="n">
        <v>0.15</v>
      </c>
      <c r="I406" s="50" t="n">
        <f aca="false">'Object Crosswalk'!I106</f>
        <v>0.899412819320565</v>
      </c>
      <c r="J406" s="50" t="n">
        <f aca="false">H406*I406</f>
        <v>0.134911922898085</v>
      </c>
      <c r="K406" s="32" t="n">
        <f aca="false">0</f>
        <v>0</v>
      </c>
      <c r="L406" s="33" t="n">
        <f aca="false">Controls!B35</f>
        <v>0</v>
      </c>
      <c r="M406" s="33" t="n">
        <f aca="false">Controls!B36</f>
        <v>0</v>
      </c>
      <c r="N406" s="32" t="str">
        <f aca="false">IF(M406&gt;0,"PAID","HELD")</f>
        <v>HELD</v>
      </c>
    </row>
    <row r="407" customFormat="false" ht="15" hidden="false" customHeight="false" outlineLevel="0" collapsed="false">
      <c r="A407" s="19" t="str">
        <f aca="false">"PAY-"&amp;B407&amp;"-FRAME"</f>
        <v>PAY-CAN-HU-A-FRAME</v>
      </c>
      <c r="B407" s="19" t="str">
        <f aca="false">'Object Crosswalk'!A107</f>
        <v>CAN-HU-A</v>
      </c>
      <c r="C407" s="19" t="str">
        <f aca="false">'Object Crosswalk'!B107</f>
        <v>Candidate mechanism</v>
      </c>
      <c r="D407" s="19" t="str">
        <f aca="false">'Object Crosswalk'!C107</f>
        <v>Private option</v>
      </c>
      <c r="E407" s="19" t="str">
        <f aca="false">'Object Crosswalk'!D107</f>
        <v>MS-HU</v>
      </c>
      <c r="F407" s="19" t="str">
        <f aca="false">'Object Crosswalk'!E107</f>
        <v>HU-A</v>
      </c>
      <c r="G407" s="9" t="s">
        <v>543</v>
      </c>
      <c r="H407" s="41" t="n">
        <v>0.15</v>
      </c>
      <c r="I407" s="50" t="n">
        <f aca="false">'Object Crosswalk'!I107</f>
        <v>0.860712452941095</v>
      </c>
      <c r="J407" s="50" t="n">
        <f aca="false">H407*I407</f>
        <v>0.129106867941164</v>
      </c>
      <c r="K407" s="32" t="n">
        <f aca="false">0</f>
        <v>0</v>
      </c>
      <c r="L407" s="33" t="n">
        <f aca="false">Controls!B35</f>
        <v>0</v>
      </c>
      <c r="M407" s="33" t="n">
        <f aca="false">Controls!B36</f>
        <v>0</v>
      </c>
      <c r="N407" s="32" t="str">
        <f aca="false">IF(M407&gt;0,"PAID","HELD")</f>
        <v>HELD</v>
      </c>
    </row>
    <row r="408" customFormat="false" ht="15" hidden="false" customHeight="false" outlineLevel="0" collapsed="false">
      <c r="A408" s="19" t="str">
        <f aca="false">"PAY-"&amp;B408&amp;"-MAKE"</f>
        <v>PAY-CAN-HU-A-MAKE</v>
      </c>
      <c r="B408" s="19" t="str">
        <f aca="false">'Object Crosswalk'!A107</f>
        <v>CAN-HU-A</v>
      </c>
      <c r="C408" s="19" t="str">
        <f aca="false">'Object Crosswalk'!B107</f>
        <v>Candidate mechanism</v>
      </c>
      <c r="D408" s="19" t="str">
        <f aca="false">'Object Crosswalk'!C107</f>
        <v>Private option</v>
      </c>
      <c r="E408" s="19" t="str">
        <f aca="false">'Object Crosswalk'!D107</f>
        <v>MS-HU</v>
      </c>
      <c r="F408" s="19" t="str">
        <f aca="false">'Object Crosswalk'!E107</f>
        <v>HU-A</v>
      </c>
      <c r="G408" s="9" t="s">
        <v>546</v>
      </c>
      <c r="H408" s="41" t="n">
        <v>0.35</v>
      </c>
      <c r="I408" s="50" t="n">
        <f aca="false">'Object Crosswalk'!I107</f>
        <v>0.860712452941095</v>
      </c>
      <c r="J408" s="50" t="n">
        <f aca="false">H408*I408</f>
        <v>0.301249358529383</v>
      </c>
      <c r="K408" s="32" t="n">
        <f aca="false">0</f>
        <v>0</v>
      </c>
      <c r="L408" s="33" t="n">
        <f aca="false">Controls!B35</f>
        <v>0</v>
      </c>
      <c r="M408" s="33" t="n">
        <f aca="false">Controls!B36</f>
        <v>0</v>
      </c>
      <c r="N408" s="32" t="str">
        <f aca="false">IF(M408&gt;0,"PAID","HELD")</f>
        <v>HELD</v>
      </c>
    </row>
    <row r="409" customFormat="false" ht="15" hidden="false" customHeight="false" outlineLevel="0" collapsed="false">
      <c r="A409" s="19" t="str">
        <f aca="false">"PAY-"&amp;B409&amp;"-BREAK"</f>
        <v>PAY-CAN-HU-A-BREAK</v>
      </c>
      <c r="B409" s="19" t="str">
        <f aca="false">'Object Crosswalk'!A107</f>
        <v>CAN-HU-A</v>
      </c>
      <c r="C409" s="19" t="str">
        <f aca="false">'Object Crosswalk'!B107</f>
        <v>Candidate mechanism</v>
      </c>
      <c r="D409" s="19" t="str">
        <f aca="false">'Object Crosswalk'!C107</f>
        <v>Private option</v>
      </c>
      <c r="E409" s="19" t="str">
        <f aca="false">'Object Crosswalk'!D107</f>
        <v>MS-HU</v>
      </c>
      <c r="F409" s="19" t="str">
        <f aca="false">'Object Crosswalk'!E107</f>
        <v>HU-A</v>
      </c>
      <c r="G409" s="9" t="s">
        <v>1209</v>
      </c>
      <c r="H409" s="41" t="n">
        <v>0.35</v>
      </c>
      <c r="I409" s="50" t="n">
        <f aca="false">'Object Crosswalk'!I107</f>
        <v>0.860712452941095</v>
      </c>
      <c r="J409" s="50" t="n">
        <f aca="false">H409*I409</f>
        <v>0.301249358529383</v>
      </c>
      <c r="K409" s="32" t="n">
        <f aca="false">0</f>
        <v>0</v>
      </c>
      <c r="L409" s="33" t="n">
        <f aca="false">Controls!B35</f>
        <v>0</v>
      </c>
      <c r="M409" s="33" t="n">
        <f aca="false">Controls!B36</f>
        <v>0</v>
      </c>
      <c r="N409" s="32" t="str">
        <f aca="false">IF(M409&gt;0,"PAID","HELD")</f>
        <v>HELD</v>
      </c>
    </row>
    <row r="410" customFormat="false" ht="15" hidden="false" customHeight="false" outlineLevel="0" collapsed="false">
      <c r="A410" s="19" t="str">
        <f aca="false">"PAY-"&amp;B410&amp;"-TRANSFER"</f>
        <v>PAY-CAN-HU-A-TRANSFER</v>
      </c>
      <c r="B410" s="19" t="str">
        <f aca="false">'Object Crosswalk'!A107</f>
        <v>CAN-HU-A</v>
      </c>
      <c r="C410" s="19" t="str">
        <f aca="false">'Object Crosswalk'!B107</f>
        <v>Candidate mechanism</v>
      </c>
      <c r="D410" s="19" t="str">
        <f aca="false">'Object Crosswalk'!C107</f>
        <v>Private option</v>
      </c>
      <c r="E410" s="19" t="str">
        <f aca="false">'Object Crosswalk'!D107</f>
        <v>MS-HU</v>
      </c>
      <c r="F410" s="19" t="str">
        <f aca="false">'Object Crosswalk'!E107</f>
        <v>HU-A</v>
      </c>
      <c r="G410" s="9" t="s">
        <v>1210</v>
      </c>
      <c r="H410" s="41" t="n">
        <v>0.15</v>
      </c>
      <c r="I410" s="50" t="n">
        <f aca="false">'Object Crosswalk'!I107</f>
        <v>0.860712452941095</v>
      </c>
      <c r="J410" s="50" t="n">
        <f aca="false">H410*I410</f>
        <v>0.129106867941164</v>
      </c>
      <c r="K410" s="32" t="n">
        <f aca="false">0</f>
        <v>0</v>
      </c>
      <c r="L410" s="33" t="n">
        <f aca="false">Controls!B35</f>
        <v>0</v>
      </c>
      <c r="M410" s="33" t="n">
        <f aca="false">Controls!B36</f>
        <v>0</v>
      </c>
      <c r="N410" s="32" t="str">
        <f aca="false">IF(M410&gt;0,"PAID","HELD")</f>
        <v>HELD</v>
      </c>
    </row>
    <row r="411" customFormat="false" ht="15" hidden="false" customHeight="false" outlineLevel="0" collapsed="false">
      <c r="A411" s="19" t="str">
        <f aca="false">"PAY-"&amp;B411&amp;"-FRAME"</f>
        <v>PAY-CAN-RT-B-FRAME</v>
      </c>
      <c r="B411" s="19" t="str">
        <f aca="false">'Object Crosswalk'!A108</f>
        <v>CAN-RT-B</v>
      </c>
      <c r="C411" s="19" t="str">
        <f aca="false">'Object Crosswalk'!B108</f>
        <v>Candidate mechanism</v>
      </c>
      <c r="D411" s="19" t="str">
        <f aca="false">'Object Crosswalk'!C108</f>
        <v>Private option</v>
      </c>
      <c r="E411" s="19" t="str">
        <f aca="false">'Object Crosswalk'!D108</f>
        <v>MS-RT</v>
      </c>
      <c r="F411" s="19" t="str">
        <f aca="false">'Object Crosswalk'!E108</f>
        <v>RT-B</v>
      </c>
      <c r="G411" s="9" t="s">
        <v>543</v>
      </c>
      <c r="H411" s="41" t="n">
        <v>0.15</v>
      </c>
      <c r="I411" s="50" t="n">
        <f aca="false">'Object Crosswalk'!I108</f>
        <v>0.502597793135963</v>
      </c>
      <c r="J411" s="50" t="n">
        <f aca="false">H411*I411</f>
        <v>0.0753896689703944</v>
      </c>
      <c r="K411" s="32" t="n">
        <f aca="false">0</f>
        <v>0</v>
      </c>
      <c r="L411" s="33" t="n">
        <f aca="false">Controls!B35</f>
        <v>0</v>
      </c>
      <c r="M411" s="33" t="n">
        <f aca="false">Controls!B36</f>
        <v>0</v>
      </c>
      <c r="N411" s="32" t="str">
        <f aca="false">IF(M411&gt;0,"PAID","HELD")</f>
        <v>HELD</v>
      </c>
    </row>
    <row r="412" customFormat="false" ht="15" hidden="false" customHeight="false" outlineLevel="0" collapsed="false">
      <c r="A412" s="19" t="str">
        <f aca="false">"PAY-"&amp;B412&amp;"-MAKE"</f>
        <v>PAY-CAN-RT-B-MAKE</v>
      </c>
      <c r="B412" s="19" t="str">
        <f aca="false">'Object Crosswalk'!A108</f>
        <v>CAN-RT-B</v>
      </c>
      <c r="C412" s="19" t="str">
        <f aca="false">'Object Crosswalk'!B108</f>
        <v>Candidate mechanism</v>
      </c>
      <c r="D412" s="19" t="str">
        <f aca="false">'Object Crosswalk'!C108</f>
        <v>Private option</v>
      </c>
      <c r="E412" s="19" t="str">
        <f aca="false">'Object Crosswalk'!D108</f>
        <v>MS-RT</v>
      </c>
      <c r="F412" s="19" t="str">
        <f aca="false">'Object Crosswalk'!E108</f>
        <v>RT-B</v>
      </c>
      <c r="G412" s="9" t="s">
        <v>546</v>
      </c>
      <c r="H412" s="41" t="n">
        <v>0.35</v>
      </c>
      <c r="I412" s="50" t="n">
        <f aca="false">'Object Crosswalk'!I108</f>
        <v>0.502597793135963</v>
      </c>
      <c r="J412" s="50" t="n">
        <f aca="false">H412*I412</f>
        <v>0.175909227597587</v>
      </c>
      <c r="K412" s="32" t="n">
        <f aca="false">0</f>
        <v>0</v>
      </c>
      <c r="L412" s="33" t="n">
        <f aca="false">Controls!B35</f>
        <v>0</v>
      </c>
      <c r="M412" s="33" t="n">
        <f aca="false">Controls!B36</f>
        <v>0</v>
      </c>
      <c r="N412" s="32" t="str">
        <f aca="false">IF(M412&gt;0,"PAID","HELD")</f>
        <v>HELD</v>
      </c>
    </row>
    <row r="413" customFormat="false" ht="15" hidden="false" customHeight="false" outlineLevel="0" collapsed="false">
      <c r="A413" s="19" t="str">
        <f aca="false">"PAY-"&amp;B413&amp;"-BREAK"</f>
        <v>PAY-CAN-RT-B-BREAK</v>
      </c>
      <c r="B413" s="19" t="str">
        <f aca="false">'Object Crosswalk'!A108</f>
        <v>CAN-RT-B</v>
      </c>
      <c r="C413" s="19" t="str">
        <f aca="false">'Object Crosswalk'!B108</f>
        <v>Candidate mechanism</v>
      </c>
      <c r="D413" s="19" t="str">
        <f aca="false">'Object Crosswalk'!C108</f>
        <v>Private option</v>
      </c>
      <c r="E413" s="19" t="str">
        <f aca="false">'Object Crosswalk'!D108</f>
        <v>MS-RT</v>
      </c>
      <c r="F413" s="19" t="str">
        <f aca="false">'Object Crosswalk'!E108</f>
        <v>RT-B</v>
      </c>
      <c r="G413" s="9" t="s">
        <v>1209</v>
      </c>
      <c r="H413" s="41" t="n">
        <v>0.35</v>
      </c>
      <c r="I413" s="50" t="n">
        <f aca="false">'Object Crosswalk'!I108</f>
        <v>0.502597793135963</v>
      </c>
      <c r="J413" s="50" t="n">
        <f aca="false">H413*I413</f>
        <v>0.175909227597587</v>
      </c>
      <c r="K413" s="32" t="n">
        <f aca="false">0</f>
        <v>0</v>
      </c>
      <c r="L413" s="33" t="n">
        <f aca="false">Controls!B35</f>
        <v>0</v>
      </c>
      <c r="M413" s="33" t="n">
        <f aca="false">Controls!B36</f>
        <v>0</v>
      </c>
      <c r="N413" s="32" t="str">
        <f aca="false">IF(M413&gt;0,"PAID","HELD")</f>
        <v>HELD</v>
      </c>
    </row>
    <row r="414" customFormat="false" ht="15" hidden="false" customHeight="false" outlineLevel="0" collapsed="false">
      <c r="A414" s="20" t="str">
        <f aca="false">"PAY-"&amp;B414&amp;"-TRANSFER"</f>
        <v>PAY-CAN-RT-B-TRANSFER</v>
      </c>
      <c r="B414" s="20" t="str">
        <f aca="false">'Object Crosswalk'!A108</f>
        <v>CAN-RT-B</v>
      </c>
      <c r="C414" s="20" t="str">
        <f aca="false">'Object Crosswalk'!B108</f>
        <v>Candidate mechanism</v>
      </c>
      <c r="D414" s="20" t="str">
        <f aca="false">'Object Crosswalk'!C108</f>
        <v>Private option</v>
      </c>
      <c r="E414" s="20" t="str">
        <f aca="false">'Object Crosswalk'!D108</f>
        <v>MS-RT</v>
      </c>
      <c r="F414" s="20" t="str">
        <f aca="false">'Object Crosswalk'!E108</f>
        <v>RT-B</v>
      </c>
      <c r="G414" s="12" t="s">
        <v>1210</v>
      </c>
      <c r="H414" s="44" t="n">
        <v>0.15</v>
      </c>
      <c r="I414" s="51" t="n">
        <f aca="false">'Object Crosswalk'!I108</f>
        <v>0.502597793135963</v>
      </c>
      <c r="J414" s="51" t="n">
        <f aca="false">H414*I414</f>
        <v>0.0753896689703944</v>
      </c>
      <c r="K414" s="35" t="n">
        <f aca="false">0</f>
        <v>0</v>
      </c>
      <c r="L414" s="36" t="n">
        <f aca="false">Controls!B35</f>
        <v>0</v>
      </c>
      <c r="M414" s="36" t="n">
        <f aca="false">Controls!B36</f>
        <v>0</v>
      </c>
      <c r="N414" s="35" t="str">
        <f aca="false">IF(M414&gt;0,"PAID","HELD")</f>
        <v>HELD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3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38"/>
    <col collapsed="false" customWidth="true" hidden="false" outlineLevel="0" max="7" min="7" style="0" width="46"/>
    <col collapsed="false" customWidth="true" hidden="false" outlineLevel="0" max="8" min="8" style="0" width="14"/>
  </cols>
  <sheetData>
    <row r="2" customFormat="false" ht="24" hidden="false" customHeight="true" outlineLevel="0" collapsed="false">
      <c r="A2" s="1" t="s">
        <v>1211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1212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231</v>
      </c>
      <c r="B6" s="6" t="s">
        <v>1213</v>
      </c>
      <c r="C6" s="6" t="s">
        <v>1214</v>
      </c>
      <c r="D6" s="6" t="s">
        <v>1215</v>
      </c>
      <c r="E6" s="6" t="s">
        <v>1216</v>
      </c>
      <c r="F6" s="6" t="s">
        <v>1217</v>
      </c>
      <c r="G6" s="6" t="s">
        <v>1218</v>
      </c>
      <c r="H6" s="7" t="s">
        <v>5</v>
      </c>
    </row>
    <row r="7" customFormat="false" ht="15" hidden="false" customHeight="false" outlineLevel="0" collapsed="false">
      <c r="A7" s="8" t="s">
        <v>1219</v>
      </c>
      <c r="B7" s="8" t="s">
        <v>1220</v>
      </c>
      <c r="C7" s="8" t="s">
        <v>517</v>
      </c>
      <c r="D7" s="8" t="s">
        <v>512</v>
      </c>
      <c r="E7" s="8" t="s">
        <v>1221</v>
      </c>
      <c r="F7" s="8" t="s">
        <v>1222</v>
      </c>
      <c r="G7" s="8" t="s">
        <v>1223</v>
      </c>
      <c r="H7" s="8" t="s">
        <v>20</v>
      </c>
    </row>
    <row r="8" customFormat="false" ht="15" hidden="false" customHeight="false" outlineLevel="0" collapsed="false">
      <c r="A8" s="9" t="s">
        <v>1224</v>
      </c>
      <c r="B8" s="9" t="s">
        <v>1225</v>
      </c>
      <c r="C8" s="9" t="s">
        <v>517</v>
      </c>
      <c r="D8" s="9" t="s">
        <v>512</v>
      </c>
      <c r="E8" s="9" t="s">
        <v>1226</v>
      </c>
      <c r="F8" s="9" t="s">
        <v>1222</v>
      </c>
      <c r="G8" s="9" t="s">
        <v>1227</v>
      </c>
      <c r="H8" s="9" t="s">
        <v>20</v>
      </c>
    </row>
    <row r="9" customFormat="false" ht="15" hidden="false" customHeight="false" outlineLevel="0" collapsed="false">
      <c r="A9" s="9" t="s">
        <v>1228</v>
      </c>
      <c r="B9" s="9" t="s">
        <v>1229</v>
      </c>
      <c r="C9" s="9" t="s">
        <v>522</v>
      </c>
      <c r="D9" s="9" t="s">
        <v>1230</v>
      </c>
      <c r="E9" s="9" t="s">
        <v>1231</v>
      </c>
      <c r="F9" s="9" t="s">
        <v>1222</v>
      </c>
      <c r="G9" s="9" t="s">
        <v>1232</v>
      </c>
      <c r="H9" s="9" t="s">
        <v>20</v>
      </c>
    </row>
    <row r="10" customFormat="false" ht="15" hidden="false" customHeight="false" outlineLevel="0" collapsed="false">
      <c r="A10" s="9" t="s">
        <v>1233</v>
      </c>
      <c r="B10" s="9" t="s">
        <v>1234</v>
      </c>
      <c r="C10" s="9" t="s">
        <v>527</v>
      </c>
      <c r="D10" s="9" t="s">
        <v>1230</v>
      </c>
      <c r="E10" s="9" t="s">
        <v>1235</v>
      </c>
      <c r="F10" s="9" t="s">
        <v>1222</v>
      </c>
      <c r="G10" s="9" t="s">
        <v>1236</v>
      </c>
      <c r="H10" s="9" t="s">
        <v>20</v>
      </c>
    </row>
    <row r="11" customFormat="false" ht="15" hidden="false" customHeight="false" outlineLevel="0" collapsed="false">
      <c r="A11" s="9" t="s">
        <v>1237</v>
      </c>
      <c r="B11" s="9" t="s">
        <v>1238</v>
      </c>
      <c r="C11" s="9" t="s">
        <v>531</v>
      </c>
      <c r="D11" s="9" t="s">
        <v>1239</v>
      </c>
      <c r="E11" s="9" t="s">
        <v>1235</v>
      </c>
      <c r="F11" s="9" t="s">
        <v>1222</v>
      </c>
      <c r="G11" s="9" t="s">
        <v>1240</v>
      </c>
      <c r="H11" s="9" t="s">
        <v>20</v>
      </c>
    </row>
    <row r="12" customFormat="false" ht="15" hidden="false" customHeight="false" outlineLevel="0" collapsed="false">
      <c r="A12" s="9" t="s">
        <v>1241</v>
      </c>
      <c r="B12" s="9" t="s">
        <v>1242</v>
      </c>
      <c r="C12" s="9" t="s">
        <v>539</v>
      </c>
      <c r="D12" s="9" t="s">
        <v>531</v>
      </c>
      <c r="E12" s="9" t="s">
        <v>1243</v>
      </c>
      <c r="F12" s="9" t="s">
        <v>1244</v>
      </c>
      <c r="G12" s="9" t="s">
        <v>1245</v>
      </c>
      <c r="H12" s="9" t="s">
        <v>20</v>
      </c>
    </row>
    <row r="13" customFormat="false" ht="15" hidden="false" customHeight="false" outlineLevel="0" collapsed="false">
      <c r="A13" s="9" t="s">
        <v>1246</v>
      </c>
      <c r="B13" s="9" t="s">
        <v>1247</v>
      </c>
      <c r="C13" s="9" t="s">
        <v>690</v>
      </c>
      <c r="D13" s="9" t="s">
        <v>531</v>
      </c>
      <c r="E13" s="9" t="s">
        <v>1248</v>
      </c>
      <c r="F13" s="9" t="s">
        <v>1249</v>
      </c>
      <c r="G13" s="9" t="s">
        <v>1250</v>
      </c>
      <c r="H13" s="9" t="s">
        <v>20</v>
      </c>
    </row>
    <row r="14" customFormat="false" ht="15" hidden="false" customHeight="false" outlineLevel="0" collapsed="false">
      <c r="A14" s="9" t="s">
        <v>1251</v>
      </c>
      <c r="B14" s="9" t="s">
        <v>1252</v>
      </c>
      <c r="C14" s="9" t="s">
        <v>546</v>
      </c>
      <c r="D14" s="9" t="s">
        <v>543</v>
      </c>
      <c r="E14" s="9" t="s">
        <v>1253</v>
      </c>
      <c r="F14" s="9" t="s">
        <v>1254</v>
      </c>
      <c r="G14" s="9" t="s">
        <v>1255</v>
      </c>
      <c r="H14" s="9" t="s">
        <v>20</v>
      </c>
    </row>
    <row r="15" customFormat="false" ht="15" hidden="false" customHeight="false" outlineLevel="0" collapsed="false">
      <c r="A15" s="9" t="s">
        <v>1256</v>
      </c>
      <c r="B15" s="9" t="s">
        <v>1257</v>
      </c>
      <c r="C15" s="9" t="s">
        <v>546</v>
      </c>
      <c r="D15" s="9" t="s">
        <v>527</v>
      </c>
      <c r="E15" s="9" t="s">
        <v>1258</v>
      </c>
      <c r="F15" s="9" t="s">
        <v>1259</v>
      </c>
      <c r="G15" s="9" t="s">
        <v>1260</v>
      </c>
      <c r="H15" s="9" t="s">
        <v>20</v>
      </c>
    </row>
    <row r="16" customFormat="false" ht="15" hidden="false" customHeight="false" outlineLevel="0" collapsed="false">
      <c r="A16" s="9" t="s">
        <v>1261</v>
      </c>
      <c r="B16" s="9" t="s">
        <v>1262</v>
      </c>
      <c r="C16" s="9" t="s">
        <v>550</v>
      </c>
      <c r="D16" s="9" t="s">
        <v>546</v>
      </c>
      <c r="E16" s="9" t="s">
        <v>1263</v>
      </c>
      <c r="F16" s="9" t="s">
        <v>1264</v>
      </c>
      <c r="G16" s="9" t="s">
        <v>1265</v>
      </c>
      <c r="H16" s="9" t="s">
        <v>20</v>
      </c>
    </row>
    <row r="17" customFormat="false" ht="15" hidden="false" customHeight="false" outlineLevel="0" collapsed="false">
      <c r="A17" s="9" t="s">
        <v>1266</v>
      </c>
      <c r="B17" s="9" t="s">
        <v>1267</v>
      </c>
      <c r="C17" s="9" t="s">
        <v>554</v>
      </c>
      <c r="D17" s="9" t="s">
        <v>1268</v>
      </c>
      <c r="E17" s="9" t="s">
        <v>1269</v>
      </c>
      <c r="F17" s="9" t="s">
        <v>1270</v>
      </c>
      <c r="G17" s="9" t="s">
        <v>1271</v>
      </c>
      <c r="H17" s="9" t="s">
        <v>20</v>
      </c>
    </row>
    <row r="18" customFormat="false" ht="15" hidden="false" customHeight="false" outlineLevel="0" collapsed="false">
      <c r="A18" s="12" t="s">
        <v>1272</v>
      </c>
      <c r="B18" s="12" t="s">
        <v>1273</v>
      </c>
      <c r="C18" s="12" t="s">
        <v>558</v>
      </c>
      <c r="D18" s="12" t="s">
        <v>546</v>
      </c>
      <c r="E18" s="12" t="s">
        <v>1274</v>
      </c>
      <c r="F18" s="12" t="s">
        <v>1275</v>
      </c>
      <c r="G18" s="12" t="s">
        <v>1276</v>
      </c>
      <c r="H18" s="12" t="s">
        <v>20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20"/>
    <col collapsed="false" customWidth="true" hidden="false" outlineLevel="0" max="10" min="10" style="0" width="31"/>
    <col collapsed="false" customWidth="true" hidden="false" outlineLevel="0" max="11" min="11" style="0" width="25"/>
    <col collapsed="false" customWidth="true" hidden="false" outlineLevel="0" max="12" min="12" style="0" width="20"/>
  </cols>
  <sheetData>
    <row r="2" customFormat="false" ht="24" hidden="false" customHeight="true" outlineLevel="0" collapsed="false">
      <c r="A2" s="1" t="s">
        <v>1277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1278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289</v>
      </c>
      <c r="B6" s="6" t="s">
        <v>290</v>
      </c>
      <c r="C6" s="6" t="s">
        <v>1279</v>
      </c>
      <c r="D6" s="6" t="s">
        <v>1280</v>
      </c>
      <c r="E6" s="6" t="s">
        <v>1281</v>
      </c>
      <c r="F6" s="6" t="s">
        <v>1282</v>
      </c>
      <c r="G6" s="6" t="s">
        <v>1283</v>
      </c>
      <c r="H6" s="6" t="s">
        <v>1284</v>
      </c>
      <c r="I6" s="6" t="s">
        <v>1285</v>
      </c>
      <c r="J6" s="6" t="s">
        <v>1286</v>
      </c>
      <c r="K6" s="6" t="s">
        <v>1287</v>
      </c>
      <c r="L6" s="7" t="s">
        <v>1288</v>
      </c>
    </row>
    <row r="7" customFormat="false" ht="15" hidden="false" customHeight="false" outlineLevel="0" collapsed="false">
      <c r="A7" s="8" t="s">
        <v>320</v>
      </c>
      <c r="B7" s="8" t="s">
        <v>321</v>
      </c>
      <c r="C7" s="8" t="n">
        <v>2</v>
      </c>
      <c r="D7" s="8" t="n">
        <v>12</v>
      </c>
      <c r="E7" s="8" t="n">
        <v>60</v>
      </c>
      <c r="F7" s="8" t="n">
        <v>14</v>
      </c>
      <c r="G7" s="8" t="n">
        <v>0.50047461808185</v>
      </c>
      <c r="H7" s="28" t="s">
        <v>58</v>
      </c>
      <c r="I7" s="28" t="s">
        <v>26</v>
      </c>
      <c r="J7" s="28" t="s">
        <v>1289</v>
      </c>
      <c r="K7" s="28" t="s">
        <v>1290</v>
      </c>
      <c r="L7" s="28" t="s">
        <v>576</v>
      </c>
    </row>
    <row r="8" customFormat="false" ht="15" hidden="false" customHeight="false" outlineLevel="0" collapsed="false">
      <c r="A8" s="9" t="s">
        <v>349</v>
      </c>
      <c r="B8" s="9" t="s">
        <v>350</v>
      </c>
      <c r="C8" s="9" t="n">
        <v>2</v>
      </c>
      <c r="D8" s="9" t="n">
        <v>12</v>
      </c>
      <c r="E8" s="9" t="n">
        <v>60</v>
      </c>
      <c r="F8" s="9" t="n">
        <v>14</v>
      </c>
      <c r="G8" s="9" t="n">
        <v>0.51649348177396</v>
      </c>
      <c r="H8" s="11" t="s">
        <v>58</v>
      </c>
      <c r="I8" s="11" t="s">
        <v>26</v>
      </c>
      <c r="J8" s="11" t="s">
        <v>1289</v>
      </c>
      <c r="K8" s="11" t="s">
        <v>1290</v>
      </c>
      <c r="L8" s="11" t="s">
        <v>576</v>
      </c>
    </row>
    <row r="9" customFormat="false" ht="15" hidden="false" customHeight="false" outlineLevel="0" collapsed="false">
      <c r="A9" s="9" t="s">
        <v>372</v>
      </c>
      <c r="B9" s="9" t="s">
        <v>373</v>
      </c>
      <c r="C9" s="9" t="n">
        <v>2</v>
      </c>
      <c r="D9" s="9" t="n">
        <v>12</v>
      </c>
      <c r="E9" s="9" t="n">
        <v>60</v>
      </c>
      <c r="F9" s="9" t="n">
        <v>14</v>
      </c>
      <c r="G9" s="9" t="n">
        <v>0.307221654067133</v>
      </c>
      <c r="H9" s="11" t="s">
        <v>58</v>
      </c>
      <c r="I9" s="11" t="s">
        <v>26</v>
      </c>
      <c r="J9" s="11" t="s">
        <v>1289</v>
      </c>
      <c r="K9" s="11" t="s">
        <v>1290</v>
      </c>
      <c r="L9" s="11" t="s">
        <v>576</v>
      </c>
    </row>
    <row r="10" customFormat="false" ht="15" hidden="false" customHeight="false" outlineLevel="0" collapsed="false">
      <c r="A10" s="9" t="s">
        <v>395</v>
      </c>
      <c r="B10" s="9" t="s">
        <v>396</v>
      </c>
      <c r="C10" s="9" t="n">
        <v>2</v>
      </c>
      <c r="D10" s="9" t="n">
        <v>12</v>
      </c>
      <c r="E10" s="9" t="n">
        <v>60</v>
      </c>
      <c r="F10" s="9" t="n">
        <v>14</v>
      </c>
      <c r="G10" s="9" t="n">
        <v>0.899412819320565</v>
      </c>
      <c r="H10" s="11" t="s">
        <v>58</v>
      </c>
      <c r="I10" s="11" t="s">
        <v>26</v>
      </c>
      <c r="J10" s="11" t="s">
        <v>1289</v>
      </c>
      <c r="K10" s="11" t="s">
        <v>1290</v>
      </c>
      <c r="L10" s="11" t="s">
        <v>576</v>
      </c>
    </row>
    <row r="11" customFormat="false" ht="15" hidden="false" customHeight="false" outlineLevel="0" collapsed="false">
      <c r="A11" s="9" t="s">
        <v>418</v>
      </c>
      <c r="B11" s="9" t="s">
        <v>419</v>
      </c>
      <c r="C11" s="9" t="n">
        <v>2</v>
      </c>
      <c r="D11" s="9" t="n">
        <v>12</v>
      </c>
      <c r="E11" s="9" t="n">
        <v>60</v>
      </c>
      <c r="F11" s="9" t="n">
        <v>14</v>
      </c>
      <c r="G11" s="9" t="n">
        <v>0.860712452941095</v>
      </c>
      <c r="H11" s="11" t="s">
        <v>58</v>
      </c>
      <c r="I11" s="11" t="s">
        <v>26</v>
      </c>
      <c r="J11" s="11" t="s">
        <v>1289</v>
      </c>
      <c r="K11" s="11" t="s">
        <v>1290</v>
      </c>
      <c r="L11" s="11" t="s">
        <v>576</v>
      </c>
    </row>
    <row r="12" customFormat="false" ht="15" hidden="false" customHeight="false" outlineLevel="0" collapsed="false">
      <c r="A12" s="12" t="s">
        <v>441</v>
      </c>
      <c r="B12" s="12" t="s">
        <v>442</v>
      </c>
      <c r="C12" s="12" t="n">
        <v>2</v>
      </c>
      <c r="D12" s="12" t="n">
        <v>12</v>
      </c>
      <c r="E12" s="12" t="n">
        <v>60</v>
      </c>
      <c r="F12" s="12" t="n">
        <v>14</v>
      </c>
      <c r="G12" s="12" t="n">
        <v>0.502597793135963</v>
      </c>
      <c r="H12" s="14" t="s">
        <v>58</v>
      </c>
      <c r="I12" s="14" t="s">
        <v>26</v>
      </c>
      <c r="J12" s="14" t="s">
        <v>1289</v>
      </c>
      <c r="K12" s="14" t="s">
        <v>1290</v>
      </c>
      <c r="L12" s="14" t="s">
        <v>576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73"/>
    <col collapsed="false" customWidth="true" hidden="false" outlineLevel="0" max="5" min="5" style="0" width="66"/>
    <col collapsed="false" customWidth="true" hidden="false" outlineLevel="0" max="6" min="6" style="0" width="18"/>
    <col collapsed="false" customWidth="true" hidden="false" outlineLevel="0" max="7" min="7" style="0" width="39"/>
  </cols>
  <sheetData>
    <row r="2" customFormat="false" ht="24" hidden="false" customHeight="true" outlineLevel="0" collapsed="false">
      <c r="A2" s="1" t="s">
        <v>1291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1292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289</v>
      </c>
      <c r="B6" s="6" t="s">
        <v>290</v>
      </c>
      <c r="C6" s="6" t="s">
        <v>1293</v>
      </c>
      <c r="D6" s="6" t="s">
        <v>1294</v>
      </c>
      <c r="E6" s="6" t="s">
        <v>1295</v>
      </c>
      <c r="F6" s="6" t="s">
        <v>1296</v>
      </c>
      <c r="G6" s="7" t="s">
        <v>1297</v>
      </c>
    </row>
    <row r="7" customFormat="false" ht="15" hidden="false" customHeight="false" outlineLevel="0" collapsed="false">
      <c r="A7" s="8" t="s">
        <v>320</v>
      </c>
      <c r="B7" s="8" t="s">
        <v>321</v>
      </c>
      <c r="C7" s="8" t="s">
        <v>1298</v>
      </c>
      <c r="D7" s="8" t="s">
        <v>1299</v>
      </c>
      <c r="E7" s="8" t="s">
        <v>1300</v>
      </c>
      <c r="F7" s="8" t="s">
        <v>81</v>
      </c>
      <c r="G7" s="8" t="s">
        <v>1301</v>
      </c>
    </row>
    <row r="8" customFormat="false" ht="15" hidden="false" customHeight="false" outlineLevel="0" collapsed="false">
      <c r="A8" s="9" t="s">
        <v>349</v>
      </c>
      <c r="B8" s="9" t="s">
        <v>350</v>
      </c>
      <c r="C8" s="9" t="s">
        <v>1302</v>
      </c>
      <c r="D8" s="9" t="s">
        <v>1303</v>
      </c>
      <c r="E8" s="9" t="s">
        <v>1300</v>
      </c>
      <c r="F8" s="9" t="s">
        <v>81</v>
      </c>
      <c r="G8" s="9" t="s">
        <v>1301</v>
      </c>
    </row>
    <row r="9" customFormat="false" ht="15" hidden="false" customHeight="false" outlineLevel="0" collapsed="false">
      <c r="A9" s="9" t="s">
        <v>372</v>
      </c>
      <c r="B9" s="9" t="s">
        <v>373</v>
      </c>
      <c r="C9" s="9" t="s">
        <v>1304</v>
      </c>
      <c r="D9" s="9" t="s">
        <v>1305</v>
      </c>
      <c r="E9" s="9" t="s">
        <v>1300</v>
      </c>
      <c r="F9" s="9" t="s">
        <v>81</v>
      </c>
      <c r="G9" s="9" t="s">
        <v>1301</v>
      </c>
    </row>
    <row r="10" customFormat="false" ht="15" hidden="false" customHeight="false" outlineLevel="0" collapsed="false">
      <c r="A10" s="9" t="s">
        <v>395</v>
      </c>
      <c r="B10" s="9" t="s">
        <v>396</v>
      </c>
      <c r="C10" s="9" t="s">
        <v>1306</v>
      </c>
      <c r="D10" s="9" t="s">
        <v>1307</v>
      </c>
      <c r="E10" s="9" t="s">
        <v>1300</v>
      </c>
      <c r="F10" s="9" t="s">
        <v>81</v>
      </c>
      <c r="G10" s="9" t="s">
        <v>1301</v>
      </c>
    </row>
    <row r="11" customFormat="false" ht="15" hidden="false" customHeight="false" outlineLevel="0" collapsed="false">
      <c r="A11" s="9" t="s">
        <v>418</v>
      </c>
      <c r="B11" s="9" t="s">
        <v>419</v>
      </c>
      <c r="C11" s="9" t="s">
        <v>1308</v>
      </c>
      <c r="D11" s="9" t="s">
        <v>1309</v>
      </c>
      <c r="E11" s="9" t="s">
        <v>1300</v>
      </c>
      <c r="F11" s="9" t="s">
        <v>81</v>
      </c>
      <c r="G11" s="9" t="s">
        <v>1301</v>
      </c>
    </row>
    <row r="12" customFormat="false" ht="15" hidden="false" customHeight="false" outlineLevel="0" collapsed="false">
      <c r="A12" s="12" t="s">
        <v>441</v>
      </c>
      <c r="B12" s="12" t="s">
        <v>442</v>
      </c>
      <c r="C12" s="12" t="s">
        <v>1310</v>
      </c>
      <c r="D12" s="12" t="s">
        <v>1311</v>
      </c>
      <c r="E12" s="12" t="s">
        <v>1300</v>
      </c>
      <c r="F12" s="12" t="s">
        <v>81</v>
      </c>
      <c r="G12" s="12" t="s">
        <v>1301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3"/>
    <col collapsed="false" customWidth="true" hidden="false" outlineLevel="0" max="3" min="3" style="0" width="55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6" min="6" style="0" width="13"/>
  </cols>
  <sheetData>
    <row r="2" customFormat="false" ht="24" hidden="false" customHeight="true" outlineLevel="0" collapsed="false">
      <c r="A2" s="1" t="s">
        <v>1312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1313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231</v>
      </c>
      <c r="B6" s="6" t="s">
        <v>1314</v>
      </c>
      <c r="C6" s="6" t="s">
        <v>1315</v>
      </c>
      <c r="D6" s="6" t="s">
        <v>1316</v>
      </c>
      <c r="E6" s="6" t="s">
        <v>1317</v>
      </c>
      <c r="F6" s="7" t="s">
        <v>5</v>
      </c>
    </row>
    <row r="7" customFormat="false" ht="15" hidden="false" customHeight="false" outlineLevel="0" collapsed="false">
      <c r="A7" s="8" t="s">
        <v>1318</v>
      </c>
      <c r="B7" s="8" t="s">
        <v>1319</v>
      </c>
      <c r="C7" s="8" t="s">
        <v>1320</v>
      </c>
      <c r="D7" s="8" t="s">
        <v>1321</v>
      </c>
      <c r="E7" s="8" t="s">
        <v>1322</v>
      </c>
      <c r="F7" s="8" t="s">
        <v>1323</v>
      </c>
    </row>
    <row r="8" customFormat="false" ht="15" hidden="false" customHeight="false" outlineLevel="0" collapsed="false">
      <c r="A8" s="9" t="s">
        <v>1324</v>
      </c>
      <c r="B8" s="9" t="s">
        <v>1325</v>
      </c>
      <c r="C8" s="9" t="s">
        <v>1326</v>
      </c>
      <c r="D8" s="9" t="s">
        <v>1327</v>
      </c>
      <c r="E8" s="9" t="s">
        <v>1328</v>
      </c>
      <c r="F8" s="9" t="s">
        <v>1323</v>
      </c>
    </row>
    <row r="9" customFormat="false" ht="15" hidden="false" customHeight="false" outlineLevel="0" collapsed="false">
      <c r="A9" s="9" t="s">
        <v>1329</v>
      </c>
      <c r="B9" s="9" t="s">
        <v>1330</v>
      </c>
      <c r="C9" s="9" t="s">
        <v>1331</v>
      </c>
      <c r="D9" s="9" t="s">
        <v>1332</v>
      </c>
      <c r="E9" s="9" t="s">
        <v>1322</v>
      </c>
      <c r="F9" s="9" t="s">
        <v>1323</v>
      </c>
    </row>
    <row r="10" customFormat="false" ht="15" hidden="false" customHeight="false" outlineLevel="0" collapsed="false">
      <c r="A10" s="9" t="s">
        <v>1333</v>
      </c>
      <c r="B10" s="9" t="s">
        <v>1334</v>
      </c>
      <c r="C10" s="9" t="s">
        <v>1335</v>
      </c>
      <c r="D10" s="9" t="s">
        <v>1336</v>
      </c>
      <c r="E10" s="9" t="s">
        <v>1322</v>
      </c>
      <c r="F10" s="9" t="s">
        <v>1323</v>
      </c>
    </row>
    <row r="11" customFormat="false" ht="15" hidden="false" customHeight="false" outlineLevel="0" collapsed="false">
      <c r="A11" s="9" t="s">
        <v>1337</v>
      </c>
      <c r="B11" s="9" t="s">
        <v>1338</v>
      </c>
      <c r="C11" s="9" t="s">
        <v>1339</v>
      </c>
      <c r="D11" s="9" t="s">
        <v>1340</v>
      </c>
      <c r="E11" s="9" t="s">
        <v>26</v>
      </c>
      <c r="F11" s="9" t="s">
        <v>1323</v>
      </c>
    </row>
    <row r="12" customFormat="false" ht="15" hidden="false" customHeight="false" outlineLevel="0" collapsed="false">
      <c r="A12" s="9" t="s">
        <v>1341</v>
      </c>
      <c r="B12" s="9" t="s">
        <v>1342</v>
      </c>
      <c r="C12" s="9" t="s">
        <v>1343</v>
      </c>
      <c r="D12" s="9" t="s">
        <v>1344</v>
      </c>
      <c r="E12" s="9" t="s">
        <v>1345</v>
      </c>
      <c r="F12" s="9" t="s">
        <v>1323</v>
      </c>
    </row>
    <row r="13" customFormat="false" ht="15" hidden="false" customHeight="false" outlineLevel="0" collapsed="false">
      <c r="A13" s="9" t="s">
        <v>1346</v>
      </c>
      <c r="B13" s="9" t="s">
        <v>1347</v>
      </c>
      <c r="C13" s="9" t="s">
        <v>686</v>
      </c>
      <c r="D13" s="9" t="s">
        <v>1348</v>
      </c>
      <c r="E13" s="9" t="s">
        <v>1349</v>
      </c>
      <c r="F13" s="9" t="s">
        <v>1323</v>
      </c>
    </row>
    <row r="14" customFormat="false" ht="15" hidden="false" customHeight="false" outlineLevel="0" collapsed="false">
      <c r="A14" s="9" t="s">
        <v>1350</v>
      </c>
      <c r="B14" s="9" t="s">
        <v>1351</v>
      </c>
      <c r="C14" s="9" t="s">
        <v>1352</v>
      </c>
      <c r="D14" s="9" t="s">
        <v>1353</v>
      </c>
      <c r="E14" s="9" t="s">
        <v>1354</v>
      </c>
      <c r="F14" s="9" t="s">
        <v>1323</v>
      </c>
    </row>
    <row r="15" customFormat="false" ht="15" hidden="false" customHeight="false" outlineLevel="0" collapsed="false">
      <c r="A15" s="9" t="s">
        <v>1355</v>
      </c>
      <c r="B15" s="9" t="s">
        <v>1356</v>
      </c>
      <c r="C15" s="9" t="s">
        <v>1357</v>
      </c>
      <c r="D15" s="9" t="s">
        <v>1358</v>
      </c>
      <c r="E15" s="9" t="s">
        <v>1359</v>
      </c>
      <c r="F15" s="9" t="s">
        <v>1323</v>
      </c>
    </row>
    <row r="16" customFormat="false" ht="15" hidden="false" customHeight="false" outlineLevel="0" collapsed="false">
      <c r="A16" s="9" t="s">
        <v>1360</v>
      </c>
      <c r="B16" s="9" t="s">
        <v>1361</v>
      </c>
      <c r="C16" s="9" t="s">
        <v>1362</v>
      </c>
      <c r="D16" s="9" t="s">
        <v>1363</v>
      </c>
      <c r="E16" s="9" t="s">
        <v>1364</v>
      </c>
      <c r="F16" s="9" t="s">
        <v>1323</v>
      </c>
    </row>
    <row r="17" customFormat="false" ht="15" hidden="false" customHeight="false" outlineLevel="0" collapsed="false">
      <c r="A17" s="9" t="s">
        <v>1365</v>
      </c>
      <c r="B17" s="9" t="s">
        <v>1366</v>
      </c>
      <c r="C17" s="9" t="s">
        <v>1367</v>
      </c>
      <c r="D17" s="9" t="s">
        <v>1368</v>
      </c>
      <c r="E17" s="9" t="s">
        <v>1369</v>
      </c>
      <c r="F17" s="9" t="s">
        <v>1323</v>
      </c>
    </row>
    <row r="18" customFormat="false" ht="15" hidden="false" customHeight="false" outlineLevel="0" collapsed="false">
      <c r="A18" s="9" t="s">
        <v>1370</v>
      </c>
      <c r="B18" s="9" t="s">
        <v>1371</v>
      </c>
      <c r="C18" s="9" t="s">
        <v>1372</v>
      </c>
      <c r="D18" s="9" t="s">
        <v>1373</v>
      </c>
      <c r="E18" s="9" t="s">
        <v>1374</v>
      </c>
      <c r="F18" s="9" t="s">
        <v>1323</v>
      </c>
    </row>
    <row r="19" customFormat="false" ht="15" hidden="false" customHeight="false" outlineLevel="0" collapsed="false">
      <c r="A19" s="9" t="s">
        <v>1375</v>
      </c>
      <c r="B19" s="9" t="s">
        <v>1376</v>
      </c>
      <c r="C19" s="9" t="s">
        <v>1377</v>
      </c>
      <c r="D19" s="9" t="s">
        <v>1378</v>
      </c>
      <c r="E19" s="9" t="s">
        <v>13</v>
      </c>
      <c r="F19" s="9" t="s">
        <v>1323</v>
      </c>
    </row>
    <row r="20" customFormat="false" ht="15" hidden="false" customHeight="false" outlineLevel="0" collapsed="false">
      <c r="A20" s="9" t="s">
        <v>1379</v>
      </c>
      <c r="B20" s="9" t="s">
        <v>1380</v>
      </c>
      <c r="C20" s="9" t="s">
        <v>1381</v>
      </c>
      <c r="D20" s="9" t="s">
        <v>1382</v>
      </c>
      <c r="E20" s="9" t="s">
        <v>1383</v>
      </c>
      <c r="F20" s="9" t="s">
        <v>1323</v>
      </c>
    </row>
    <row r="21" customFormat="false" ht="15" hidden="false" customHeight="false" outlineLevel="0" collapsed="false">
      <c r="A21" s="9" t="s">
        <v>1384</v>
      </c>
      <c r="B21" s="9" t="s">
        <v>1385</v>
      </c>
      <c r="C21" s="9" t="s">
        <v>1386</v>
      </c>
      <c r="D21" s="9" t="s">
        <v>1387</v>
      </c>
      <c r="E21" s="9" t="s">
        <v>1388</v>
      </c>
      <c r="F21" s="9" t="s">
        <v>1323</v>
      </c>
    </row>
    <row r="22" customFormat="false" ht="15" hidden="false" customHeight="false" outlineLevel="0" collapsed="false">
      <c r="A22" s="12" t="s">
        <v>1389</v>
      </c>
      <c r="B22" s="12" t="s">
        <v>1390</v>
      </c>
      <c r="C22" s="12" t="s">
        <v>1391</v>
      </c>
      <c r="D22" s="12" t="s">
        <v>1392</v>
      </c>
      <c r="E22" s="12" t="s">
        <v>81</v>
      </c>
      <c r="F22" s="12" t="s">
        <v>1323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7" min="6" style="0" width="20"/>
  </cols>
  <sheetData>
    <row r="2" customFormat="false" ht="24" hidden="false" customHeight="true" outlineLevel="0" collapsed="false">
      <c r="A2" s="1" t="s">
        <v>1393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1394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231</v>
      </c>
      <c r="B6" s="6" t="s">
        <v>1395</v>
      </c>
      <c r="C6" s="6" t="s">
        <v>1396</v>
      </c>
      <c r="D6" s="6" t="s">
        <v>1397</v>
      </c>
      <c r="E6" s="6" t="s">
        <v>1398</v>
      </c>
      <c r="F6" s="6" t="s">
        <v>1399</v>
      </c>
      <c r="G6" s="7" t="s">
        <v>1400</v>
      </c>
    </row>
    <row r="7" customFormat="false" ht="15" hidden="false" customHeight="false" outlineLevel="0" collapsed="false">
      <c r="A7" s="8" t="s">
        <v>1401</v>
      </c>
      <c r="B7" s="8" t="s">
        <v>1402</v>
      </c>
      <c r="C7" s="52" t="n">
        <v>12</v>
      </c>
      <c r="D7" s="52" t="n">
        <v>13</v>
      </c>
      <c r="E7" s="52" t="n">
        <v>2</v>
      </c>
      <c r="F7" s="53" t="s">
        <v>1403</v>
      </c>
      <c r="G7" s="53" t="s">
        <v>1403</v>
      </c>
    </row>
    <row r="8" customFormat="false" ht="15" hidden="false" customHeight="false" outlineLevel="0" collapsed="false">
      <c r="A8" s="9" t="s">
        <v>1404</v>
      </c>
      <c r="B8" s="9" t="s">
        <v>1405</v>
      </c>
      <c r="C8" s="54" t="n">
        <v>3.58691281932057</v>
      </c>
      <c r="D8" s="54" t="n">
        <v>4</v>
      </c>
      <c r="E8" s="54" t="n">
        <v>2</v>
      </c>
      <c r="F8" s="55" t="s">
        <v>1403</v>
      </c>
      <c r="G8" s="55" t="s">
        <v>1403</v>
      </c>
    </row>
    <row r="9" customFormat="false" ht="15" hidden="false" customHeight="false" outlineLevel="0" collapsed="false">
      <c r="A9" s="9" t="s">
        <v>1406</v>
      </c>
      <c r="B9" s="9" t="s">
        <v>1407</v>
      </c>
      <c r="C9" s="54" t="n">
        <v>6</v>
      </c>
      <c r="D9" s="54" t="n">
        <v>5</v>
      </c>
      <c r="E9" s="54" t="n">
        <v>2</v>
      </c>
      <c r="F9" s="55" t="s">
        <v>1403</v>
      </c>
      <c r="G9" s="55" t="s">
        <v>1403</v>
      </c>
    </row>
    <row r="10" customFormat="false" ht="15" hidden="false" customHeight="false" outlineLevel="0" collapsed="false">
      <c r="A10" s="9" t="s">
        <v>1408</v>
      </c>
      <c r="B10" s="9" t="s">
        <v>1409</v>
      </c>
      <c r="C10" s="54" t="n">
        <v>6</v>
      </c>
      <c r="D10" s="54" t="n">
        <v>5</v>
      </c>
      <c r="E10" s="54" t="n">
        <v>1</v>
      </c>
      <c r="F10" s="55" t="s">
        <v>1403</v>
      </c>
      <c r="G10" s="55" t="s">
        <v>1403</v>
      </c>
    </row>
    <row r="11" customFormat="false" ht="15" hidden="false" customHeight="false" outlineLevel="0" collapsed="false">
      <c r="A11" s="9" t="s">
        <v>1410</v>
      </c>
      <c r="B11" s="9" t="s">
        <v>1411</v>
      </c>
      <c r="C11" s="54" t="n">
        <v>12</v>
      </c>
      <c r="D11" s="54" t="n">
        <v>11</v>
      </c>
      <c r="E11" s="54" t="n">
        <v>1</v>
      </c>
      <c r="F11" s="55" t="s">
        <v>1403</v>
      </c>
      <c r="G11" s="55" t="s">
        <v>1403</v>
      </c>
    </row>
    <row r="12" customFormat="false" ht="15" hidden="false" customHeight="false" outlineLevel="0" collapsed="false">
      <c r="A12" s="9" t="s">
        <v>1412</v>
      </c>
      <c r="B12" s="9" t="s">
        <v>1413</v>
      </c>
      <c r="C12" s="54" t="n">
        <v>18</v>
      </c>
      <c r="D12" s="54" t="n">
        <v>17</v>
      </c>
      <c r="E12" s="54" t="n">
        <v>1</v>
      </c>
      <c r="F12" s="55" t="s">
        <v>1403</v>
      </c>
      <c r="G12" s="55" t="s">
        <v>1403</v>
      </c>
    </row>
    <row r="13" customFormat="false" ht="15" hidden="false" customHeight="false" outlineLevel="0" collapsed="false">
      <c r="A13" s="9" t="s">
        <v>1414</v>
      </c>
      <c r="B13" s="9" t="s">
        <v>1415</v>
      </c>
      <c r="C13" s="54" t="n">
        <v>72</v>
      </c>
      <c r="D13" s="54" t="n">
        <v>71</v>
      </c>
      <c r="E13" s="54" t="n">
        <v>1</v>
      </c>
      <c r="F13" s="55" t="s">
        <v>1403</v>
      </c>
      <c r="G13" s="55" t="s">
        <v>1403</v>
      </c>
    </row>
    <row r="14" customFormat="false" ht="15" hidden="false" customHeight="false" outlineLevel="0" collapsed="false">
      <c r="A14" s="9" t="s">
        <v>1416</v>
      </c>
      <c r="B14" s="9" t="s">
        <v>1417</v>
      </c>
      <c r="C14" s="54" t="n">
        <v>144</v>
      </c>
      <c r="D14" s="54" t="n">
        <v>143</v>
      </c>
      <c r="E14" s="54" t="n">
        <v>1</v>
      </c>
      <c r="F14" s="55" t="s">
        <v>1403</v>
      </c>
      <c r="G14" s="55" t="s">
        <v>1403</v>
      </c>
    </row>
    <row r="15" customFormat="false" ht="15" hidden="false" customHeight="false" outlineLevel="0" collapsed="false">
      <c r="A15" s="9" t="s">
        <v>1418</v>
      </c>
      <c r="B15" s="9" t="s">
        <v>1419</v>
      </c>
      <c r="C15" s="54" t="n">
        <v>102</v>
      </c>
      <c r="D15" s="54" t="n">
        <v>101</v>
      </c>
      <c r="E15" s="54" t="n">
        <v>1</v>
      </c>
      <c r="F15" s="55" t="s">
        <v>1403</v>
      </c>
      <c r="G15" s="55" t="s">
        <v>1403</v>
      </c>
    </row>
    <row r="16" customFormat="false" ht="15" hidden="false" customHeight="false" outlineLevel="0" collapsed="false">
      <c r="A16" s="9" t="s">
        <v>1420</v>
      </c>
      <c r="B16" s="9" t="s">
        <v>1421</v>
      </c>
      <c r="C16" s="54" t="n">
        <v>48</v>
      </c>
      <c r="D16" s="54" t="n">
        <v>47</v>
      </c>
      <c r="E16" s="54" t="n">
        <v>1</v>
      </c>
      <c r="F16" s="55" t="s">
        <v>1403</v>
      </c>
      <c r="G16" s="55" t="s">
        <v>1403</v>
      </c>
    </row>
    <row r="17" customFormat="false" ht="15" hidden="false" customHeight="false" outlineLevel="0" collapsed="false">
      <c r="A17" s="9" t="s">
        <v>1422</v>
      </c>
      <c r="B17" s="9" t="s">
        <v>1423</v>
      </c>
      <c r="C17" s="54" t="n">
        <v>510</v>
      </c>
      <c r="D17" s="54" t="n">
        <v>509</v>
      </c>
      <c r="E17" s="54" t="n">
        <v>1</v>
      </c>
      <c r="F17" s="55" t="s">
        <v>1403</v>
      </c>
      <c r="G17" s="55" t="s">
        <v>1403</v>
      </c>
    </row>
    <row r="18" customFormat="false" ht="15" hidden="false" customHeight="false" outlineLevel="0" collapsed="false">
      <c r="A18" s="9" t="s">
        <v>1424</v>
      </c>
      <c r="B18" s="9" t="s">
        <v>1425</v>
      </c>
      <c r="C18" s="54" t="n">
        <v>714</v>
      </c>
      <c r="D18" s="54" t="n">
        <v>713</v>
      </c>
      <c r="E18" s="54" t="n">
        <v>1</v>
      </c>
      <c r="F18" s="55" t="s">
        <v>1403</v>
      </c>
      <c r="G18" s="55" t="s">
        <v>1403</v>
      </c>
    </row>
    <row r="19" customFormat="false" ht="15" hidden="false" customHeight="false" outlineLevel="0" collapsed="false">
      <c r="A19" s="9" t="s">
        <v>1426</v>
      </c>
      <c r="B19" s="9" t="s">
        <v>1427</v>
      </c>
      <c r="C19" s="54" t="n">
        <v>18</v>
      </c>
      <c r="D19" s="54" t="n">
        <v>17</v>
      </c>
      <c r="E19" s="54" t="n">
        <v>1</v>
      </c>
      <c r="F19" s="55" t="s">
        <v>1403</v>
      </c>
      <c r="G19" s="55" t="s">
        <v>1403</v>
      </c>
    </row>
    <row r="20" customFormat="false" ht="15" hidden="false" customHeight="false" outlineLevel="0" collapsed="false">
      <c r="A20" s="9" t="s">
        <v>1428</v>
      </c>
      <c r="B20" s="9" t="s">
        <v>1429</v>
      </c>
      <c r="C20" s="54" t="n">
        <v>216</v>
      </c>
      <c r="D20" s="54" t="n">
        <v>215</v>
      </c>
      <c r="E20" s="54" t="n">
        <v>1</v>
      </c>
      <c r="F20" s="55" t="s">
        <v>1403</v>
      </c>
      <c r="G20" s="55" t="s">
        <v>1403</v>
      </c>
    </row>
    <row r="21" customFormat="false" ht="15" hidden="false" customHeight="false" outlineLevel="0" collapsed="false">
      <c r="A21" s="9" t="s">
        <v>1430</v>
      </c>
      <c r="B21" s="9" t="s">
        <v>1431</v>
      </c>
      <c r="C21" s="54" t="n">
        <v>204</v>
      </c>
      <c r="D21" s="54" t="n">
        <v>203</v>
      </c>
      <c r="E21" s="54" t="n">
        <v>1</v>
      </c>
      <c r="F21" s="55" t="s">
        <v>1403</v>
      </c>
      <c r="G21" s="55" t="s">
        <v>1403</v>
      </c>
    </row>
    <row r="22" customFormat="false" ht="15" hidden="false" customHeight="false" outlineLevel="0" collapsed="false">
      <c r="A22" s="9" t="s">
        <v>1432</v>
      </c>
      <c r="B22" s="9" t="s">
        <v>1433</v>
      </c>
      <c r="C22" s="54" t="n">
        <v>2856</v>
      </c>
      <c r="D22" s="54" t="n">
        <v>2855</v>
      </c>
      <c r="E22" s="54" t="n">
        <v>1</v>
      </c>
      <c r="F22" s="55" t="s">
        <v>1403</v>
      </c>
      <c r="G22" s="55" t="s">
        <v>1403</v>
      </c>
    </row>
    <row r="23" customFormat="false" ht="15" hidden="false" customHeight="false" outlineLevel="0" collapsed="false">
      <c r="A23" s="9" t="s">
        <v>1434</v>
      </c>
      <c r="B23" s="9" t="s">
        <v>1435</v>
      </c>
      <c r="C23" s="54" t="n">
        <v>72</v>
      </c>
      <c r="D23" s="54" t="n">
        <v>71</v>
      </c>
      <c r="E23" s="54" t="n">
        <v>1</v>
      </c>
      <c r="F23" s="55" t="s">
        <v>1403</v>
      </c>
      <c r="G23" s="55" t="s">
        <v>1403</v>
      </c>
    </row>
    <row r="24" customFormat="false" ht="15" hidden="false" customHeight="false" outlineLevel="0" collapsed="false">
      <c r="A24" s="9" t="s">
        <v>1436</v>
      </c>
      <c r="B24" s="9" t="s">
        <v>1437</v>
      </c>
      <c r="C24" s="54" t="n">
        <v>360</v>
      </c>
      <c r="D24" s="54" t="n">
        <v>359</v>
      </c>
      <c r="E24" s="54" t="n">
        <v>1</v>
      </c>
      <c r="F24" s="55" t="s">
        <v>1403</v>
      </c>
      <c r="G24" s="55" t="s">
        <v>1403</v>
      </c>
    </row>
    <row r="25" customFormat="false" ht="15" hidden="false" customHeight="false" outlineLevel="0" collapsed="false">
      <c r="A25" s="9" t="s">
        <v>1438</v>
      </c>
      <c r="B25" s="9" t="s">
        <v>1439</v>
      </c>
      <c r="C25" s="54" t="n">
        <v>84</v>
      </c>
      <c r="D25" s="54" t="n">
        <v>83</v>
      </c>
      <c r="E25" s="54" t="n">
        <v>1</v>
      </c>
      <c r="F25" s="55" t="s">
        <v>1403</v>
      </c>
      <c r="G25" s="55" t="s">
        <v>1403</v>
      </c>
    </row>
    <row r="26" customFormat="false" ht="15" hidden="false" customHeight="false" outlineLevel="0" collapsed="false">
      <c r="A26" s="9" t="s">
        <v>1440</v>
      </c>
      <c r="B26" s="9" t="s">
        <v>1441</v>
      </c>
      <c r="C26" s="54" t="n">
        <v>18</v>
      </c>
      <c r="D26" s="54" t="n">
        <v>17</v>
      </c>
      <c r="E26" s="54" t="n">
        <v>1</v>
      </c>
      <c r="F26" s="55" t="s">
        <v>1403</v>
      </c>
      <c r="G26" s="55" t="s">
        <v>1403</v>
      </c>
    </row>
    <row r="27" customFormat="false" ht="15" hidden="false" customHeight="false" outlineLevel="0" collapsed="false">
      <c r="A27" s="9" t="s">
        <v>1442</v>
      </c>
      <c r="B27" s="9" t="s">
        <v>1443</v>
      </c>
      <c r="C27" s="54" t="n">
        <v>0</v>
      </c>
      <c r="D27" s="54" t="n">
        <v>1</v>
      </c>
      <c r="E27" s="54" t="n">
        <v>1</v>
      </c>
      <c r="F27" s="55" t="s">
        <v>1403</v>
      </c>
      <c r="G27" s="55" t="s">
        <v>1403</v>
      </c>
    </row>
    <row r="28" customFormat="false" ht="15" hidden="false" customHeight="false" outlineLevel="0" collapsed="false">
      <c r="A28" s="9" t="s">
        <v>1444</v>
      </c>
      <c r="B28" s="9" t="s">
        <v>1445</v>
      </c>
      <c r="C28" s="54" t="n">
        <v>0</v>
      </c>
      <c r="D28" s="54" t="n">
        <v>1</v>
      </c>
      <c r="E28" s="54" t="n">
        <v>1</v>
      </c>
      <c r="F28" s="55" t="s">
        <v>1403</v>
      </c>
      <c r="G28" s="55" t="s">
        <v>1403</v>
      </c>
    </row>
    <row r="29" customFormat="false" ht="15" hidden="false" customHeight="false" outlineLevel="0" collapsed="false">
      <c r="A29" s="9" t="s">
        <v>1446</v>
      </c>
      <c r="B29" s="9" t="s">
        <v>1447</v>
      </c>
      <c r="C29" s="54" t="n">
        <v>0</v>
      </c>
      <c r="D29" s="54" t="n">
        <v>1</v>
      </c>
      <c r="E29" s="54" t="n">
        <v>1</v>
      </c>
      <c r="F29" s="55" t="s">
        <v>1403</v>
      </c>
      <c r="G29" s="55" t="s">
        <v>1403</v>
      </c>
    </row>
    <row r="30" customFormat="false" ht="15" hidden="false" customHeight="false" outlineLevel="0" collapsed="false">
      <c r="A30" s="12" t="s">
        <v>1448</v>
      </c>
      <c r="B30" s="12" t="s">
        <v>1449</v>
      </c>
      <c r="C30" s="56" t="n">
        <v>0</v>
      </c>
      <c r="D30" s="56" t="n">
        <v>1</v>
      </c>
      <c r="E30" s="56" t="n">
        <v>1</v>
      </c>
      <c r="F30" s="57" t="s">
        <v>1403</v>
      </c>
      <c r="G30" s="57" t="s">
        <v>1403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1450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1451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1452</v>
      </c>
      <c r="B6" s="6" t="s">
        <v>99</v>
      </c>
      <c r="C6" s="6" t="s">
        <v>1453</v>
      </c>
      <c r="D6" s="6" t="s">
        <v>1454</v>
      </c>
      <c r="E6" s="7" t="s">
        <v>5</v>
      </c>
    </row>
    <row r="7" customFormat="false" ht="15" hidden="false" customHeight="false" outlineLevel="0" collapsed="false">
      <c r="A7" s="8" t="s">
        <v>1455</v>
      </c>
      <c r="B7" s="58" t="n">
        <f aca="false">Controls!B7</f>
        <v>12</v>
      </c>
      <c r="C7" s="52" t="n">
        <v>12</v>
      </c>
      <c r="D7" s="58" t="n">
        <f aca="false">B7-C7</f>
        <v>0</v>
      </c>
      <c r="E7" s="18" t="str">
        <f aca="false">IF(ABS(D7)&lt;0.000001,"PASS","FAIL")</f>
        <v>PASS</v>
      </c>
    </row>
    <row r="8" customFormat="false" ht="15" hidden="false" customHeight="false" outlineLevel="0" collapsed="false">
      <c r="A8" s="9" t="s">
        <v>1456</v>
      </c>
      <c r="B8" s="59" t="n">
        <f aca="false">Controls!B8</f>
        <v>3.58691281932057</v>
      </c>
      <c r="C8" s="54" t="n">
        <v>3.58691281932057</v>
      </c>
      <c r="D8" s="59" t="n">
        <f aca="false">B8-C8</f>
        <v>0</v>
      </c>
      <c r="E8" s="19" t="str">
        <f aca="false">IF(ABS(D8)&lt;0.000001,"PASS","FAIL")</f>
        <v>PASS</v>
      </c>
    </row>
    <row r="9" customFormat="false" ht="15" hidden="false" customHeight="false" outlineLevel="0" collapsed="false">
      <c r="A9" s="9" t="s">
        <v>63</v>
      </c>
      <c r="B9" s="59" t="n">
        <f aca="false">Controls!B7+Controls!B8</f>
        <v>15.5869128193206</v>
      </c>
      <c r="C9" s="54" t="n">
        <v>15.5869128193206</v>
      </c>
      <c r="D9" s="59" t="n">
        <f aca="false">B9-C9</f>
        <v>0</v>
      </c>
      <c r="E9" s="19" t="str">
        <f aca="false">IF(ABS(D9)&lt;0.000001,"PASS","FAIL")</f>
        <v>PASS</v>
      </c>
    </row>
    <row r="10" customFormat="false" ht="15" hidden="false" customHeight="false" outlineLevel="0" collapsed="false">
      <c r="A10" s="9" t="s">
        <v>1457</v>
      </c>
      <c r="B10" s="59" t="n">
        <f aca="false">Controls!B9</f>
        <v>6</v>
      </c>
      <c r="C10" s="54" t="n">
        <v>6</v>
      </c>
      <c r="D10" s="59" t="n">
        <f aca="false">B10-C10</f>
        <v>0</v>
      </c>
      <c r="E10" s="19" t="str">
        <f aca="false">IF(ABS(D10)&lt;0.000001,"PASS","FAIL")</f>
        <v>PASS</v>
      </c>
    </row>
    <row r="11" customFormat="false" ht="15" hidden="false" customHeight="false" outlineLevel="0" collapsed="false">
      <c r="A11" s="9" t="s">
        <v>25</v>
      </c>
      <c r="B11" s="59" t="n">
        <f aca="false">Controls!B10</f>
        <v>6</v>
      </c>
      <c r="C11" s="54" t="n">
        <v>6</v>
      </c>
      <c r="D11" s="59" t="n">
        <f aca="false">B11-C11</f>
        <v>0</v>
      </c>
      <c r="E11" s="19" t="str">
        <f aca="false">IF(ABS(D11)&lt;0.000001,"PASS","FAIL")</f>
        <v>PASS</v>
      </c>
    </row>
    <row r="12" customFormat="false" ht="15" hidden="false" customHeight="false" outlineLevel="0" collapsed="false">
      <c r="A12" s="9" t="s">
        <v>122</v>
      </c>
      <c r="B12" s="59" t="n">
        <f aca="false">Controls!B11</f>
        <v>12</v>
      </c>
      <c r="C12" s="54" t="n">
        <v>12</v>
      </c>
      <c r="D12" s="59" t="n">
        <f aca="false">B12-C12</f>
        <v>0</v>
      </c>
      <c r="E12" s="19" t="str">
        <f aca="false">IF(ABS(D12)&lt;0.000001,"PASS","FAIL")</f>
        <v>PASS</v>
      </c>
    </row>
    <row r="13" customFormat="false" ht="15" hidden="false" customHeight="false" outlineLevel="0" collapsed="false">
      <c r="A13" s="9" t="s">
        <v>183</v>
      </c>
      <c r="B13" s="59" t="n">
        <f aca="false">Controls!B12</f>
        <v>18</v>
      </c>
      <c r="C13" s="54" t="n">
        <v>18</v>
      </c>
      <c r="D13" s="59" t="n">
        <f aca="false">B13-C13</f>
        <v>0</v>
      </c>
      <c r="E13" s="19" t="str">
        <f aca="false">IF(ABS(D13)&lt;0.000001,"PASS","FAIL")</f>
        <v>PASS</v>
      </c>
    </row>
    <row r="14" customFormat="false" ht="15" hidden="false" customHeight="false" outlineLevel="0" collapsed="false">
      <c r="A14" s="9" t="s">
        <v>186</v>
      </c>
      <c r="B14" s="59" t="n">
        <f aca="false">Controls!B13</f>
        <v>36</v>
      </c>
      <c r="C14" s="54" t="n">
        <v>36</v>
      </c>
      <c r="D14" s="59" t="n">
        <f aca="false">B14-C14</f>
        <v>0</v>
      </c>
      <c r="E14" s="19" t="str">
        <f aca="false">IF(ABS(D14)&lt;0.000001,"PASS","FAIL")</f>
        <v>PASS</v>
      </c>
    </row>
    <row r="15" customFormat="false" ht="15" hidden="false" customHeight="false" outlineLevel="0" collapsed="false">
      <c r="A15" s="9" t="s">
        <v>1458</v>
      </c>
      <c r="B15" s="59" t="n">
        <f aca="false">Controls!B14</f>
        <v>72</v>
      </c>
      <c r="C15" s="54" t="n">
        <v>72</v>
      </c>
      <c r="D15" s="59" t="n">
        <f aca="false">B15-C15</f>
        <v>0</v>
      </c>
      <c r="E15" s="19" t="str">
        <f aca="false">IF(ABS(D15)&lt;0.000001,"PASS","FAIL")</f>
        <v>PASS</v>
      </c>
    </row>
    <row r="16" customFormat="false" ht="15" hidden="false" customHeight="false" outlineLevel="0" collapsed="false">
      <c r="A16" s="9" t="s">
        <v>126</v>
      </c>
      <c r="B16" s="59" t="n">
        <f aca="false">Controls!B15</f>
        <v>144</v>
      </c>
      <c r="C16" s="54" t="n">
        <v>144</v>
      </c>
      <c r="D16" s="59" t="n">
        <f aca="false">B16-C16</f>
        <v>0</v>
      </c>
      <c r="E16" s="19" t="str">
        <f aca="false">IF(ABS(D16)&lt;0.000001,"PASS","FAIL")</f>
        <v>PASS</v>
      </c>
    </row>
    <row r="17" customFormat="false" ht="15" hidden="false" customHeight="false" outlineLevel="0" collapsed="false">
      <c r="A17" s="9" t="s">
        <v>127</v>
      </c>
      <c r="B17" s="59" t="n">
        <f aca="false">Controls!B16</f>
        <v>72</v>
      </c>
      <c r="C17" s="54" t="n">
        <v>72</v>
      </c>
      <c r="D17" s="59" t="n">
        <f aca="false">B17-C17</f>
        <v>0</v>
      </c>
      <c r="E17" s="19" t="str">
        <f aca="false">IF(ABS(D17)&lt;0.000001,"PASS","FAIL")</f>
        <v>PASS</v>
      </c>
    </row>
    <row r="18" customFormat="false" ht="15" hidden="false" customHeight="false" outlineLevel="0" collapsed="false">
      <c r="A18" s="9" t="s">
        <v>196</v>
      </c>
      <c r="B18" s="59" t="n">
        <f aca="false">Controls!B17</f>
        <v>102</v>
      </c>
      <c r="C18" s="54" t="n">
        <v>102</v>
      </c>
      <c r="D18" s="59" t="n">
        <f aca="false">B18-C18</f>
        <v>0</v>
      </c>
      <c r="E18" s="19" t="str">
        <f aca="false">IF(ABS(D18)&lt;0.000001,"PASS","FAIL")</f>
        <v>PASS</v>
      </c>
    </row>
    <row r="19" customFormat="false" ht="15" hidden="false" customHeight="false" outlineLevel="0" collapsed="false">
      <c r="A19" s="9" t="s">
        <v>1459</v>
      </c>
      <c r="B19" s="59" t="n">
        <f aca="false">COUNTA('Object Crosswalk'!A7:A108)</f>
        <v>102</v>
      </c>
      <c r="C19" s="54" t="n">
        <v>102</v>
      </c>
      <c r="D19" s="59" t="n">
        <f aca="false">B19-C19</f>
        <v>0</v>
      </c>
      <c r="E19" s="19" t="str">
        <f aca="false">IF(ABS(D19)&lt;0.000001,"PASS","FAIL")</f>
        <v>PASS</v>
      </c>
    </row>
    <row r="20" customFormat="false" ht="15" hidden="false" customHeight="false" outlineLevel="0" collapsed="false">
      <c r="A20" s="9" t="s">
        <v>1460</v>
      </c>
      <c r="B20" s="59" t="n">
        <f aca="false">COUNTIF('Object Crosswalk'!C7:C108,"Public")</f>
        <v>96</v>
      </c>
      <c r="C20" s="54" t="n">
        <v>96</v>
      </c>
      <c r="D20" s="59" t="n">
        <f aca="false">B20-C20</f>
        <v>0</v>
      </c>
      <c r="E20" s="19" t="str">
        <f aca="false">IF(ABS(D20)&lt;0.000001,"PASS","FAIL")</f>
        <v>PASS</v>
      </c>
    </row>
    <row r="21" customFormat="false" ht="15" hidden="false" customHeight="false" outlineLevel="0" collapsed="false">
      <c r="A21" s="9" t="s">
        <v>1461</v>
      </c>
      <c r="B21" s="59" t="n">
        <f aca="false">COUNTIF('Object Crosswalk'!C7:C108,"Private option")</f>
        <v>6</v>
      </c>
      <c r="C21" s="54" t="n">
        <v>6</v>
      </c>
      <c r="D21" s="59" t="n">
        <f aca="false">B21-C21</f>
        <v>0</v>
      </c>
      <c r="E21" s="19" t="str">
        <f aca="false">IF(ABS(D21)&lt;0.000001,"PASS","FAIL")</f>
        <v>PASS</v>
      </c>
    </row>
    <row r="22" customFormat="false" ht="15" hidden="false" customHeight="false" outlineLevel="0" collapsed="false">
      <c r="A22" s="9" t="s">
        <v>1462</v>
      </c>
      <c r="B22" s="59" t="n">
        <f aca="false">SUM('Object Crosswalk'!I7:I108)</f>
        <v>15.5869128193206</v>
      </c>
      <c r="C22" s="54" t="n">
        <v>15.5869128193206</v>
      </c>
      <c r="D22" s="59" t="n">
        <f aca="false">B22-C22</f>
        <v>-1.24344978758018E-014</v>
      </c>
      <c r="E22" s="19" t="str">
        <f aca="false">IF(ABS(D22)&lt;0.000001,"PASS","FAIL")</f>
        <v>PASS</v>
      </c>
    </row>
    <row r="23" customFormat="false" ht="15" hidden="false" customHeight="false" outlineLevel="0" collapsed="false">
      <c r="A23" s="9" t="s">
        <v>1463</v>
      </c>
      <c r="B23" s="59" t="n">
        <f aca="false">SUM('Object Crosswalk'!J7:J108)</f>
        <v>510</v>
      </c>
      <c r="C23" s="54" t="n">
        <v>510</v>
      </c>
      <c r="D23" s="59" t="n">
        <f aca="false">B23-C23</f>
        <v>0</v>
      </c>
      <c r="E23" s="19" t="str">
        <f aca="false">IF(ABS(D23)&lt;0.000001,"PASS","FAIL")</f>
        <v>PASS</v>
      </c>
    </row>
    <row r="24" customFormat="false" ht="15" hidden="false" customHeight="false" outlineLevel="0" collapsed="false">
      <c r="A24" s="9" t="s">
        <v>1464</v>
      </c>
      <c r="B24" s="59" t="n">
        <f aca="false">SUM('Object Crosswalk'!K7:K108)</f>
        <v>714</v>
      </c>
      <c r="C24" s="54" t="n">
        <v>714</v>
      </c>
      <c r="D24" s="59" t="n">
        <f aca="false">B24-C24</f>
        <v>0</v>
      </c>
      <c r="E24" s="19" t="str">
        <f aca="false">IF(ABS(D24)&lt;0.000001,"PASS","FAIL")</f>
        <v>PASS</v>
      </c>
    </row>
    <row r="25" customFormat="false" ht="15" hidden="false" customHeight="false" outlineLevel="0" collapsed="false">
      <c r="A25" s="9" t="s">
        <v>1465</v>
      </c>
      <c r="B25" s="59" t="n">
        <f aca="false">SUM('Object Crosswalk'!L7:L108)</f>
        <v>204</v>
      </c>
      <c r="C25" s="54" t="n">
        <v>204</v>
      </c>
      <c r="D25" s="59" t="n">
        <f aca="false">B25-C25</f>
        <v>0</v>
      </c>
      <c r="E25" s="19" t="str">
        <f aca="false">IF(ABS(D25)&lt;0.000001,"PASS","FAIL")</f>
        <v>PASS</v>
      </c>
    </row>
    <row r="26" customFormat="false" ht="15" hidden="false" customHeight="false" outlineLevel="0" collapsed="false">
      <c r="A26" s="9" t="s">
        <v>1466</v>
      </c>
      <c r="B26" s="59" t="n">
        <f aca="false">SUM('Object Crosswalk'!M7:M108)</f>
        <v>408</v>
      </c>
      <c r="C26" s="54" t="n">
        <v>408</v>
      </c>
      <c r="D26" s="59" t="n">
        <f aca="false">B26-C26</f>
        <v>0</v>
      </c>
      <c r="E26" s="19" t="str">
        <f aca="false">IF(ABS(D26)&lt;0.000001,"PASS","FAIL")</f>
        <v>PASS</v>
      </c>
    </row>
    <row r="27" customFormat="false" ht="15" hidden="false" customHeight="false" outlineLevel="0" collapsed="false">
      <c r="A27" s="9" t="s">
        <v>1467</v>
      </c>
      <c r="B27" s="59" t="n">
        <f aca="false">Controls!B18</f>
        <v>48</v>
      </c>
      <c r="C27" s="54" t="n">
        <v>48</v>
      </c>
      <c r="D27" s="59" t="n">
        <f aca="false">B27-C27</f>
        <v>0</v>
      </c>
      <c r="E27" s="19" t="str">
        <f aca="false">IF(ABS(D27)&lt;0.000001,"PASS","FAIL")</f>
        <v>PASS</v>
      </c>
    </row>
    <row r="28" customFormat="false" ht="15" hidden="false" customHeight="false" outlineLevel="0" collapsed="false">
      <c r="A28" s="9" t="s">
        <v>1468</v>
      </c>
      <c r="B28" s="59" t="n">
        <f aca="false">Controls!B19</f>
        <v>510</v>
      </c>
      <c r="C28" s="54" t="n">
        <v>510</v>
      </c>
      <c r="D28" s="59" t="n">
        <f aca="false">B28-C28</f>
        <v>0</v>
      </c>
      <c r="E28" s="19" t="str">
        <f aca="false">IF(ABS(D28)&lt;0.000001,"PASS","FAIL")</f>
        <v>PASS</v>
      </c>
    </row>
    <row r="29" customFormat="false" ht="15" hidden="false" customHeight="false" outlineLevel="0" collapsed="false">
      <c r="A29" s="9" t="s">
        <v>1469</v>
      </c>
      <c r="B29" s="59" t="n">
        <f aca="false">COUNTA('Construction Packets'!A7:A516)</f>
        <v>510</v>
      </c>
      <c r="C29" s="54" t="n">
        <v>510</v>
      </c>
      <c r="D29" s="59" t="n">
        <f aca="false">B29-C29</f>
        <v>0</v>
      </c>
      <c r="E29" s="19" t="str">
        <f aca="false">IF(ABS(D29)&lt;0.000001,"PASS","FAIL")</f>
        <v>PASS</v>
      </c>
    </row>
    <row r="30" customFormat="false" ht="15" hidden="false" customHeight="false" outlineLevel="0" collapsed="false">
      <c r="A30" s="9" t="s">
        <v>1470</v>
      </c>
      <c r="B30" s="59" t="n">
        <f aca="false">COUNTIF('Construction Packets'!H7:H516,"SOURCE EMPTY")</f>
        <v>510</v>
      </c>
      <c r="C30" s="54" t="n">
        <v>510</v>
      </c>
      <c r="D30" s="59" t="n">
        <f aca="false">B30-C30</f>
        <v>0</v>
      </c>
      <c r="E30" s="19" t="str">
        <f aca="false">IF(ABS(D30)&lt;0.000001,"PASS","FAIL")</f>
        <v>PASS</v>
      </c>
    </row>
    <row r="31" customFormat="false" ht="15" hidden="false" customHeight="false" outlineLevel="0" collapsed="false">
      <c r="A31" s="9" t="s">
        <v>1471</v>
      </c>
      <c r="B31" s="59" t="n">
        <f aca="false">SUM('Construction Packets'!I7:I516)</f>
        <v>0</v>
      </c>
      <c r="C31" s="54" t="n">
        <v>0</v>
      </c>
      <c r="D31" s="59" t="n">
        <f aca="false">B31-C31</f>
        <v>0</v>
      </c>
      <c r="E31" s="19" t="str">
        <f aca="false">IF(ABS(D31)&lt;0.000001,"PASS","FAIL")</f>
        <v>PASS</v>
      </c>
    </row>
    <row r="32" customFormat="false" ht="15" hidden="false" customHeight="false" outlineLevel="0" collapsed="false">
      <c r="A32" s="9" t="s">
        <v>1472</v>
      </c>
      <c r="B32" s="59" t="n">
        <f aca="false">COUNTIF('Construction Packets'!J7:J516,"NO")</f>
        <v>510</v>
      </c>
      <c r="C32" s="54" t="n">
        <v>510</v>
      </c>
      <c r="D32" s="59" t="n">
        <f aca="false">B32-C32</f>
        <v>0</v>
      </c>
      <c r="E32" s="19" t="str">
        <f aca="false">IF(ABS(D32)&lt;0.000001,"PASS","FAIL")</f>
        <v>PASS</v>
      </c>
    </row>
    <row r="33" customFormat="false" ht="15" hidden="false" customHeight="false" outlineLevel="0" collapsed="false">
      <c r="A33" s="9" t="s">
        <v>129</v>
      </c>
      <c r="B33" s="59" t="n">
        <f aca="false">Controls!B20</f>
        <v>714</v>
      </c>
      <c r="C33" s="54" t="n">
        <v>714</v>
      </c>
      <c r="D33" s="59" t="n">
        <f aca="false">B33-C33</f>
        <v>0</v>
      </c>
      <c r="E33" s="19" t="str">
        <f aca="false">IF(ABS(D33)&lt;0.000001,"PASS","FAIL")</f>
        <v>PASS</v>
      </c>
    </row>
    <row r="34" customFormat="false" ht="15" hidden="false" customHeight="false" outlineLevel="0" collapsed="false">
      <c r="A34" s="9" t="s">
        <v>42</v>
      </c>
      <c r="B34" s="59" t="n">
        <f aca="false">Controls!B21</f>
        <v>18</v>
      </c>
      <c r="C34" s="54" t="n">
        <v>18</v>
      </c>
      <c r="D34" s="59" t="n">
        <f aca="false">B34-C34</f>
        <v>0</v>
      </c>
      <c r="E34" s="19" t="str">
        <f aca="false">IF(ABS(D34)&lt;0.000001,"PASS","FAIL")</f>
        <v>PASS</v>
      </c>
    </row>
    <row r="35" customFormat="false" ht="15" hidden="false" customHeight="false" outlineLevel="0" collapsed="false">
      <c r="A35" s="9" t="s">
        <v>131</v>
      </c>
      <c r="B35" s="59" t="n">
        <f aca="false">Controls!B22</f>
        <v>180</v>
      </c>
      <c r="C35" s="54" t="n">
        <v>180</v>
      </c>
      <c r="D35" s="59" t="n">
        <f aca="false">B35-C35</f>
        <v>0</v>
      </c>
      <c r="E35" s="19" t="str">
        <f aca="false">IF(ABS(D35)&lt;0.000001,"PASS","FAIL")</f>
        <v>PASS</v>
      </c>
    </row>
    <row r="36" customFormat="false" ht="15" hidden="false" customHeight="false" outlineLevel="0" collapsed="false">
      <c r="A36" s="9" t="s">
        <v>210</v>
      </c>
      <c r="B36" s="59" t="n">
        <f aca="false">Controls!B23</f>
        <v>144</v>
      </c>
      <c r="C36" s="54" t="n">
        <v>144</v>
      </c>
      <c r="D36" s="59" t="n">
        <f aca="false">B36-C36</f>
        <v>0</v>
      </c>
      <c r="E36" s="19" t="str">
        <f aca="false">IF(ABS(D36)&lt;0.000001,"PASS","FAIL")</f>
        <v>PASS</v>
      </c>
    </row>
    <row r="37" customFormat="false" ht="15" hidden="false" customHeight="false" outlineLevel="0" collapsed="false">
      <c r="A37" s="9" t="s">
        <v>133</v>
      </c>
      <c r="B37" s="59" t="n">
        <f aca="false">Controls!B24</f>
        <v>216</v>
      </c>
      <c r="C37" s="54" t="n">
        <v>216</v>
      </c>
      <c r="D37" s="59" t="n">
        <f aca="false">B37-C37</f>
        <v>0</v>
      </c>
      <c r="E37" s="19" t="str">
        <f aca="false">IF(ABS(D37)&lt;0.000001,"PASS","FAIL")</f>
        <v>PASS</v>
      </c>
    </row>
    <row r="38" customFormat="false" ht="15" hidden="false" customHeight="false" outlineLevel="0" collapsed="false">
      <c r="A38" s="9" t="s">
        <v>47</v>
      </c>
      <c r="B38" s="59" t="n">
        <f aca="false">Controls!B25</f>
        <v>204</v>
      </c>
      <c r="C38" s="54" t="n">
        <v>204</v>
      </c>
      <c r="D38" s="59" t="n">
        <f aca="false">B38-C38</f>
        <v>0</v>
      </c>
      <c r="E38" s="19" t="str">
        <f aca="false">IF(ABS(D38)&lt;0.000001,"PASS","FAIL")</f>
        <v>PASS</v>
      </c>
    </row>
    <row r="39" customFormat="false" ht="15" hidden="false" customHeight="false" outlineLevel="0" collapsed="false">
      <c r="A39" s="9" t="s">
        <v>1473</v>
      </c>
      <c r="B39" s="59" t="n">
        <f aca="false">Controls!B26</f>
        <v>2856</v>
      </c>
      <c r="C39" s="54" t="n">
        <v>2856</v>
      </c>
      <c r="D39" s="59" t="n">
        <f aca="false">B39-C39</f>
        <v>0</v>
      </c>
      <c r="E39" s="19" t="str">
        <f aca="false">IF(ABS(D39)&lt;0.000001,"PASS","FAIL")</f>
        <v>PASS</v>
      </c>
    </row>
    <row r="40" customFormat="false" ht="15" hidden="false" customHeight="false" outlineLevel="0" collapsed="false">
      <c r="A40" s="9" t="s">
        <v>1474</v>
      </c>
      <c r="B40" s="59" t="n">
        <f aca="false">Controls!B27</f>
        <v>48</v>
      </c>
      <c r="C40" s="54" t="n">
        <v>48</v>
      </c>
      <c r="D40" s="59" t="n">
        <f aca="false">B40-C40</f>
        <v>0</v>
      </c>
      <c r="E40" s="19" t="str">
        <f aca="false">IF(ABS(D40)&lt;0.000001,"PASS","FAIL")</f>
        <v>PASS</v>
      </c>
    </row>
    <row r="41" customFormat="false" ht="15" hidden="false" customHeight="false" outlineLevel="0" collapsed="false">
      <c r="A41" s="9" t="s">
        <v>1475</v>
      </c>
      <c r="B41" s="59" t="n">
        <f aca="false">Controls!B28</f>
        <v>72</v>
      </c>
      <c r="C41" s="54" t="n">
        <v>72</v>
      </c>
      <c r="D41" s="59" t="n">
        <f aca="false">B41-C41</f>
        <v>0</v>
      </c>
      <c r="E41" s="19" t="str">
        <f aca="false">IF(ABS(D41)&lt;0.000001,"PASS","FAIL")</f>
        <v>PASS</v>
      </c>
    </row>
    <row r="42" customFormat="false" ht="15" hidden="false" customHeight="false" outlineLevel="0" collapsed="false">
      <c r="A42" s="9" t="s">
        <v>1476</v>
      </c>
      <c r="B42" s="59" t="n">
        <f aca="false">Controls!B9*2*3*2</f>
        <v>72</v>
      </c>
      <c r="C42" s="54" t="n">
        <v>72</v>
      </c>
      <c r="D42" s="59" t="n">
        <f aca="false">B42-C42</f>
        <v>0</v>
      </c>
      <c r="E42" s="19" t="str">
        <f aca="false">IF(ABS(D42)&lt;0.000001,"PASS","FAIL")</f>
        <v>PASS</v>
      </c>
    </row>
    <row r="43" customFormat="false" ht="15" hidden="false" customHeight="false" outlineLevel="0" collapsed="false">
      <c r="A43" s="9" t="s">
        <v>1477</v>
      </c>
      <c r="B43" s="59" t="n">
        <f aca="false">COUNTA('Event Evidence'!A7:A366)/5</f>
        <v>72</v>
      </c>
      <c r="C43" s="54" t="n">
        <v>72</v>
      </c>
      <c r="D43" s="59" t="n">
        <f aca="false">B43-C43</f>
        <v>0</v>
      </c>
      <c r="E43" s="19" t="str">
        <f aca="false">IF(ABS(D43)&lt;0.000001,"PASS","FAIL")</f>
        <v>PASS</v>
      </c>
    </row>
    <row r="44" customFormat="false" ht="15" hidden="false" customHeight="false" outlineLevel="0" collapsed="false">
      <c r="A44" s="9" t="s">
        <v>1478</v>
      </c>
      <c r="B44" s="59" t="n">
        <f aca="false">Controls!B29</f>
        <v>360</v>
      </c>
      <c r="C44" s="54" t="n">
        <v>360</v>
      </c>
      <c r="D44" s="59" t="n">
        <f aca="false">B44-C44</f>
        <v>0</v>
      </c>
      <c r="E44" s="19" t="str">
        <f aca="false">IF(ABS(D44)&lt;0.000001,"PASS","FAIL")</f>
        <v>PASS</v>
      </c>
    </row>
    <row r="45" customFormat="false" ht="15" hidden="false" customHeight="false" outlineLevel="0" collapsed="false">
      <c r="A45" s="9" t="s">
        <v>1479</v>
      </c>
      <c r="B45" s="59" t="n">
        <f aca="false">COUNTA('Event Evidence'!A7:A366)</f>
        <v>360</v>
      </c>
      <c r="C45" s="54" t="n">
        <v>360</v>
      </c>
      <c r="D45" s="59" t="n">
        <f aca="false">B45-C45</f>
        <v>0</v>
      </c>
      <c r="E45" s="19" t="str">
        <f aca="false">IF(ABS(D45)&lt;0.000001,"PASS","FAIL")</f>
        <v>PASS</v>
      </c>
    </row>
    <row r="46" customFormat="false" ht="15" hidden="false" customHeight="false" outlineLevel="0" collapsed="false">
      <c r="A46" s="9" t="s">
        <v>1480</v>
      </c>
      <c r="B46" s="59" t="n">
        <f aca="false">COUNTIF('Event Evidence'!I7:I366,"SOURCE EMPTY")</f>
        <v>360</v>
      </c>
      <c r="C46" s="54" t="n">
        <v>360</v>
      </c>
      <c r="D46" s="59" t="n">
        <f aca="false">B46-C46</f>
        <v>0</v>
      </c>
      <c r="E46" s="19" t="str">
        <f aca="false">IF(ABS(D46)&lt;0.000001,"PASS","FAIL")</f>
        <v>PASS</v>
      </c>
    </row>
    <row r="47" customFormat="false" ht="15" hidden="false" customHeight="false" outlineLevel="0" collapsed="false">
      <c r="A47" s="9" t="s">
        <v>1481</v>
      </c>
      <c r="B47" s="59" t="n">
        <f aca="false">COUNTIF('Event Evidence'!J7:J366,"SOURCE EMPTY")</f>
        <v>360</v>
      </c>
      <c r="C47" s="54" t="n">
        <v>360</v>
      </c>
      <c r="D47" s="59" t="n">
        <f aca="false">B47-C47</f>
        <v>0</v>
      </c>
      <c r="E47" s="19" t="str">
        <f aca="false">IF(ABS(D47)&lt;0.000001,"PASS","FAIL")</f>
        <v>PASS</v>
      </c>
    </row>
    <row r="48" customFormat="false" ht="15" hidden="false" customHeight="false" outlineLevel="0" collapsed="false">
      <c r="A48" s="9" t="s">
        <v>1482</v>
      </c>
      <c r="B48" s="59" t="n">
        <f aca="false">COUNTIF('Event Evidence'!K7:K366,"SOURCE EMPTY")</f>
        <v>360</v>
      </c>
      <c r="C48" s="54" t="n">
        <v>360</v>
      </c>
      <c r="D48" s="59" t="n">
        <f aca="false">B48-C48</f>
        <v>0</v>
      </c>
      <c r="E48" s="19" t="str">
        <f aca="false">IF(ABS(D48)&lt;0.000001,"PASS","FAIL")</f>
        <v>PASS</v>
      </c>
    </row>
    <row r="49" customFormat="false" ht="15" hidden="false" customHeight="false" outlineLevel="0" collapsed="false">
      <c r="A49" s="9" t="s">
        <v>138</v>
      </c>
      <c r="B49" s="59" t="n">
        <f aca="false">Controls!B30</f>
        <v>84</v>
      </c>
      <c r="C49" s="54" t="n">
        <v>84</v>
      </c>
      <c r="D49" s="59" t="n">
        <f aca="false">B49-C49</f>
        <v>0</v>
      </c>
      <c r="E49" s="19" t="str">
        <f aca="false">IF(ABS(D49)&lt;0.000001,"PASS","FAIL")</f>
        <v>PASS</v>
      </c>
    </row>
    <row r="50" customFormat="false" ht="15" hidden="false" customHeight="false" outlineLevel="0" collapsed="false">
      <c r="A50" s="9" t="s">
        <v>1483</v>
      </c>
      <c r="B50" s="59" t="n">
        <f aca="false">Controls!B31</f>
        <v>18</v>
      </c>
      <c r="C50" s="54" t="n">
        <v>18</v>
      </c>
      <c r="D50" s="59" t="n">
        <f aca="false">B50-C50</f>
        <v>0</v>
      </c>
      <c r="E50" s="19" t="str">
        <f aca="false">IF(ABS(D50)&lt;0.000001,"PASS","FAIL")</f>
        <v>PASS</v>
      </c>
    </row>
    <row r="51" customFormat="false" ht="15" hidden="false" customHeight="false" outlineLevel="0" collapsed="false">
      <c r="A51" s="9" t="s">
        <v>1484</v>
      </c>
      <c r="B51" s="59" t="n">
        <f aca="false">COUNTA(Warrants!A7:A24)</f>
        <v>18</v>
      </c>
      <c r="C51" s="54" t="n">
        <v>18</v>
      </c>
      <c r="D51" s="59" t="n">
        <f aca="false">B51-C51</f>
        <v>0</v>
      </c>
      <c r="E51" s="19" t="str">
        <f aca="false">IF(ABS(D51)&lt;0.000001,"PASS","FAIL")</f>
        <v>PASS</v>
      </c>
    </row>
    <row r="52" customFormat="false" ht="15" hidden="false" customHeight="false" outlineLevel="0" collapsed="false">
      <c r="A52" s="9" t="s">
        <v>1485</v>
      </c>
      <c r="B52" s="59" t="n">
        <f aca="false">COUNTA('State Machine'!A7:A24)</f>
        <v>18</v>
      </c>
      <c r="C52" s="54" t="n">
        <v>18</v>
      </c>
      <c r="D52" s="59" t="n">
        <f aca="false">B52-C52</f>
        <v>0</v>
      </c>
      <c r="E52" s="19" t="str">
        <f aca="false">IF(ABS(D52)&lt;0.000001,"PASS","FAIL")</f>
        <v>PASS</v>
      </c>
    </row>
    <row r="53" customFormat="false" ht="15" hidden="false" customHeight="false" outlineLevel="0" collapsed="false">
      <c r="A53" s="9" t="s">
        <v>1486</v>
      </c>
      <c r="B53" s="59" t="n">
        <f aca="false">COUNTA('Release Graph'!A7:A23)</f>
        <v>17</v>
      </c>
      <c r="C53" s="54" t="n">
        <v>17</v>
      </c>
      <c r="D53" s="59" t="n">
        <f aca="false">B53-C53</f>
        <v>0</v>
      </c>
      <c r="E53" s="19" t="str">
        <f aca="false">IF(ABS(D53)&lt;0.000001,"PASS","FAIL")</f>
        <v>PASS</v>
      </c>
    </row>
    <row r="54" customFormat="false" ht="15" hidden="false" customHeight="false" outlineLevel="0" collapsed="false">
      <c r="A54" s="9" t="s">
        <v>1487</v>
      </c>
      <c r="B54" s="59" t="n">
        <f aca="false">COUNTA('Authority Matrix'!A7:A22)</f>
        <v>16</v>
      </c>
      <c r="C54" s="54" t="n">
        <v>16</v>
      </c>
      <c r="D54" s="59" t="n">
        <f aca="false">B54-C54</f>
        <v>0</v>
      </c>
      <c r="E54" s="19" t="str">
        <f aca="false">IF(ABS(D54)&lt;0.000001,"PASS","FAIL")</f>
        <v>PASS</v>
      </c>
    </row>
    <row r="55" customFormat="false" ht="15" hidden="false" customHeight="false" outlineLevel="0" collapsed="false">
      <c r="A55" s="9" t="s">
        <v>1488</v>
      </c>
      <c r="B55" s="59" t="n">
        <f aca="false">SUM('Authority Matrix'!T7:T22)</f>
        <v>18</v>
      </c>
      <c r="C55" s="54" t="n">
        <v>18</v>
      </c>
      <c r="D55" s="59" t="n">
        <f aca="false">B55-C55</f>
        <v>0</v>
      </c>
      <c r="E55" s="19" t="str">
        <f aca="false">IF(ABS(D55)&lt;0.000001,"PASS","FAIL")</f>
        <v>PASS</v>
      </c>
    </row>
    <row r="56" customFormat="false" ht="15" hidden="false" customHeight="false" outlineLevel="0" collapsed="false">
      <c r="A56" s="9" t="s">
        <v>1489</v>
      </c>
      <c r="B56" s="59" t="n">
        <f aca="false">COUNTA(Nonconversions!A7:A24)</f>
        <v>18</v>
      </c>
      <c r="C56" s="54" t="n">
        <v>18</v>
      </c>
      <c r="D56" s="59" t="n">
        <f aca="false">B56-C56</f>
        <v>0</v>
      </c>
      <c r="E56" s="19" t="str">
        <f aca="false">IF(ABS(D56)&lt;0.000001,"PASS","FAIL")</f>
        <v>PASS</v>
      </c>
    </row>
    <row r="57" customFormat="false" ht="15" hidden="false" customHeight="false" outlineLevel="0" collapsed="false">
      <c r="A57" s="9" t="s">
        <v>1490</v>
      </c>
      <c r="B57" s="59" t="n">
        <f aca="false">COUNTA(Contradictions!A7:A18)</f>
        <v>12</v>
      </c>
      <c r="C57" s="54" t="n">
        <v>12</v>
      </c>
      <c r="D57" s="59" t="n">
        <f aca="false">B57-C57</f>
        <v>0</v>
      </c>
      <c r="E57" s="19" t="str">
        <f aca="false">IF(ABS(D57)&lt;0.000001,"PASS","FAIL")</f>
        <v>PASS</v>
      </c>
    </row>
    <row r="58" customFormat="false" ht="15" hidden="false" customHeight="false" outlineLevel="0" collapsed="false">
      <c r="A58" s="9" t="s">
        <v>1491</v>
      </c>
      <c r="B58" s="59" t="n">
        <f aca="false">COUNTIF(Contradictions!E7:E18,"CLOSED")</f>
        <v>12</v>
      </c>
      <c r="C58" s="54" t="n">
        <v>12</v>
      </c>
      <c r="D58" s="59" t="n">
        <f aca="false">B58-C58</f>
        <v>0</v>
      </c>
      <c r="E58" s="19" t="str">
        <f aca="false">IF(ABS(D58)&lt;0.000001,"PASS","FAIL")</f>
        <v>PASS</v>
      </c>
    </row>
    <row r="59" customFormat="false" ht="15" hidden="false" customHeight="false" outlineLevel="0" collapsed="false">
      <c r="A59" s="9" t="s">
        <v>1492</v>
      </c>
      <c r="B59" s="59" t="n">
        <f aca="false">Finance!D13</f>
        <v>102</v>
      </c>
      <c r="C59" s="54" t="n">
        <v>102</v>
      </c>
      <c r="D59" s="59" t="n">
        <f aca="false">B59-C59</f>
        <v>0</v>
      </c>
      <c r="E59" s="19" t="str">
        <f aca="false">IF(ABS(D59)&lt;0.000001,"PASS","FAIL")</f>
        <v>PASS</v>
      </c>
    </row>
    <row r="60" customFormat="false" ht="15" hidden="false" customHeight="false" outlineLevel="0" collapsed="false">
      <c r="A60" s="9" t="s">
        <v>1493</v>
      </c>
      <c r="B60" s="59" t="n">
        <f aca="false">Finance!E13</f>
        <v>15.5869128193206</v>
      </c>
      <c r="C60" s="54" t="n">
        <v>15.5869128193206</v>
      </c>
      <c r="D60" s="59" t="n">
        <f aca="false">B60-C60</f>
        <v>0</v>
      </c>
      <c r="E60" s="19" t="str">
        <f aca="false">IF(ABS(D60)&lt;0.000001,"PASS","FAIL")</f>
        <v>PASS</v>
      </c>
    </row>
    <row r="61" customFormat="false" ht="15" hidden="false" customHeight="false" outlineLevel="0" collapsed="false">
      <c r="A61" s="9" t="s">
        <v>1494</v>
      </c>
      <c r="B61" s="59" t="n">
        <f aca="false">Finance!J13</f>
        <v>10.7934564096603</v>
      </c>
      <c r="C61" s="54" t="n">
        <v>10.7934564096603</v>
      </c>
      <c r="D61" s="59" t="n">
        <f aca="false">B61-C61</f>
        <v>1.77635683940025E-015</v>
      </c>
      <c r="E61" s="19" t="str">
        <f aca="false">IF(ABS(D61)&lt;0.000001,"PASS","FAIL")</f>
        <v>PASS</v>
      </c>
    </row>
    <row r="62" customFormat="false" ht="15" hidden="false" customHeight="false" outlineLevel="0" collapsed="false">
      <c r="A62" s="9" t="s">
        <v>1495</v>
      </c>
      <c r="B62" s="59" t="n">
        <f aca="false">Finance!K13</f>
        <v>12.0488758964225</v>
      </c>
      <c r="C62" s="54" t="n">
        <v>12.0488758964225</v>
      </c>
      <c r="D62" s="59" t="n">
        <f aca="false">B62-C62</f>
        <v>1.77635683940025E-015</v>
      </c>
      <c r="E62" s="19" t="str">
        <f aca="false">IF(ABS(D62)&lt;0.000001,"PASS","FAIL")</f>
        <v>PASS</v>
      </c>
    </row>
    <row r="63" customFormat="false" ht="15" hidden="false" customHeight="false" outlineLevel="0" collapsed="false">
      <c r="A63" s="9" t="s">
        <v>1496</v>
      </c>
      <c r="B63" s="59" t="n">
        <f aca="false">Finance!L13</f>
        <v>3.53803692289809</v>
      </c>
      <c r="C63" s="54" t="n">
        <v>3.53803692289809</v>
      </c>
      <c r="D63" s="59" t="n">
        <f aca="false">B63-C63</f>
        <v>0</v>
      </c>
      <c r="E63" s="19" t="str">
        <f aca="false">IF(ABS(D63)&lt;0.000001,"PASS","FAIL")</f>
        <v>PASS</v>
      </c>
    </row>
    <row r="64" customFormat="false" ht="15" hidden="false" customHeight="false" outlineLevel="0" collapsed="false">
      <c r="A64" s="9" t="s">
        <v>1497</v>
      </c>
      <c r="B64" s="59" t="n">
        <f aca="false">COUNTA('Payment Ledger'!A7:A414)</f>
        <v>408</v>
      </c>
      <c r="C64" s="54" t="n">
        <v>408</v>
      </c>
      <c r="D64" s="59" t="n">
        <f aca="false">B64-C64</f>
        <v>0</v>
      </c>
      <c r="E64" s="19" t="str">
        <f aca="false">IF(ABS(D64)&lt;0.000001,"PASS","FAIL")</f>
        <v>PASS</v>
      </c>
    </row>
    <row r="65" customFormat="false" ht="15" hidden="false" customHeight="false" outlineLevel="0" collapsed="false">
      <c r="A65" s="9" t="s">
        <v>1498</v>
      </c>
      <c r="B65" s="59" t="n">
        <f aca="false">SUM('Payment Ledger'!J7:J414)</f>
        <v>15.5869128193206</v>
      </c>
      <c r="C65" s="54" t="n">
        <v>15.5869128193206</v>
      </c>
      <c r="D65" s="59" t="n">
        <f aca="false">B65-C65</f>
        <v>2.30926389122033E-014</v>
      </c>
      <c r="E65" s="19" t="str">
        <f aca="false">IF(ABS(D65)&lt;0.000001,"PASS","FAIL")</f>
        <v>PASS</v>
      </c>
    </row>
    <row r="66" customFormat="false" ht="15" hidden="false" customHeight="false" outlineLevel="0" collapsed="false">
      <c r="A66" s="9" t="s">
        <v>1499</v>
      </c>
      <c r="B66" s="59" t="n">
        <f aca="false">SUM('Payment Ledger'!K7:K414)</f>
        <v>0</v>
      </c>
      <c r="C66" s="54" t="n">
        <v>0</v>
      </c>
      <c r="D66" s="59" t="n">
        <f aca="false">B66-C66</f>
        <v>0</v>
      </c>
      <c r="E66" s="19" t="str">
        <f aca="false">IF(ABS(D66)&lt;0.000001,"PASS","FAIL")</f>
        <v>PASS</v>
      </c>
    </row>
    <row r="67" customFormat="false" ht="15" hidden="false" customHeight="false" outlineLevel="0" collapsed="false">
      <c r="A67" s="9" t="s">
        <v>1500</v>
      </c>
      <c r="B67" s="59" t="n">
        <f aca="false">SUM('Payment Ledger'!L7:L414)</f>
        <v>0</v>
      </c>
      <c r="C67" s="54" t="n">
        <v>0</v>
      </c>
      <c r="D67" s="59" t="n">
        <f aca="false">B67-C67</f>
        <v>0</v>
      </c>
      <c r="E67" s="19" t="str">
        <f aca="false">IF(ABS(D67)&lt;0.000001,"PASS","FAIL")</f>
        <v>PASS</v>
      </c>
    </row>
    <row r="68" customFormat="false" ht="15" hidden="false" customHeight="false" outlineLevel="0" collapsed="false">
      <c r="A68" s="9" t="s">
        <v>1501</v>
      </c>
      <c r="B68" s="59" t="n">
        <f aca="false">SUM('Payment Ledger'!M7:M414)</f>
        <v>0</v>
      </c>
      <c r="C68" s="54" t="n">
        <v>0</v>
      </c>
      <c r="D68" s="59" t="n">
        <f aca="false">B68-C68</f>
        <v>0</v>
      </c>
      <c r="E68" s="19" t="str">
        <f aca="false">IF(ABS(D68)&lt;0.000001,"PASS","FAIL")</f>
        <v>PASS</v>
      </c>
    </row>
    <row r="69" customFormat="false" ht="15" hidden="false" customHeight="false" outlineLevel="0" collapsed="false">
      <c r="A69" s="9" t="s">
        <v>1502</v>
      </c>
      <c r="B69" s="59" t="n">
        <f aca="false">COUNTA(Rollback!A7:A18)</f>
        <v>12</v>
      </c>
      <c r="C69" s="54" t="n">
        <v>12</v>
      </c>
      <c r="D69" s="59" t="n">
        <f aca="false">B69-C69</f>
        <v>0</v>
      </c>
      <c r="E69" s="19" t="str">
        <f aca="false">IF(ABS(D69)&lt;0.000001,"PASS","FAIL")</f>
        <v>PASS</v>
      </c>
    </row>
    <row r="70" customFormat="false" ht="15" hidden="false" customHeight="false" outlineLevel="0" collapsed="false">
      <c r="A70" s="9" t="s">
        <v>1503</v>
      </c>
      <c r="B70" s="59" t="n">
        <f aca="false">COUNTA('Root Dispositions'!A7:A12)</f>
        <v>6</v>
      </c>
      <c r="C70" s="54" t="n">
        <v>6</v>
      </c>
      <c r="D70" s="59" t="n">
        <f aca="false">B70-C70</f>
        <v>0</v>
      </c>
      <c r="E70" s="19" t="str">
        <f aca="false">IF(ABS(D70)&lt;0.000001,"PASS","FAIL")</f>
        <v>PASS</v>
      </c>
    </row>
    <row r="71" customFormat="false" ht="15" hidden="false" customHeight="false" outlineLevel="0" collapsed="false">
      <c r="A71" s="9" t="s">
        <v>1504</v>
      </c>
      <c r="B71" s="59" t="n">
        <f aca="false">SUM('Root Dispositions'!C7:C12)</f>
        <v>12</v>
      </c>
      <c r="C71" s="54" t="n">
        <v>12</v>
      </c>
      <c r="D71" s="59" t="n">
        <f aca="false">B71-C71</f>
        <v>0</v>
      </c>
      <c r="E71" s="19" t="str">
        <f aca="false">IF(ABS(D71)&lt;0.000001,"PASS","FAIL")</f>
        <v>PASS</v>
      </c>
    </row>
    <row r="72" customFormat="false" ht="15" hidden="false" customHeight="false" outlineLevel="0" collapsed="false">
      <c r="A72" s="9" t="s">
        <v>1505</v>
      </c>
      <c r="B72" s="59" t="n">
        <f aca="false">SUM('Root Dispositions'!D7:D12)</f>
        <v>72</v>
      </c>
      <c r="C72" s="54" t="n">
        <v>72</v>
      </c>
      <c r="D72" s="59" t="n">
        <f aca="false">B72-C72</f>
        <v>0</v>
      </c>
      <c r="E72" s="19" t="str">
        <f aca="false">IF(ABS(D72)&lt;0.000001,"PASS","FAIL")</f>
        <v>PASS</v>
      </c>
    </row>
    <row r="73" customFormat="false" ht="15" hidden="false" customHeight="false" outlineLevel="0" collapsed="false">
      <c r="A73" s="9" t="s">
        <v>1506</v>
      </c>
      <c r="B73" s="59" t="n">
        <f aca="false">SUM('Root Dispositions'!E7:E12)</f>
        <v>360</v>
      </c>
      <c r="C73" s="54" t="n">
        <v>360</v>
      </c>
      <c r="D73" s="59" t="n">
        <f aca="false">B73-C73</f>
        <v>0</v>
      </c>
      <c r="E73" s="19" t="str">
        <f aca="false">IF(ABS(D73)&lt;0.000001,"PASS","FAIL")</f>
        <v>PASS</v>
      </c>
    </row>
    <row r="74" customFormat="false" ht="15" hidden="false" customHeight="false" outlineLevel="0" collapsed="false">
      <c r="A74" s="9" t="s">
        <v>1507</v>
      </c>
      <c r="B74" s="59" t="n">
        <f aca="false">SUM('Root Dispositions'!F7:F12)</f>
        <v>84</v>
      </c>
      <c r="C74" s="54" t="n">
        <v>84</v>
      </c>
      <c r="D74" s="59" t="n">
        <f aca="false">B74-C74</f>
        <v>0</v>
      </c>
      <c r="E74" s="19" t="str">
        <f aca="false">IF(ABS(D74)&lt;0.000001,"PASS","FAIL")</f>
        <v>PASS</v>
      </c>
    </row>
    <row r="75" customFormat="false" ht="15" hidden="false" customHeight="false" outlineLevel="0" collapsed="false">
      <c r="A75" s="9" t="s">
        <v>1508</v>
      </c>
      <c r="B75" s="59" t="n">
        <f aca="false">SUM('Root Dispositions'!G7:G12)</f>
        <v>3.58691281932057</v>
      </c>
      <c r="C75" s="54" t="n">
        <v>3.58691281932057</v>
      </c>
      <c r="D75" s="59" t="n">
        <f aca="false">B75-C75</f>
        <v>0</v>
      </c>
      <c r="E75" s="19" t="str">
        <f aca="false">IF(ABS(D75)&lt;0.000001,"PASS","FAIL")</f>
        <v>PASS</v>
      </c>
    </row>
    <row r="76" customFormat="false" ht="15" hidden="false" customHeight="false" outlineLevel="0" collapsed="false">
      <c r="A76" s="9" t="s">
        <v>1509</v>
      </c>
      <c r="B76" s="59" t="n">
        <f aca="false">COUNTIF('Root Dispositions'!H7:H12,"SOURCE EMPTY")</f>
        <v>6</v>
      </c>
      <c r="C76" s="54" t="n">
        <v>6</v>
      </c>
      <c r="D76" s="59" t="n">
        <f aca="false">B76-C76</f>
        <v>0</v>
      </c>
      <c r="E76" s="19" t="str">
        <f aca="false">IF(ABS(D76)&lt;0.000001,"PASS","FAIL")</f>
        <v>PASS</v>
      </c>
    </row>
    <row r="77" customFormat="false" ht="15" hidden="false" customHeight="false" outlineLevel="0" collapsed="false">
      <c r="A77" s="9" t="s">
        <v>1510</v>
      </c>
      <c r="B77" s="59" t="n">
        <f aca="false">COUNTIF('Root Dispositions'!I7:I12,"HOLD")</f>
        <v>6</v>
      </c>
      <c r="C77" s="54" t="n">
        <v>6</v>
      </c>
      <c r="D77" s="59" t="n">
        <f aca="false">B77-C77</f>
        <v>0</v>
      </c>
      <c r="E77" s="19" t="str">
        <f aca="false">IF(ABS(D77)&lt;0.000001,"PASS","FAIL")</f>
        <v>PASS</v>
      </c>
    </row>
    <row r="78" customFormat="false" ht="15" hidden="false" customHeight="false" outlineLevel="0" collapsed="false">
      <c r="A78" s="9" t="s">
        <v>1511</v>
      </c>
      <c r="B78" s="59" t="n">
        <f aca="false">COUNTA('Technology Return'!A7:A12)</f>
        <v>6</v>
      </c>
      <c r="C78" s="54" t="n">
        <v>6</v>
      </c>
      <c r="D78" s="59" t="n">
        <f aca="false">B78-C78</f>
        <v>0</v>
      </c>
      <c r="E78" s="19" t="str">
        <f aca="false">IF(ABS(D78)&lt;0.000001,"PASS","FAIL")</f>
        <v>PASS</v>
      </c>
    </row>
    <row r="79" customFormat="false" ht="15" hidden="false" customHeight="false" outlineLevel="0" collapsed="false">
      <c r="A79" s="9" t="s">
        <v>1512</v>
      </c>
      <c r="B79" s="59" t="n">
        <f aca="false">COUNTIF('Technology Return'!F7:F12,"HELD")</f>
        <v>6</v>
      </c>
      <c r="C79" s="54" t="n">
        <v>6</v>
      </c>
      <c r="D79" s="59" t="n">
        <f aca="false">B79-C79</f>
        <v>0</v>
      </c>
      <c r="E79" s="19" t="str">
        <f aca="false">IF(ABS(D79)&lt;0.000001,"PASS","FAIL")</f>
        <v>PASS</v>
      </c>
    </row>
    <row r="80" customFormat="false" ht="15" hidden="false" customHeight="false" outlineLevel="0" collapsed="false">
      <c r="A80" s="9" t="s">
        <v>1513</v>
      </c>
      <c r="B80" s="59" t="n">
        <f aca="false">COUNTIF(Alternatives!P7:P12,"SELECT")</f>
        <v>1</v>
      </c>
      <c r="C80" s="54" t="n">
        <v>1</v>
      </c>
      <c r="D80" s="59" t="n">
        <f aca="false">B80-C80</f>
        <v>0</v>
      </c>
      <c r="E80" s="19" t="str">
        <f aca="false">IF(ABS(D80)&lt;0.000001,"PASS","FAIL")</f>
        <v>PASS</v>
      </c>
    </row>
    <row r="81" customFormat="false" ht="15" hidden="false" customHeight="false" outlineLevel="0" collapsed="false">
      <c r="A81" s="9" t="s">
        <v>1514</v>
      </c>
      <c r="B81" s="59" t="n">
        <f aca="false">Alternatives!N7</f>
        <v>12</v>
      </c>
      <c r="C81" s="54" t="n">
        <v>12</v>
      </c>
      <c r="D81" s="59" t="n">
        <f aca="false">B81-C81</f>
        <v>0</v>
      </c>
      <c r="E81" s="19" t="str">
        <f aca="false">IF(ABS(D81)&lt;0.000001,"PASS","FAIL")</f>
        <v>PASS</v>
      </c>
    </row>
    <row r="82" customFormat="false" ht="15" hidden="false" customHeight="false" outlineLevel="0" collapsed="false">
      <c r="A82" s="9" t="s">
        <v>1515</v>
      </c>
      <c r="B82" s="59" t="n">
        <f aca="false">COUNTIF(Alternatives!P7:P12,"REJECT")</f>
        <v>5</v>
      </c>
      <c r="C82" s="54" t="n">
        <v>5</v>
      </c>
      <c r="D82" s="59" t="n">
        <f aca="false">B82-C82</f>
        <v>0</v>
      </c>
      <c r="E82" s="19" t="str">
        <f aca="false">IF(ABS(D82)&lt;0.000001,"PASS","FAIL")</f>
        <v>PASS</v>
      </c>
    </row>
    <row r="83" customFormat="false" ht="15" hidden="false" customHeight="false" outlineLevel="0" collapsed="false">
      <c r="A83" s="9" t="s">
        <v>1516</v>
      </c>
      <c r="B83" s="59" t="n">
        <f aca="false">COUNTA('Stress Tests'!A7:A22)</f>
        <v>16</v>
      </c>
      <c r="C83" s="54" t="n">
        <v>16</v>
      </c>
      <c r="D83" s="59" t="n">
        <f aca="false">B83-C83</f>
        <v>0</v>
      </c>
      <c r="E83" s="19" t="str">
        <f aca="false">IF(ABS(D83)&lt;0.000001,"PASS","FAIL")</f>
        <v>PASS</v>
      </c>
    </row>
    <row r="84" customFormat="false" ht="15" hidden="false" customHeight="false" outlineLevel="0" collapsed="false">
      <c r="A84" s="9" t="s">
        <v>1517</v>
      </c>
      <c r="B84" s="59" t="n">
        <f aca="false">COUNTIF('Stress Tests'!F7:F22,"PASS")</f>
        <v>16</v>
      </c>
      <c r="C84" s="54" t="n">
        <v>16</v>
      </c>
      <c r="D84" s="59" t="n">
        <f aca="false">B84-C84</f>
        <v>0</v>
      </c>
      <c r="E84" s="19" t="str">
        <f aca="false">IF(ABS(D84)&lt;0.000001,"PASS","FAIL")</f>
        <v>PASS</v>
      </c>
    </row>
    <row r="85" customFormat="false" ht="15" hidden="false" customHeight="false" outlineLevel="0" collapsed="false">
      <c r="A85" s="9" t="s">
        <v>1518</v>
      </c>
      <c r="B85" s="59" t="n">
        <f aca="false">Controls!B32</f>
        <v>0</v>
      </c>
      <c r="C85" s="54" t="n">
        <v>0</v>
      </c>
      <c r="D85" s="59" t="n">
        <f aca="false">B85-C85</f>
        <v>0</v>
      </c>
      <c r="E85" s="19" t="str">
        <f aca="false">IF(ABS(D85)&lt;0.000001,"PASS","FAIL")</f>
        <v>PASS</v>
      </c>
    </row>
    <row r="86" customFormat="false" ht="15" hidden="false" customHeight="false" outlineLevel="0" collapsed="false">
      <c r="A86" s="9" t="s">
        <v>1519</v>
      </c>
      <c r="B86" s="59" t="n">
        <f aca="false">Controls!B33</f>
        <v>0</v>
      </c>
      <c r="C86" s="54" t="n">
        <v>0</v>
      </c>
      <c r="D86" s="59" t="n">
        <f aca="false">B86-C86</f>
        <v>0</v>
      </c>
      <c r="E86" s="19" t="str">
        <f aca="false">IF(ABS(D86)&lt;0.000001,"PASS","FAIL")</f>
        <v>PASS</v>
      </c>
    </row>
    <row r="87" customFormat="false" ht="15" hidden="false" customHeight="false" outlineLevel="0" collapsed="false">
      <c r="A87" s="9" t="s">
        <v>1520</v>
      </c>
      <c r="B87" s="59" t="n">
        <f aca="false">Controls!B34</f>
        <v>0</v>
      </c>
      <c r="C87" s="54" t="n">
        <v>0</v>
      </c>
      <c r="D87" s="59" t="n">
        <f aca="false">B87-C87</f>
        <v>0</v>
      </c>
      <c r="E87" s="19" t="str">
        <f aca="false">IF(ABS(D87)&lt;0.000001,"PASS","FAIL")</f>
        <v>PASS</v>
      </c>
    </row>
    <row r="88" customFormat="false" ht="15" hidden="false" customHeight="false" outlineLevel="0" collapsed="false">
      <c r="A88" s="9" t="s">
        <v>1521</v>
      </c>
      <c r="B88" s="59" t="n">
        <f aca="false">Controls!B35</f>
        <v>0</v>
      </c>
      <c r="C88" s="54" t="n">
        <v>0</v>
      </c>
      <c r="D88" s="59" t="n">
        <f aca="false">B88-C88</f>
        <v>0</v>
      </c>
      <c r="E88" s="19" t="str">
        <f aca="false">IF(ABS(D88)&lt;0.000001,"PASS","FAIL")</f>
        <v>PASS</v>
      </c>
    </row>
    <row r="89" customFormat="false" ht="15" hidden="false" customHeight="false" outlineLevel="0" collapsed="false">
      <c r="A89" s="9" t="s">
        <v>1522</v>
      </c>
      <c r="B89" s="59" t="n">
        <f aca="false">Controls!B36</f>
        <v>0</v>
      </c>
      <c r="C89" s="54" t="n">
        <v>0</v>
      </c>
      <c r="D89" s="59" t="n">
        <f aca="false">B89-C89</f>
        <v>0</v>
      </c>
      <c r="E89" s="19" t="str">
        <f aca="false">IF(ABS(D89)&lt;0.000001,"PASS","FAIL")</f>
        <v>PASS</v>
      </c>
    </row>
    <row r="90" customFormat="false" ht="15" hidden="false" customHeight="false" outlineLevel="0" collapsed="false">
      <c r="A90" s="9" t="s">
        <v>1523</v>
      </c>
      <c r="B90" s="59" t="n">
        <f aca="false">Controls!B37</f>
        <v>0</v>
      </c>
      <c r="C90" s="54" t="n">
        <v>0</v>
      </c>
      <c r="D90" s="59" t="n">
        <f aca="false">B90-C90</f>
        <v>0</v>
      </c>
      <c r="E90" s="19" t="str">
        <f aca="false">IF(ABS(D90)&lt;0.000001,"PASS","FAIL")</f>
        <v>PASS</v>
      </c>
    </row>
    <row r="91" customFormat="false" ht="15" hidden="false" customHeight="false" outlineLevel="0" collapsed="false">
      <c r="A91" s="9" t="s">
        <v>1524</v>
      </c>
      <c r="B91" s="59" t="n">
        <f aca="false">Controls!B38</f>
        <v>0</v>
      </c>
      <c r="C91" s="54" t="n">
        <v>0</v>
      </c>
      <c r="D91" s="59" t="n">
        <f aca="false">B91-C91</f>
        <v>0</v>
      </c>
      <c r="E91" s="19" t="str">
        <f aca="false">IF(ABS(D91)&lt;0.000001,"PASS","FAIL")</f>
        <v>PASS</v>
      </c>
    </row>
    <row r="92" customFormat="false" ht="15" hidden="false" customHeight="false" outlineLevel="0" collapsed="false">
      <c r="A92" s="9" t="s">
        <v>1525</v>
      </c>
      <c r="B92" s="59" t="n">
        <f aca="false">Controls!B39</f>
        <v>0</v>
      </c>
      <c r="C92" s="54" t="n">
        <v>0</v>
      </c>
      <c r="D92" s="59" t="n">
        <f aca="false">B92-C92</f>
        <v>0</v>
      </c>
      <c r="E92" s="19" t="str">
        <f aca="false">IF(ABS(D92)&lt;0.000001,"PASS","FAIL")</f>
        <v>PASS</v>
      </c>
    </row>
    <row r="93" customFormat="false" ht="15" hidden="false" customHeight="false" outlineLevel="0" collapsed="false">
      <c r="A93" s="12" t="s">
        <v>1526</v>
      </c>
      <c r="B93" s="60" t="n">
        <f aca="false">Controls!B40</f>
        <v>0</v>
      </c>
      <c r="C93" s="56" t="n">
        <v>0</v>
      </c>
      <c r="D93" s="60" t="n">
        <f aca="false">B93-C93</f>
        <v>0</v>
      </c>
      <c r="E93" s="20" t="str">
        <f aca="false">IF(ABS(D93)&lt;0.000001,"PASS","FAIL")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61"/>
    <col collapsed="false" customWidth="true" hidden="false" outlineLevel="0" max="4" min="4" style="0" width="23"/>
    <col collapsed="false" customWidth="true" hidden="false" outlineLevel="0" max="5" min="5" style="0" width="53"/>
  </cols>
  <sheetData>
    <row r="2" customFormat="false" ht="24" hidden="false" customHeight="true" outlineLevel="0" collapsed="false">
      <c r="A2" s="1" t="s">
        <v>1527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1528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1529</v>
      </c>
      <c r="B6" s="6" t="s">
        <v>1530</v>
      </c>
      <c r="C6" s="6" t="s">
        <v>291</v>
      </c>
      <c r="D6" s="6" t="s">
        <v>1531</v>
      </c>
      <c r="E6" s="7" t="s">
        <v>1532</v>
      </c>
    </row>
    <row r="7" customFormat="false" ht="15" hidden="false" customHeight="false" outlineLevel="0" collapsed="false">
      <c r="A7" s="8" t="s">
        <v>119</v>
      </c>
      <c r="B7" s="8" t="s">
        <v>1533</v>
      </c>
      <c r="C7" s="8" t="s">
        <v>1534</v>
      </c>
      <c r="D7" s="8" t="s">
        <v>1535</v>
      </c>
      <c r="E7" s="8" t="s">
        <v>1536</v>
      </c>
    </row>
    <row r="8" customFormat="false" ht="15" hidden="false" customHeight="false" outlineLevel="0" collapsed="false">
      <c r="A8" s="9" t="s">
        <v>123</v>
      </c>
      <c r="B8" s="9" t="s">
        <v>1537</v>
      </c>
      <c r="C8" s="9" t="s">
        <v>1538</v>
      </c>
      <c r="D8" s="9" t="s">
        <v>1535</v>
      </c>
      <c r="E8" s="9" t="s">
        <v>1539</v>
      </c>
    </row>
    <row r="9" customFormat="false" ht="15" hidden="false" customHeight="false" outlineLevel="0" collapsed="false">
      <c r="A9" s="9" t="s">
        <v>116</v>
      </c>
      <c r="B9" s="9" t="s">
        <v>1540</v>
      </c>
      <c r="C9" s="9" t="s">
        <v>1541</v>
      </c>
      <c r="D9" s="9" t="s">
        <v>1535</v>
      </c>
      <c r="E9" s="9" t="s">
        <v>1542</v>
      </c>
    </row>
    <row r="10" customFormat="false" ht="15" hidden="false" customHeight="false" outlineLevel="0" collapsed="false">
      <c r="A10" s="9" t="s">
        <v>130</v>
      </c>
      <c r="B10" s="9" t="s">
        <v>1543</v>
      </c>
      <c r="C10" s="9" t="s">
        <v>1544</v>
      </c>
      <c r="D10" s="9" t="s">
        <v>1535</v>
      </c>
      <c r="E10" s="9" t="s">
        <v>1545</v>
      </c>
    </row>
    <row r="11" customFormat="false" ht="15" hidden="false" customHeight="false" outlineLevel="0" collapsed="false">
      <c r="A11" s="9" t="s">
        <v>1546</v>
      </c>
      <c r="B11" s="9" t="s">
        <v>1547</v>
      </c>
      <c r="C11" s="9" t="s">
        <v>1548</v>
      </c>
      <c r="D11" s="9" t="s">
        <v>1535</v>
      </c>
      <c r="E11" s="9" t="s">
        <v>1549</v>
      </c>
    </row>
    <row r="12" customFormat="false" ht="15" hidden="false" customHeight="false" outlineLevel="0" collapsed="false">
      <c r="A12" s="9" t="s">
        <v>1550</v>
      </c>
      <c r="B12" s="9" t="s">
        <v>1551</v>
      </c>
      <c r="C12" s="9" t="s">
        <v>1552</v>
      </c>
      <c r="D12" s="9" t="s">
        <v>1535</v>
      </c>
      <c r="E12" s="9" t="s">
        <v>1553</v>
      </c>
    </row>
    <row r="13" customFormat="false" ht="15" hidden="false" customHeight="false" outlineLevel="0" collapsed="false">
      <c r="A13" s="9" t="s">
        <v>1554</v>
      </c>
      <c r="B13" s="9" t="s">
        <v>1555</v>
      </c>
      <c r="C13" s="9" t="s">
        <v>1556</v>
      </c>
      <c r="D13" s="9" t="s">
        <v>1557</v>
      </c>
      <c r="E13" s="9" t="s">
        <v>1558</v>
      </c>
    </row>
    <row r="14" customFormat="false" ht="15" hidden="false" customHeight="false" outlineLevel="0" collapsed="false">
      <c r="A14" s="12" t="s">
        <v>1559</v>
      </c>
      <c r="B14" s="12" t="s">
        <v>1560</v>
      </c>
      <c r="C14" s="12" t="s">
        <v>1561</v>
      </c>
      <c r="D14" s="12" t="s">
        <v>1562</v>
      </c>
      <c r="E14" s="12" t="s">
        <v>1563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