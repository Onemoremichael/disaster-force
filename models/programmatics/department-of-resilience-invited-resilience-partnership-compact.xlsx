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0167aaf23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1c95f8a7ae4fc4"/>
    <x:sheet xmlns:r="http://schemas.openxmlformats.org/officeDocument/2006/relationships" name="Compact" sheetId="2" r:id="R88250dec55384945"/>
    <x:sheet xmlns:r="http://schemas.openxmlformats.org/officeDocument/2006/relationships" name="Authority" sheetId="3" r:id="R21afe40b2e064b72"/>
    <x:sheet xmlns:r="http://schemas.openxmlformats.org/officeDocument/2006/relationships" name="Mission Contract" sheetId="4" r:id="R8d23b1ca9bca402f"/>
    <x:sheet xmlns:r="http://schemas.openxmlformats.org/officeDocument/2006/relationships" name="Non-Recall" sheetId="5" r:id="R749a016baefe4c55"/>
    <x:sheet xmlns:r="http://schemas.openxmlformats.org/officeDocument/2006/relationships" name="Finance" sheetId="6" r:id="R2fd8942dc74c4c69"/>
    <x:sheet xmlns:r="http://schemas.openxmlformats.org/officeDocument/2006/relationships" name="Partner Industry" sheetId="7" r:id="R78101466108d4946"/>
    <x:sheet xmlns:r="http://schemas.openxmlformats.org/officeDocument/2006/relationships" name="Data &amp; Rights" sheetId="8" r:id="R3791c07d4cef447a"/>
    <x:sheet xmlns:r="http://schemas.openxmlformats.org/officeDocument/2006/relationships" name="Transfer &amp; Exit" sheetId="9" r:id="Recc6c78ecdb64c17"/>
    <x:sheet xmlns:r="http://schemas.openxmlformats.org/officeDocument/2006/relationships" name="Gate Delta" sheetId="10" r:id="Rab242a0db2244fdf"/>
    <x:sheet xmlns:r="http://schemas.openxmlformats.org/officeDocument/2006/relationships" name="Inputs" sheetId="11" r:id="Red4c1f8e57f24e85"/>
    <x:sheet xmlns:r="http://schemas.openxmlformats.org/officeDocument/2006/relationships" name="Mutations" sheetId="12" r:id="Rba75568907ba47ff"/>
    <x:sheet xmlns:r="http://schemas.openxmlformats.org/officeDocument/2006/relationships" name="Audit" sheetId="13" r:id="R3ed2c3e9fe3d4cee"/>
    <x:sheet xmlns:r="http://schemas.openxmlformats.org/officeDocument/2006/relationships" name="ReadMe" sheetId="14" r:id="Rb42ac209b2db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6">
    <x:font>
      <x:sz val="11"/>
      <x:name val="Carlito"/>
    </x:font>
    <x:font>
      <x:sz val="10"/>
      <x:color rgb="FF17212B"/>
      <x:name val="Arial"/>
    </x:font>
    <x:font>
      <x:b/>
      <x:sz val="15"/>
      <x:color rgb="FF17324D"/>
      <x:name val="Arial"/>
    </x:font>
    <x:font>
      <x:i/>
      <x:sz val="10"/>
      <x:color rgb="FF66727F"/>
      <x:name val="Arial"/>
    </x:font>
    <x:font>
      <x:b/>
      <x:sz val="10"/>
      <x:color rgb="FFFFFFFF"/>
      <x:name val="Arial"/>
    </x:font>
    <x:font>
      <x:b/>
      <x:sz val="11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1F7"/>
      </x:patternFill>
    </x:fill>
    <x:fill>
      <x:patternFill patternType="solid">
        <x:fgColor rgb="FF2F6690"/>
      </x:patternFill>
    </x:fill>
  </x:fills>
  <x:borders count="4">
    <x:border/>
    <x:border>
      <x:bottom style="thin">
        <x:color rgb="FF2F6690"/>
      </x:bottom>
    </x:border>
    <x:border>
      <x:bottom style="thin">
        <x:color rgb="FFCBD5DF"/>
      </x:bottom>
    </x:border>
    <x:border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201" fontId="1" fillId="3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1" fontId="1" fillId="3" borderId="3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3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DE9E7"/>
        </x:patternFill>
      </x:fill>
    </x:dxf>
    <x:dxf>
      <x:font>
        <x:b/>
        <x:color rgb="FF9C0006"/>
      </x:font>
      <x:fill>
        <x:patternFill patternType="solid">
          <x:bgColor rgb="FFFDE9E7"/>
        </x:patternFill>
      </x:fill>
    </x:dxf>
    <x:dxf>
      <x:font>
        <x:b/>
        <x:color rgb="FF9C0006"/>
      </x:font>
      <x:fill>
        <x:patternFill patternType="solid">
          <x:bgColor rgb="FFFDE9E7"/>
        </x:patternFill>
      </x:fill>
    </x:dxf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c85b95a8a4f87" /><Relationship Type="http://schemas.openxmlformats.org/officeDocument/2006/relationships/theme" Target="/xl/theme/theme1.xml" Id="Raa653c4a4deb416f" /><Relationship Type="http://schemas.openxmlformats.org/officeDocument/2006/relationships/sharedStrings" Target="/xl/sharedStrings.xml" Id="R485ba4f2b95042af" /><Relationship Type="http://schemas.openxmlformats.org/officeDocument/2006/relationships/worksheet" Target="/xl/worksheets/sheet1.xml" Id="R1b1c95f8a7ae4fc4" /><Relationship Type="http://schemas.openxmlformats.org/officeDocument/2006/relationships/worksheet" Target="/xl/worksheets/sheet2.xml" Id="R88250dec55384945" /><Relationship Type="http://schemas.openxmlformats.org/officeDocument/2006/relationships/worksheet" Target="/xl/worksheets/sheet3.xml" Id="R21afe40b2e064b72" /><Relationship Type="http://schemas.openxmlformats.org/officeDocument/2006/relationships/worksheet" Target="/xl/worksheets/sheet4.xml" Id="R8d23b1ca9bca402f" /><Relationship Type="http://schemas.openxmlformats.org/officeDocument/2006/relationships/worksheet" Target="/xl/worksheets/sheet5.xml" Id="R749a016baefe4c55" /><Relationship Type="http://schemas.openxmlformats.org/officeDocument/2006/relationships/worksheet" Target="/xl/worksheets/sheet6.xml" Id="R2fd8942dc74c4c69" /><Relationship Type="http://schemas.openxmlformats.org/officeDocument/2006/relationships/worksheet" Target="/xl/worksheets/sheet7.xml" Id="R78101466108d4946" /><Relationship Type="http://schemas.openxmlformats.org/officeDocument/2006/relationships/worksheet" Target="/xl/worksheets/sheet8.xml" Id="R3791c07d4cef447a" /><Relationship Type="http://schemas.openxmlformats.org/officeDocument/2006/relationships/worksheet" Target="/xl/worksheets/sheet9.xml" Id="Recc6c78ecdb64c17" /><Relationship Type="http://schemas.openxmlformats.org/officeDocument/2006/relationships/worksheet" Target="/xl/worksheets/sheet10.xml" Id="Rab242a0db2244fdf" /><Relationship Type="http://schemas.openxmlformats.org/officeDocument/2006/relationships/worksheet" Target="/xl/worksheets/sheet11.xml" Id="Red4c1f8e57f24e85" /><Relationship Type="http://schemas.openxmlformats.org/officeDocument/2006/relationships/worksheet" Target="/xl/worksheets/sheet12.xml" Id="Rba75568907ba47ff" /><Relationship Type="http://schemas.openxmlformats.org/officeDocument/2006/relationships/worksheet" Target="/xl/worksheets/sheet13.xml" Id="R3ed2c3e9fe3d4cee" /><Relationship Type="http://schemas.openxmlformats.org/officeDocument/2006/relationships/worksheet" Target="/xl/worksheets/sheet14.xml" Id="Rb42ac209b2db4e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5" hidden="0" customWidth="1"/>
    <x:col min="3" max="3" width="3" hidden="0" customWidth="1"/>
    <x:col min="4" max="4" width="28" hidden="0" customWidth="1"/>
    <x:col min="5" max="5" width="15" hidden="0" customWidth="1"/>
    <x:col min="6" max="6" width="3" hidden="0" customWidth="1"/>
    <x:col min="7" max="7" width="3" hidden="0" customWidth="1"/>
    <x:col min="8" max="8" width="2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Invited Resilience Partnership Compact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IRPC-1 makes overseas resilience a sovereign, non-recallable public-service contract.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25" t="str">
        <x:v>Decision</x:v>
      </x:c>
      <x:c r="B6" s="25" t="str">
        <x:v>IRPC-1</x:v>
      </x:c>
      <x:c r="C6" s="25" t="str">
        <x:v>Verdict</x:v>
      </x:c>
      <x:c r="D6" s="25" t="str">
        <x:v>CLOSE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0" customHeight="1">
      <x:c r="A8" s="9" t="str">
        <x:v>Strategic scale</x:v>
      </x:c>
      <x:c r="B8" s="9" t="str">
        <x:v>Value</x:v>
      </x:c>
      <x:c r="C8" s="1"/>
      <x:c r="D8" s="9" t="str">
        <x:v>Publication status</x:v>
      </x:c>
      <x:c r="E8" s="9" t="str">
        <x:v>Value</x:v>
      </x:c>
      <x:c r="F8" s="1"/>
      <x:c r="G8" s="1"/>
      <x:c r="H8" s="9" t="str">
        <x:v>Controlling judgment</x:v>
      </x:c>
      <x:c r="I8" s="9" t="str">
        <x:v>Meaning</x:v>
      </x:c>
      <x:c r="J8" s="9"/>
      <x:c r="K8" s="9"/>
      <x:c r="L8" s="9"/>
      <x:c r="M8" s="9"/>
      <x:c r="N8" s="9"/>
    </x:row>
    <x:row r="9">
      <x:c r="A9" s="19" t="str">
        <x:v>Invited campaigns</x:v>
      </x:c>
      <x:c r="B9" s="19" t="n">
        <x:f>Inputs!B7</x:f>
        <x:v>2</x:v>
      </x:c>
      <x:c r="C9" s="1"/>
      <x:c r="D9" s="19" t="str">
        <x:v>Gates closed</x:v>
      </x:c>
      <x:c r="E9" s="19" t="n">
        <x:f>Inputs!B42</x:f>
        <x:v>59</x:v>
      </x:c>
      <x:c r="F9" s="1"/>
      <x:c r="G9" s="1"/>
      <x:c r="H9" s="19" t="str">
        <x:v>Constitutive object</x:v>
      </x:c>
      <x:c r="I9" s="19" t="str">
        <x:v>A standing compact permits requests; authenticated request plus U.S. acceptance binds a campaign.</x:v>
      </x:c>
      <x:c r="J9" s="19"/>
      <x:c r="K9" s="19"/>
      <x:c r="L9" s="19"/>
      <x:c r="M9" s="19"/>
      <x:c r="N9" s="19"/>
    </x:row>
    <x:row r="10">
      <x:c r="A10" s="21" t="str">
        <x:v>Invited commitments</x:v>
      </x:c>
      <x:c r="B10" s="21" t="n">
        <x:f>Inputs!B10</x:f>
        <x:v>675</x:v>
      </x:c>
      <x:c r="C10" s="1"/>
      <x:c r="D10" s="21" t="str">
        <x:v>Gates open</x:v>
      </x:c>
      <x:c r="E10" s="21" t="n">
        <x:f>Inputs!B43</x:f>
        <x:v>11</x:v>
      </x:c>
      <x:c r="F10" s="1"/>
      <x:c r="G10" s="1"/>
      <x:c r="H10" s="21" t="str">
        <x:v>Sovereignty</x:v>
      </x:c>
      <x:c r="I10" s="21" t="str">
        <x:v>The host owns civil purpose, admission, population priority, stop, data custody and transfer acceptance.</x:v>
      </x:c>
      <x:c r="J10" s="21"/>
      <x:c r="K10" s="21"/>
      <x:c r="L10" s="21"/>
      <x:c r="M10" s="21"/>
      <x:c r="N10" s="21"/>
    </x:row>
    <x:row r="11">
      <x:c r="A11" s="21" t="str">
        <x:v>Corridor claims</x:v>
      </x:c>
      <x:c r="B11" s="21" t="n">
        <x:f>Inputs!B19</x:f>
        <x:v>1350</x:v>
      </x:c>
      <x:c r="C11" s="1"/>
      <x:c r="D11" s="21" t="str">
        <x:v>Editorial completion</x:v>
      </x:c>
      <x:c r="E11" s="29" t="n">
        <x:f>Inputs!B44</x:f>
        <x:v>0.8428571428571429</x:v>
      </x:c>
      <x:c r="F11" s="1"/>
      <x:c r="G11" s="1"/>
      <x:c r="H11" s="21" t="str">
        <x:v>Non-recall</x:v>
      </x:c>
      <x:c r="I11" s="21" t="str">
        <x:v>After acceptance, exact serials remain committed until bilateral release and requalification.</x:v>
      </x:c>
      <x:c r="J11" s="21"/>
      <x:c r="K11" s="21"/>
      <x:c r="L11" s="21"/>
      <x:c r="M11" s="21"/>
      <x:c r="N11" s="21"/>
    </x:row>
    <x:row r="12">
      <x:c r="A12" s="21" t="str">
        <x:v>Segment reservations</x:v>
      </x:c>
      <x:c r="B12" s="21" t="n">
        <x:f>Inputs!B21</x:f>
        <x:v>9450</x:v>
      </x:c>
      <x:c r="C12" s="1"/>
      <x:c r="D12" s="21" t="str">
        <x:v>Ready chapters</x:v>
      </x:c>
      <x:c r="E12" s="21" t="n">
        <x:f>Inputs!B45</x:f>
        <x:v>6</x:v>
      </x:c>
      <x:c r="F12" s="1"/>
      <x:c r="G12" s="1"/>
      <x:c r="H12" s="21" t="str">
        <x:v>Finance</x:v>
      </x:c>
      <x:c r="I12" s="21" t="str">
        <x:v>U.S. readiness is prepaid. Host inability to pay cannot terminate life-safety service or create debt leverage.</x:v>
      </x:c>
      <x:c r="J12" s="21"/>
      <x:c r="K12" s="21"/>
      <x:c r="L12" s="21"/>
      <x:c r="M12" s="21"/>
      <x:c r="N12" s="21"/>
    </x:row>
    <x:row r="13">
      <x:c r="A13" s="21" t="str">
        <x:v>Receiver districts</x:v>
      </x:c>
      <x:c r="B13" s="21" t="n">
        <x:f>Inputs!B23</x:f>
        <x:v>12</x:v>
      </x:c>
      <x:c r="C13" s="1"/>
      <x:c r="D13" s="21" t="str">
        <x:v>Publication authority</x:v>
      </x:c>
      <x:c r="E13" s="21" t="n">
        <x:f>Inputs!B52</x:f>
        <x:v>0</x:v>
      </x:c>
      <x:c r="F13" s="1"/>
      <x:c r="G13" s="1"/>
      <x:c r="H13" s="21" t="str">
        <x:v>Partner industry</x:v>
      </x:c>
      <x:c r="I13" s="21" t="str">
        <x:v>Separate serials must leave operation, repair, evidence and reproduction power with the recipient.</x:v>
      </x:c>
      <x:c r="J13" s="21"/>
      <x:c r="K13" s="21"/>
      <x:c r="L13" s="21"/>
      <x:c r="M13" s="21"/>
      <x:c r="N13" s="21"/>
    </x:row>
    <x:row r="14">
      <x:c r="A14" s="21" t="str">
        <x:v>Partner production roots</x:v>
      </x:c>
      <x:c r="B14" s="21" t="n">
        <x:f>Inputs!B26</x:f>
        <x:v>192</x:v>
      </x:c>
      <x:c r="C14" s="1"/>
      <x:c r="D14" s="21" t="str">
        <x:v>Rendering authority</x:v>
      </x:c>
      <x:c r="E14" s="21" t="n">
        <x:f>Inputs!B53</x:f>
        <x:v>0</x:v>
      </x:c>
      <x:c r="F14" s="1"/>
      <x:c r="G14" s="1"/>
      <x:c r="H14" s="21" t="str">
        <x:v>Exit</x:v>
      </x:c>
      <x:c r="I14" s="21" t="str">
        <x:v>Effect, rights, custody, workforce, maintenance, finance, residual and evidence gates precede departure.</x:v>
      </x:c>
      <x:c r="J14" s="21"/>
      <x:c r="K14" s="21"/>
      <x:c r="L14" s="21"/>
      <x:c r="M14" s="21"/>
      <x:c r="N14" s="21"/>
    </x:row>
    <x:row r="15">
      <x:c r="A15" s="21" t="str">
        <x:v>Bridge duration (days)</x:v>
      </x:c>
      <x:c r="B15" s="21" t="n">
        <x:f>Inputs!B29</x:f>
        <x:v>18</x:v>
      </x:c>
      <x:c r="C15" s="1"/>
      <x:c r="D15" s="1"/>
      <x:c r="E15" s="1"/>
      <x:c r="F15" s="1"/>
      <x:c r="G15" s="1"/>
      <x:c r="H15" s="21" t="str">
        <x:v>Evidence state</x:v>
      </x:c>
      <x:c r="I15" s="21" t="str">
        <x:v>All identities, observations, partners and effects remain source-empty; strategic credit is zero.</x:v>
      </x:c>
      <x:c r="J15" s="21"/>
      <x:c r="K15" s="21"/>
      <x:c r="L15" s="21"/>
      <x:c r="M15" s="21"/>
      <x:c r="N15" s="21"/>
    </x:row>
    <x:row r="16">
      <x:c r="A16" s="21" t="str">
        <x:v>Forward material lower bound (Mt)</x:v>
      </x:c>
      <x:c r="B16" s="21" t="n">
        <x:f>Inputs!B31</x:f>
        <x:v>0.878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31" t="str">
        <x:v>Decision rule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</x:row>
    <x:row r="20">
      <x:c r="A20" s="33" t="str">
        <x:v>The United States accepts a bounded service obligation, enters through host-controlled receivers, preserves separate civil and technical authority, builds partner capacity that cannot be booked as U.S. readiness, and exits only after jointly verifiable service and sovereignty gates close.</x:v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</x:sheetData>
  <x:mergeCells>
    <x:mergeCell ref="I9:N9"/>
    <x:mergeCell ref="I10:N10"/>
    <x:mergeCell ref="I11:N11"/>
    <x:mergeCell ref="I12:N12"/>
    <x:mergeCell ref="I13:N13"/>
    <x:mergeCell ref="I14:N14"/>
    <x:mergeCell ref="I15:N15"/>
    <x:mergeCell ref="A20:N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34" hidden="0" customWidth="1"/>
    <x:col min="4" max="4" width="34" hidden="0" customWidth="1"/>
    <x:col min="5" max="5" width="27" hidden="0" customWidth="1"/>
    <x:col min="6" max="6" width="38" hidden="0" customWidth="1"/>
    <x:col min="7" max="7" width="11" hidden="0" customWidth="1"/>
    <x:col min="8" max="8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Eighteen-clause partnership compact</x:v>
      </x:c>
      <x:c r="B2" s="1"/>
      <x:c r="C2" s="1"/>
      <x:c r="D2" s="1"/>
      <x:c r="E2" s="1"/>
      <x:c r="F2" s="1"/>
      <x:c r="G2" s="1"/>
      <x:c r="H2" s="1"/>
    </x:row>
    <x:row r="3">
      <x:c r="A3" s="3" t="str">
        <x:v>Each clause preserves positive host power, bounded U.S. power and a prohibited conversion.</x:v>
      </x:c>
      <x:c r="B3" s="3"/>
      <x:c r="C3" s="3"/>
      <x:c r="D3" s="3"/>
      <x:c r="E3" s="3"/>
      <x:c r="F3" s="3"/>
      <x:c r="G3" s="3"/>
      <x:c r="H3" s="3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9" t="str">
        <x:v>ID</x:v>
      </x:c>
      <x:c r="B6" s="9" t="str">
        <x:v>Clause</x:v>
      </x:c>
      <x:c r="C6" s="9" t="str">
        <x:v>Host power</x:v>
      </x:c>
      <x:c r="D6" s="9" t="str">
        <x:v>U.S. power</x:v>
      </x:c>
      <x:c r="E6" s="9" t="str">
        <x:v>Joint artifact</x:v>
      </x:c>
      <x:c r="F6" s="9" t="str">
        <x:v>Prohibited conversion</x:v>
      </x:c>
      <x:c r="G6" s="9" t="str">
        <x:v>Required</x:v>
      </x:c>
      <x:c r="H6" s="9" t="str">
        <x:v>Planning state</x:v>
      </x:c>
    </x:row>
    <x:row r="7">
      <x:c r="A7" s="19" t="str">
        <x:v>C01</x:v>
      </x:c>
      <x:c r="B7" s="19" t="str">
        <x:v>Sovereign invitation</x:v>
      </x:c>
      <x:c r="C7" s="19" t="str">
        <x:v>Authenticate request or refuse</x:v>
      </x:c>
      <x:c r="D7" s="19" t="str">
        <x:v>Accept or decline bounded objective</x:v>
      </x:c>
      <x:c r="E7" s="19" t="str">
        <x:v>Sovereign request</x:v>
      </x:c>
      <x:c r="F7" s="19" t="str">
        <x:v>Hazard severity is not consent</x:v>
      </x:c>
      <x:c r="G7" s="19" t="n">
        <x:v>1</x:v>
      </x:c>
      <x:c r="H7" s="19" t="str">
        <x:f>IF(G7=1,"CONSTITUTED / SOURCE EMPTY","OPEN")</x:f>
        <x:v>CONSTITUTED / SOURCE EMPTY</x:v>
      </x:c>
    </x:row>
    <x:row r="8">
      <x:c r="A8" s="21" t="str">
        <x:v>C02</x:v>
      </x:c>
      <x:c r="B8" s="21" t="str">
        <x:v>Bounded public purpose</x:v>
      </x:c>
      <x:c r="C8" s="21" t="str">
        <x:v>Set population priorities</x:v>
      </x:c>
      <x:c r="D8" s="21" t="str">
        <x:v>Accept stated service vector</x:v>
      </x:c>
      <x:c r="E8" s="21" t="str">
        <x:v>Public-service vector</x:v>
      </x:c>
      <x:c r="F8" s="21" t="str">
        <x:v>Access is not mission ownership</x:v>
      </x:c>
      <x:c r="G8" s="21" t="n">
        <x:v>1</x:v>
      </x:c>
      <x:c r="H8" s="21" t="str">
        <x:f>IF(G8=1,"CONSTITUTED / SOURCE EMPTY","OPEN")</x:f>
        <x:v>CONSTITUTED / SOURCE EMPTY</x:v>
      </x:c>
    </x:row>
    <x:row r="9">
      <x:c r="A9" s="21" t="str">
        <x:v>C03</x:v>
      </x:c>
      <x:c r="B9" s="21" t="str">
        <x:v>Civil admission</x:v>
      </x:c>
      <x:c r="C9" s="21" t="str">
        <x:v>Admit, condition or stop entry</x:v>
      </x:c>
      <x:c r="D9" s="21" t="str">
        <x:v>Propose receiver and route use</x:v>
      </x:c>
      <x:c r="E9" s="21" t="str">
        <x:v>Receiver warrant</x:v>
      </x:c>
      <x:c r="F9" s="21" t="str">
        <x:v>Port clearance is not complete access</x:v>
      </x:c>
      <x:c r="G9" s="21" t="n">
        <x:v>1</x:v>
      </x:c>
      <x:c r="H9" s="21" t="str">
        <x:f>IF(G9=1,"CONSTITUTED / SOURCE EMPTY","OPEN")</x:f>
        <x:v>CONSTITUTED / SOURCE EMPTY</x:v>
      </x:c>
    </x:row>
    <x:row r="10">
      <x:c r="A10" s="21" t="str">
        <x:v>C04</x:v>
      </x:c>
      <x:c r="B10" s="21" t="str">
        <x:v>Technical safety</x:v>
      </x:c>
      <x:c r="C10" s="21" t="str">
        <x:v>Require local safety conditions</x:v>
      </x:c>
      <x:c r="D10" s="21" t="str">
        <x:v>Suspend unsafe U.S. configuration</x:v>
      </x:c>
      <x:c r="E10" s="21" t="str">
        <x:v>Technical release</x:v>
      </x:c>
      <x:c r="F10" s="21" t="str">
        <x:v>Civil consent is not technical release</x:v>
      </x:c>
      <x:c r="G10" s="21" t="n">
        <x:v>1</x:v>
      </x:c>
      <x:c r="H10" s="21" t="str">
        <x:f>IF(G10=1,"CONSTITUTED / SOURCE EMPTY","OPEN")</x:f>
        <x:v>CONSTITUTED / SOURCE EMPTY</x:v>
      </x:c>
    </x:row>
    <x:row r="11">
      <x:c r="A11" s="21" t="str">
        <x:v>C05</x:v>
      </x:c>
      <x:c r="B11" s="21" t="str">
        <x:v>Rights and remedy</x:v>
      </x:c>
      <x:c r="C11" s="21" t="str">
        <x:v>Set distribution and remedy</x:v>
      </x:c>
      <x:c r="D11" s="21" t="str">
        <x:v>Meet non-discrimination floor</x:v>
      </x:c>
      <x:c r="E11" s="21" t="str">
        <x:v>Rights covenant</x:v>
      </x:c>
      <x:c r="F11" s="21" t="str">
        <x:v>Urgency is not coercion authority</x:v>
      </x:c>
      <x:c r="G11" s="21" t="n">
        <x:v>1</x:v>
      </x:c>
      <x:c r="H11" s="21" t="str">
        <x:f>IF(G11=1,"CONSTITUTED / SOURCE EMPTY","OPEN")</x:f>
        <x:v>CONSTITUTED / SOURCE EMPTY</x:v>
      </x:c>
    </x:row>
    <x:row r="12">
      <x:c r="A12" s="21" t="str">
        <x:v>C06</x:v>
      </x:c>
      <x:c r="B12" s="21" t="str">
        <x:v>Family-complete reservation</x:v>
      </x:c>
      <x:c r="C12" s="21" t="str">
        <x:v>See family deficit and priority</x:v>
      </x:c>
      <x:c r="D12" s="21" t="str">
        <x:v>Reserve exact qualified serials</x:v>
      </x:c>
      <x:c r="E12" s="21" t="str">
        <x:v>Campaign reservation</x:v>
      </x:c>
      <x:c r="F12" s="21" t="str">
        <x:v>Aggregate capacity is not completeness</x:v>
      </x:c>
      <x:c r="G12" s="21" t="n">
        <x:v>1</x:v>
      </x:c>
      <x:c r="H12" s="21" t="str">
        <x:f>IF(G12=1,"CONSTITUTED / SOURCE EMPTY","OPEN")</x:f>
        <x:v>CONSTITUTED / SOURCE EMPTY</x:v>
      </x:c>
    </x:row>
    <x:row r="13">
      <x:c r="A13" s="21" t="str">
        <x:v>C07</x:v>
      </x:c>
      <x:c r="B13" s="21" t="str">
        <x:v>Dual-corridor custody</x:v>
      </x:c>
      <x:c r="C13" s="21" t="str">
        <x:v>Control boundary and receiver</x:v>
      </x:c>
      <x:c r="D13" s="21" t="str">
        <x:v>Prove primary and alternate routes</x:v>
      </x:c>
      <x:c r="E13" s="21" t="str">
        <x:v>Corridor ledger</x:v>
      </x:c>
      <x:c r="F13" s="21" t="str">
        <x:v>A berth is not a route</x:v>
      </x:c>
      <x:c r="G13" s="21" t="n">
        <x:v>1</x:v>
      </x:c>
      <x:c r="H13" s="21" t="str">
        <x:f>IF(G13=1,"CONSTITUTED / SOURCE EMPTY","OPEN")</x:f>
        <x:v>CONSTITUTED / SOURCE EMPTY</x:v>
      </x:c>
    </x:row>
    <x:row r="14">
      <x:c r="A14" s="21" t="str">
        <x:v>C08</x:v>
      </x:c>
      <x:c r="B14" s="21" t="str">
        <x:v>Security separation</x:v>
      </x:c>
      <x:c r="C14" s="21" t="str">
        <x:v>Authorize protective boundaries</x:v>
      </x:c>
      <x:c r="D14" s="21" t="str">
        <x:v>Request separate security support</x:v>
      </x:c>
      <x:c r="E14" s="21" t="str">
        <x:v>Security warrant</x:v>
      </x:c>
      <x:c r="F14" s="21" t="str">
        <x:v>Protection is not civil command</x:v>
      </x:c>
      <x:c r="G14" s="21" t="n">
        <x:v>1</x:v>
      </x:c>
      <x:c r="H14" s="21" t="str">
        <x:f>IF(G14=1,"CONSTITUTED / SOURCE EMPTY","OPEN")</x:f>
        <x:v>CONSTITUTED / SOURCE EMPTY</x:v>
      </x:c>
    </x:row>
    <x:row r="15">
      <x:c r="A15" s="21" t="str">
        <x:v>C09</x:v>
      </x:c>
      <x:c r="B15" s="21" t="str">
        <x:v>Bilateral non-recall</x:v>
      </x:c>
      <x:c r="C15" s="21" t="str">
        <x:v>Release accepted serials jointly</x:v>
      </x:c>
      <x:c r="D15" s="21" t="str">
        <x:v>Maintain service or equal replacement</x:v>
      </x:c>
      <x:c r="E15" s="21" t="str">
        <x:v>Dual-key custody record</x:v>
      </x:c>
      <x:c r="F15" s="21" t="str">
        <x:v>Domestic urgency is not unilateral recall</x:v>
      </x:c>
      <x:c r="G15" s="21" t="n">
        <x:v>1</x:v>
      </x:c>
      <x:c r="H15" s="21" t="str">
        <x:f>IF(G15=1,"CONSTITUTED / SOURCE EMPTY","OPEN")</x:f>
        <x:v>CONSTITUTED / SOURCE EMPTY</x:v>
      </x:c>
    </x:row>
    <x:row r="16">
      <x:c r="A16" s="21" t="str">
        <x:v>C10</x:v>
      </x:c>
      <x:c r="B16" s="21" t="str">
        <x:v>Complete service contract</x:v>
      </x:c>
      <x:c r="C16" s="21" t="str">
        <x:v>Accept effect and distribution</x:v>
      </x:c>
      <x:c r="D16" s="21" t="str">
        <x:v>Deliver bounded complete service</x:v>
      </x:c>
      <x:c r="E16" s="21" t="str">
        <x:v>Effect ledger</x:v>
      </x:c>
      <x:c r="F16" s="21" t="str">
        <x:v>Output volume is not public effect</x:v>
      </x:c>
      <x:c r="G16" s="21" t="n">
        <x:v>1</x:v>
      </x:c>
      <x:c r="H16" s="21" t="str">
        <x:f>IF(G16=1,"CONSTITUTED / SOURCE EMPTY","OPEN")</x:f>
        <x:v>CONSTITUTED / SOURCE EMPTY</x:v>
      </x:c>
    </x:row>
    <x:row r="17">
      <x:c r="A17" s="21" t="str">
        <x:v>C11</x:v>
      </x:c>
      <x:c r="B17" s="21" t="str">
        <x:v>Data sovereignty</x:v>
      </x:c>
      <x:c r="C17" s="21" t="str">
        <x:v>Hold civil and personal data</x:v>
      </x:c>
      <x:c r="D17" s="21" t="str">
        <x:v>Use minimum expiring service state</x:v>
      </x:c>
      <x:c r="E17" s="21" t="str">
        <x:v>Data-purpose warrant</x:v>
      </x:c>
      <x:c r="F17" s="21" t="str">
        <x:v>Emergency is not secondary-use consent</x:v>
      </x:c>
      <x:c r="G17" s="21" t="n">
        <x:v>1</x:v>
      </x:c>
      <x:c r="H17" s="21" t="str">
        <x:f>IF(G17=1,"CONSTITUTED / SOURCE EMPTY","OPEN")</x:f>
        <x:v>CONSTITUTED / SOURCE EMPTY</x:v>
      </x:c>
    </x:row>
    <x:row r="18">
      <x:c r="A18" s="21" t="str">
        <x:v>C12</x:v>
      </x:c>
      <x:c r="B18" s="21" t="str">
        <x:v>Independent evidence</x:v>
      </x:c>
      <x:c r="C18" s="21" t="str">
        <x:v>Name host evidence custodian</x:v>
      </x:c>
      <x:c r="D18" s="21" t="str">
        <x:v>Fund replay and adverse retention</x:v>
      </x:c>
      <x:c r="E18" s="21" t="str">
        <x:v>Joint evidence packet</x:v>
      </x:c>
      <x:c r="F18" s="21" t="str">
        <x:v>Delivery is not self-certification</x:v>
      </x:c>
      <x:c r="G18" s="21" t="n">
        <x:v>1</x:v>
      </x:c>
      <x:c r="H18" s="21" t="str">
        <x:f>IF(G18=1,"CONSTITUTED / SOURCE EMPTY","OPEN")</x:f>
        <x:v>CONSTITUTED / SOURCE EMPTY</x:v>
      </x:c>
    </x:row>
    <x:row r="19">
      <x:c r="A19" s="21" t="str">
        <x:v>C13</x:v>
      </x:c>
      <x:c r="B19" s="21" t="str">
        <x:v>Finance without leverage</x:v>
      </x:c>
      <x:c r="C19" s="21" t="str">
        <x:v>Receive service despite inability to pay</x:v>
      </x:c>
      <x:c r="D19" s="21" t="str">
        <x:v>Pre-fund readiness; disclose marginal cost</x:v>
      </x:c>
      <x:c r="E19" s="21" t="str">
        <x:v>Finance schedule</x:v>
      </x:c>
      <x:c r="F19" s="21" t="str">
        <x:v>Debt or tied purchase is not consent</x:v>
      </x:c>
      <x:c r="G19" s="21" t="n">
        <x:v>1</x:v>
      </x:c>
      <x:c r="H19" s="21" t="str">
        <x:f>IF(G19=1,"CONSTITUTED / SOURCE EMPTY","OPEN")</x:f>
        <x:v>CONSTITUTED / SOURCE EMPTY</x:v>
      </x:c>
    </x:row>
    <x:row r="20">
      <x:c r="A20" s="21" t="str">
        <x:v>C14</x:v>
      </x:c>
      <x:c r="B20" s="21" t="str">
        <x:v>Partner production</x:v>
      </x:c>
      <x:c r="C20" s="21" t="str">
        <x:v>Control local labor, title and methods</x:v>
      </x:c>
      <x:c r="D20" s="21" t="str">
        <x:v>License public seams; qualify output</x:v>
      </x:c>
      <x:c r="E20" s="21" t="str">
        <x:v>Production warrant</x:v>
      </x:c>
      <x:c r="F20" s="21" t="str">
        <x:v>Partner output is not U.S. readiness</x:v>
      </x:c>
      <x:c r="G20" s="21" t="n">
        <x:v>1</x:v>
      </x:c>
      <x:c r="H20" s="21" t="str">
        <x:f>IF(G20=1,"CONSTITUTED / SOURCE EMPTY","OPEN")</x:f>
        <x:v>CONSTITUTED / SOURCE EMPTY</x:v>
      </x:c>
    </x:row>
    <x:row r="21">
      <x:c r="A21" s="21" t="str">
        <x:v>C15</x:v>
      </x:c>
      <x:c r="B21" s="21" t="str">
        <x:v>Transfer acceptance</x:v>
      </x:c>
      <x:c r="C21" s="21" t="str">
        <x:v>Accept, refuse or stage custody</x:v>
      </x:c>
      <x:c r="D21" s="21" t="str">
        <x:v>Provide operation, repair and evidence rights</x:v>
      </x:c>
      <x:c r="E21" s="21" t="str">
        <x:v>Transfer docket</x:v>
      </x:c>
      <x:c r="F21" s="21" t="str">
        <x:v>Equipment delivery is not sovereignty</x:v>
      </x:c>
      <x:c r="G21" s="21" t="n">
        <x:v>1</x:v>
      </x:c>
      <x:c r="H21" s="21" t="str">
        <x:f>IF(G21=1,"CONSTITUTED / SOURCE EMPTY","OPEN")</x:f>
        <x:v>CONSTITUTED / SOURCE EMPTY</x:v>
      </x:c>
    </x:row>
    <x:row r="22">
      <x:c r="A22" s="21" t="str">
        <x:v>C16</x:v>
      </x:c>
      <x:c r="B22" s="21" t="str">
        <x:v>Residual and reverse flow</x:v>
      </x:c>
      <x:c r="C22" s="21" t="str">
        <x:v>Set environmental and title closure</x:v>
      </x:c>
      <x:c r="D22" s="21" t="str">
        <x:v>Recover or lawfully transfer residuals</x:v>
      </x:c>
      <x:c r="E22" s="21" t="str">
        <x:v>Residual account</x:v>
      </x:c>
      <x:c r="F22" s="21" t="str">
        <x:v>Departure is not end-of-life closure</x:v>
      </x:c>
      <x:c r="G22" s="21" t="n">
        <x:v>1</x:v>
      </x:c>
      <x:c r="H22" s="21" t="str">
        <x:f>IF(G22=1,"CONSTITUTED / SOURCE EMPTY","OPEN")</x:f>
        <x:v>CONSTITUTED / SOURCE EMPTY</x:v>
      </x:c>
    </x:row>
    <x:row r="23">
      <x:c r="A23" s="21" t="str">
        <x:v>C17</x:v>
      </x:c>
      <x:c r="B23" s="21" t="str">
        <x:v>Bilateral exit</x:v>
      </x:c>
      <x:c r="C23" s="21" t="str">
        <x:v>Accept closure or retain open gates</x:v>
      </x:c>
      <x:c r="D23" s="21" t="str">
        <x:v>Withdraw only after safe release</x:v>
      </x:c>
      <x:c r="E23" s="21" t="str">
        <x:v>Exit warrant</x:v>
      </x:c>
      <x:c r="F23" s="21" t="str">
        <x:v>Handover is not mission completion</x:v>
      </x:c>
      <x:c r="G23" s="21" t="n">
        <x:v>1</x:v>
      </x:c>
      <x:c r="H23" s="21" t="str">
        <x:f>IF(G23=1,"CONSTITUTED / SOURCE EMPTY","OPEN")</x:f>
        <x:v>CONSTITUTED / SOURCE EMPTY</x:v>
      </x:c>
    </x:row>
    <x:row r="24">
      <x:c r="A24" s="21" t="str">
        <x:v>C18</x:v>
      </x:c>
      <x:c r="B24" s="21" t="str">
        <x:v>Public accounting</x:v>
      </x:c>
      <x:c r="C24" s="21" t="str">
        <x:v>Publish distribution and remedy</x:v>
      </x:c>
      <x:c r="D24" s="21" t="str">
        <x:v>Publish cost, recall and adverse evidence</x:v>
      </x:c>
      <x:c r="E24" s="21" t="str">
        <x:v>Bilateral account</x:v>
      </x:c>
      <x:c r="F24" s="21" t="str">
        <x:v>Prestige is not strategic credit</x:v>
      </x:c>
      <x:c r="G24" s="21" t="n">
        <x:v>1</x:v>
      </x:c>
      <x:c r="H24" s="21" t="str">
        <x:f>IF(G24=1,"CONSTITUTED / SOURCE EMPTY","OPEN")</x:f>
        <x:v>CONSTITUTED / SOURCE EMPTY</x:v>
      </x:c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35" hidden="0" customWidth="1"/>
    <x:col min="4" max="4" width="34" hidden="0" customWidth="1"/>
    <x:col min="5" max="5" width="26" hidden="0" customWidth="1"/>
    <x:col min="6" max="6" width="32" hidden="0" customWidth="1"/>
    <x:col min="7" max="7" width="12" hidden="0" customWidth="1"/>
    <x:col min="8" max="8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Exclusive authority and stop map</x:v>
      </x:c>
      <x:c r="B2" s="1"/>
      <x:c r="C2" s="1"/>
      <x:c r="D2" s="1"/>
      <x:c r="E2" s="1"/>
      <x:c r="F2" s="1"/>
      <x:c r="G2" s="1"/>
      <x:c r="H2" s="1"/>
    </x:row>
    <x:row r="3">
      <x:c r="A3" s="3" t="str">
        <x:v>Coordination remains artifact succession, not command fusion.</x:v>
      </x:c>
      <x:c r="B3" s="3"/>
      <x:c r="C3" s="3"/>
      <x:c r="D3" s="3"/>
      <x:c r="E3" s="3"/>
      <x:c r="F3" s="3"/>
      <x:c r="G3" s="3"/>
      <x:c r="H3" s="3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9" t="str">
        <x:v>Decision</x:v>
      </x:c>
      <x:c r="B6" s="9" t="str">
        <x:v>Affirmative authority</x:v>
      </x:c>
      <x:c r="C6" s="9" t="str">
        <x:v>Required concurrence</x:v>
      </x:c>
      <x:c r="D6" s="9" t="str">
        <x:v>Separate stop authority</x:v>
      </x:c>
      <x:c r="E6" s="9" t="str">
        <x:v>Artifact</x:v>
      </x:c>
      <x:c r="F6" s="9" t="str">
        <x:v>Cannot also own</x:v>
      </x:c>
      <x:c r="G6" s="9" t="str">
        <x:v>Owner count</x:v>
      </x:c>
      <x:c r="H6" s="9" t="str">
        <x:v>Gate</x:v>
      </x:c>
    </x:row>
    <x:row r="7">
      <x:c r="A7" s="19" t="str">
        <x:v>Invite campaign</x:v>
      </x:c>
      <x:c r="B7" s="19" t="str">
        <x:v>Host civil principal</x:v>
      </x:c>
      <x:c r="C7" s="19" t="str">
        <x:v>None</x:v>
      </x:c>
      <x:c r="D7" s="19" t="str">
        <x:v>Host constitutional review</x:v>
      </x:c>
      <x:c r="E7" s="19" t="str">
        <x:v>Sovereign request</x:v>
      </x:c>
      <x:c r="F7" s="19" t="str">
        <x:v>U.S. acceptance</x:v>
      </x:c>
      <x:c r="G7" s="19" t="n">
        <x:v>1</x:v>
      </x:c>
      <x:c r="H7" s="19" t="str">
        <x:f>IF(G7=1,"PASS","FAIL")</x:f>
        <x:v>PASS</x:v>
      </x:c>
    </x:row>
    <x:row r="8">
      <x:c r="A8" s="21" t="str">
        <x:v>Accept U.S. obligation</x:v>
      </x:c>
      <x:c r="B8" s="21" t="str">
        <x:v>U.S. civil authority</x:v>
      </x:c>
      <x:c r="C8" s="21" t="str">
        <x:v>Authenticated host request</x:v>
      </x:c>
      <x:c r="D8" s="21" t="str">
        <x:v>U.S. constitutional review</x:v>
      </x:c>
      <x:c r="E8" s="21" t="str">
        <x:v>Acceptance warrant</x:v>
      </x:c>
      <x:c r="F8" s="21" t="str">
        <x:v>Host invitation</x:v>
      </x:c>
      <x:c r="G8" s="21" t="n">
        <x:v>1</x:v>
      </x:c>
      <x:c r="H8" s="21" t="str">
        <x:f>IF(G8=1,"PASS","FAIL")</x:f>
        <x:v>PASS</x:v>
      </x:c>
    </x:row>
    <x:row r="9">
      <x:c r="A9" s="21" t="str">
        <x:v>Certify family readiness</x:v>
      </x:c>
      <x:c r="B9" s="21" t="str">
        <x:v>Joint Capacity Authority</x:v>
      </x:c>
      <x:c r="C9" s="21" t="str">
        <x:v>Technical authorities</x:v>
      </x:c>
      <x:c r="D9" s="21" t="str">
        <x:v>Public Protection Inspectorate</x:v>
      </x:c>
      <x:c r="E9" s="21" t="str">
        <x:v>Readiness warrant</x:v>
      </x:c>
      <x:c r="F9" s="21" t="str">
        <x:v>Allocation</x:v>
      </x:c>
      <x:c r="G9" s="21" t="n">
        <x:v>1</x:v>
      </x:c>
      <x:c r="H9" s="21" t="str">
        <x:f>IF(G9=1,"PASS","FAIL")</x:f>
        <x:v>PASS</x:v>
      </x:c>
    </x:row>
    <x:row r="10">
      <x:c r="A10" s="21" t="str">
        <x:v>Allocate exact serials</x:v>
      </x:c>
      <x:c r="B10" s="21" t="str">
        <x:v>NMAC</x:v>
      </x:c>
      <x:c r="C10" s="21" t="str">
        <x:v>Complete family reservation</x:v>
      </x:c>
      <x:c r="D10" s="21" t="str">
        <x:v>International Custody Chamber</x:v>
      </x:c>
      <x:c r="E10" s="21" t="str">
        <x:v>Campaign claim</x:v>
      </x:c>
      <x:c r="F10" s="21" t="str">
        <x:v>Readiness proof</x:v>
      </x:c>
      <x:c r="G10" s="21" t="n">
        <x:v>1</x:v>
      </x:c>
      <x:c r="H10" s="21" t="str">
        <x:f>IF(G10=1,"PASS","FAIL")</x:f>
        <x:v>PASS</x:v>
      </x:c>
    </x:row>
    <x:row r="11">
      <x:c r="A11" s="21" t="str">
        <x:v>Bind non-recall custody</x:v>
      </x:c>
      <x:c r="B11" s="21" t="str">
        <x:v>International Custody Chamber</x:v>
      </x:c>
      <x:c r="C11" s="21" t="str">
        <x:v>Both sovereign acceptances</x:v>
      </x:c>
      <x:c r="D11" s="21" t="str">
        <x:v>Either sovereign for new issue</x:v>
      </x:c>
      <x:c r="E11" s="21" t="str">
        <x:v>Dual-key record</x:v>
      </x:c>
      <x:c r="F11" s="21" t="str">
        <x:v>Operational command</x:v>
      </x:c>
      <x:c r="G11" s="21" t="n">
        <x:v>1</x:v>
      </x:c>
      <x:c r="H11" s="21" t="str">
        <x:f>IF(G11=1,"PASS","FAIL")</x:f>
        <x:v>PASS</x:v>
      </x:c>
    </x:row>
    <x:row r="12">
      <x:c r="A12" s="21" t="str">
        <x:v>Admit receivers</x:v>
      </x:c>
      <x:c r="B12" s="21" t="str">
        <x:v>Host receiver authority</x:v>
      </x:c>
      <x:c r="C12" s="21" t="str">
        <x:v>Bilateral cell</x:v>
      </x:c>
      <x:c r="D12" s="21" t="str">
        <x:v>Host safety authority</x:v>
      </x:c>
      <x:c r="E12" s="21" t="str">
        <x:v>Receiver warrant</x:v>
      </x:c>
      <x:c r="F12" s="21" t="str">
        <x:v>U.S. scheduling</x:v>
      </x:c>
      <x:c r="G12" s="21" t="n">
        <x:v>1</x:v>
      </x:c>
      <x:c r="H12" s="21" t="str">
        <x:f>IF(G12=1,"PASS","FAIL")</x:f>
        <x:v>PASS</x:v>
      </x:c>
    </x:row>
    <x:row r="13">
      <x:c r="A13" s="21" t="str">
        <x:v>Compile corridors</x:v>
      </x:c>
      <x:c r="B13" s="21" t="str">
        <x:v>Bilateral access cell</x:v>
      </x:c>
      <x:c r="C13" s="21" t="str">
        <x:v>Host receiver and U.S. custody</x:v>
      </x:c>
      <x:c r="D13" s="21" t="str">
        <x:v>Either route authority</x:v>
      </x:c>
      <x:c r="E13" s="21" t="str">
        <x:v>Corridor ledger</x:v>
      </x:c>
      <x:c r="F13" s="21" t="str">
        <x:v>Security command</x:v>
      </x:c>
      <x:c r="G13" s="21" t="n">
        <x:v>1</x:v>
      </x:c>
      <x:c r="H13" s="21" t="str">
        <x:f>IF(G13=1,"PASS","FAIL")</x:f>
        <x:v>PASS</x:v>
      </x:c>
    </x:row>
    <x:row r="14">
      <x:c r="A14" s="21" t="str">
        <x:v>Protect access</x:v>
      </x:c>
      <x:c r="B14" s="21" t="str">
        <x:v>External security authority</x:v>
      </x:c>
      <x:c r="C14" s="21" t="str">
        <x:v>Host permission and civil boundary</x:v>
      </x:c>
      <x:c r="D14" s="21" t="str">
        <x:v>Civil mission command</x:v>
      </x:c>
      <x:c r="E14" s="21" t="str">
        <x:v>Security warrant</x:v>
      </x:c>
      <x:c r="F14" s="21" t="str">
        <x:v>Service priority</x:v>
      </x:c>
      <x:c r="G14" s="21" t="n">
        <x:v>1</x:v>
      </x:c>
      <x:c r="H14" s="21" t="str">
        <x:f>IF(G14=1,"PASS","FAIL")</x:f>
        <x:v>PASS</x:v>
      </x:c>
    </x:row>
    <x:row r="15">
      <x:c r="A15" s="21" t="str">
        <x:v>Employ formations</x:v>
      </x:c>
      <x:c r="B15" s="21" t="str">
        <x:v>Operational command</x:v>
      </x:c>
      <x:c r="C15" s="21" t="str">
        <x:v>Civil purpose and technical release</x:v>
      </x:c>
      <x:c r="D15" s="21" t="str">
        <x:v>Technical authority</x:v>
      </x:c>
      <x:c r="E15" s="21" t="str">
        <x:v>Mission order</x:v>
      </x:c>
      <x:c r="F15" s="21" t="str">
        <x:v>Effect acceptance</x:v>
      </x:c>
      <x:c r="G15" s="21" t="n">
        <x:v>1</x:v>
      </x:c>
      <x:c r="H15" s="21" t="str">
        <x:f>IF(G15=1,"PASS","FAIL")</x:f>
        <x:v>PASS</x:v>
      </x:c>
    </x:row>
    <x:row r="16">
      <x:c r="A16" s="21" t="str">
        <x:v>Release technical system</x:v>
      </x:c>
      <x:c r="B16" s="21" t="str">
        <x:v>Root technical authority</x:v>
      </x:c>
      <x:c r="C16" s="21" t="str">
        <x:v>Configuration and safety evidence</x:v>
      </x:c>
      <x:c r="D16" s="21" t="str">
        <x:v>Public Protection Inspectorate</x:v>
      </x:c>
      <x:c r="E16" s="21" t="str">
        <x:v>Technical release</x:v>
      </x:c>
      <x:c r="F16" s="21" t="str">
        <x:v>Civil purpose</x:v>
      </x:c>
      <x:c r="G16" s="21" t="n">
        <x:v>1</x:v>
      </x:c>
      <x:c r="H16" s="21" t="str">
        <x:f>IF(G16=1,"PASS","FAIL")</x:f>
        <x:v>PASS</x:v>
      </x:c>
    </x:row>
    <x:row r="17">
      <x:c r="A17" s="21" t="str">
        <x:v>Accept public effect</x:v>
      </x:c>
      <x:c r="B17" s="21" t="str">
        <x:v>Civilian Effect Trustee</x:v>
      </x:c>
      <x:c r="C17" s="21" t="str">
        <x:v>Host receiver evidence</x:v>
      </x:c>
      <x:c r="D17" s="21" t="str">
        <x:v>Rights and Scarcity Tribunal</x:v>
      </x:c>
      <x:c r="E17" s="21" t="str">
        <x:v>Effect acceptance</x:v>
      </x:c>
      <x:c r="F17" s="21" t="str">
        <x:v>Operational employment</x:v>
      </x:c>
      <x:c r="G17" s="21" t="n">
        <x:v>1</x:v>
      </x:c>
      <x:c r="H17" s="21" t="str">
        <x:f>IF(G17=1,"PASS","FAIL")</x:f>
        <x:v>PASS</x:v>
      </x:c>
    </x:row>
    <x:row r="18">
      <x:c r="A18" s="21" t="str">
        <x:v>Adjudicate rights</x:v>
      </x:c>
      <x:c r="B18" s="21" t="str">
        <x:v>Rights and Scarcity Tribunal</x:v>
      </x:c>
      <x:c r="C18" s="21" t="str">
        <x:v>Affected population access</x:v>
      </x:c>
      <x:c r="D18" s="21" t="str">
        <x:v>Public Protection Inspectorate</x:v>
      </x:c>
      <x:c r="E18" s="21" t="str">
        <x:v>Rights judgment</x:v>
      </x:c>
      <x:c r="F18" s="21" t="str">
        <x:v>Performance scoring</x:v>
      </x:c>
      <x:c r="G18" s="21" t="n">
        <x:v>1</x:v>
      </x:c>
      <x:c r="H18" s="21" t="str">
        <x:f>IF(G18=1,"PASS","FAIL")</x:f>
        <x:v>PASS</x:v>
      </x:c>
    </x:row>
    <x:row r="19">
      <x:c r="A19" s="21" t="str">
        <x:v>Replay evidence</x:v>
      </x:c>
      <x:c r="B19" s="21" t="str">
        <x:v>Resilience Proving Service</x:v>
      </x:c>
      <x:c r="C19" s="21" t="str">
        <x:v>Dual-origin custody</x:v>
      </x:c>
      <x:c r="D19" s="21" t="str">
        <x:v>Evidence court</x:v>
      </x:c>
      <x:c r="E19" s="21" t="str">
        <x:v>Reconstruction docket</x:v>
      </x:c>
      <x:c r="F19" s="21" t="str">
        <x:v>Program renewal</x:v>
      </x:c>
      <x:c r="G19" s="21" t="n">
        <x:v>1</x:v>
      </x:c>
      <x:c r="H19" s="21" t="str">
        <x:f>IF(G19=1,"PASS","FAIL")</x:f>
        <x:v>PASS</x:v>
      </x:c>
    </x:row>
    <x:row r="20">
      <x:c r="A20" s="21" t="str">
        <x:v>Accept transfer and exit</x:v>
      </x:c>
      <x:c r="B20" s="21" t="str">
        <x:v>Host transfer authority</x:v>
      </x:c>
      <x:c r="C20" s="21" t="str">
        <x:v>Effect, rights and residual closure</x:v>
      </x:c>
      <x:c r="D20" s="21" t="str">
        <x:v>Either sovereign release authority</x:v>
      </x:c>
      <x:c r="E20" s="21" t="str">
        <x:v>Exit warrant</x:v>
      </x:c>
      <x:c r="F20" s="21" t="str">
        <x:v>Unilateral recall</x:v>
      </x:c>
      <x:c r="G20" s="21" t="n">
        <x:v>1</x:v>
      </x:c>
      <x:c r="H20" s="21" t="str">
        <x:f>IF(G20=1,"PASS","FAIL")</x:f>
        <x:v>PASS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conditionalFormatting sqref="H7:H20">
    <x:cfRule type="containsText" dxfId="2" priority="1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5" hidden="0" customWidth="1"/>
    <x:col min="5" max="5" width="40" hidden="0" customWidth="1"/>
    <x:col min="6" max="6" width="43" hidden="0" customWidth="1"/>
    <x:col min="7" max="7" width="32" hidden="0" customWidth="1"/>
    <x:col min="8" max="8" width="13" hidden="0" customWidth="1"/>
    <x:col min="9" max="9" width="20" hidden="0" customWidth="1"/>
    <x:col min="10" max="10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Two-campaign public-service contract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Nine effects remain nonfungible; every campaign contract must state its denominator before acceptance.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9" t="str">
        <x:v>Record</x:v>
      </x:c>
      <x:c r="B6" s="9" t="str">
        <x:v>Campaign</x:v>
      </x:c>
      <x:c r="C6" s="9" t="str">
        <x:v>Commitments</x:v>
      </x:c>
      <x:c r="D6" s="9" t="str">
        <x:v>Effect</x:v>
      </x:c>
      <x:c r="E6" s="9" t="str">
        <x:v>Governing denominator</x:v>
      </x:c>
      <x:c r="F6" s="9" t="str">
        <x:v>Required contract input</x:v>
      </x:c>
      <x:c r="G6" s="9" t="str">
        <x:v>Prohibited proxy</x:v>
      </x:c>
      <x:c r="H6" s="9" t="str">
        <x:v>Evidence planes</x:v>
      </x:c>
      <x:c r="I6" s="9" t="str">
        <x:v>Observation state</x:v>
      </x:c>
      <x:c r="J6" s="9" t="str">
        <x:v>Credit</x:v>
      </x:c>
    </x:row>
    <x:row r="7">
      <x:c r="A7" s="19" t="str">
        <x:v>IP-E01</x:v>
      </x:c>
      <x:c r="B7" s="19" t="str">
        <x:v>Indo-Pacific</x:v>
      </x:c>
      <x:c r="C7" s="19" t="n">
        <x:v>334</x:v>
      </x:c>
      <x:c r="D7" s="19" t="str">
        <x:v>Catastrophe denial</x:v>
      </x:c>
      <x:c r="E7" s="19" t="str">
        <x:v>Population-service hours above irreversible-loss floors</x:v>
      </x:c>
      <x:c r="F7" s="19" t="str">
        <x:v>Baseline, floor, deadline, duration, geography and population</x:v>
      </x:c>
      <x:c r="G7" s="19" t="str">
        <x:v>Aggregate avoided loss</x:v>
      </x:c>
      <x:c r="H7" s="19" t="n">
        <x:v>5</x:v>
      </x:c>
      <x:c r="I7" s="19" t="str">
        <x:v>SOURCE EMPTY</x:v>
      </x:c>
      <x:c r="J7" s="19" t="str">
        <x:f>IF(I7="OBSERVED / ACCEPTED","ELIGIBLE","HOLD")</x:f>
        <x:v>HOLD</x:v>
      </x:c>
    </x:row>
    <x:row r="8">
      <x:c r="A8" s="21" t="str">
        <x:v>IP-E02</x:v>
      </x:c>
      <x:c r="B8" s="21" t="str">
        <x:v>Indo-Pacific</x:v>
      </x:c>
      <x:c r="C8" s="21" t="n">
        <x:v>334</x:v>
      </x:c>
      <x:c r="D8" s="21" t="str">
        <x:v>Economic continuity</x:v>
      </x:c>
      <x:c r="E8" s="21" t="str">
        <x:v>Essential-service deficit days closed</x:v>
      </x:c>
      <x:c r="F8" s="21" t="str">
        <x:v>Services, baseline, distribution and persistence</x:v>
      </x:c>
      <x:c r="G8" s="21" t="str">
        <x:v>GDP or insured loss alone</x:v>
      </x:c>
      <x:c r="H8" s="21" t="n">
        <x:v>5</x:v>
      </x:c>
      <x:c r="I8" s="21" t="str">
        <x:v>SOURCE EMPTY</x:v>
      </x:c>
      <x:c r="J8" s="21" t="str">
        <x:f>IF(I8="OBSERVED / ACCEPTED","ELIGIBLE","HOLD")</x:f>
        <x:v>HOLD</x:v>
      </x:c>
    </x:row>
    <x:row r="9">
      <x:c r="A9" s="21" t="str">
        <x:v>IP-E03</x:v>
      </x:c>
      <x:c r="B9" s="21" t="str">
        <x:v>Indo-Pacific</x:v>
      </x:c>
      <x:c r="C9" s="21" t="n">
        <x:v>334</x:v>
      </x:c>
      <x:c r="D9" s="21" t="str">
        <x:v>Alliance reliability</x:v>
      </x:c>
      <x:c r="E9" s="21" t="str">
        <x:v>Complete accepted contracts without unilateral recall</x:v>
      </x:c>
      <x:c r="F9" s="21" t="str">
        <x:v>Scope, clock, deviations and release</x:v>
      </x:c>
      <x:c r="G9" s="21" t="str">
        <x:v>Deployments or statements</x:v>
      </x:c>
      <x:c r="H9" s="21" t="n">
        <x:v>5</x:v>
      </x:c>
      <x:c r="I9" s="21" t="str">
        <x:v>SOURCE EMPTY</x:v>
      </x:c>
      <x:c r="J9" s="21" t="str">
        <x:f>IF(I9="OBSERVED / ACCEPTED","ELIGIBLE","HOLD")</x:f>
        <x:v>HOLD</x:v>
      </x:c>
    </x:row>
    <x:row r="10">
      <x:c r="A10" s="21" t="str">
        <x:v>IP-E04</x:v>
      </x:c>
      <x:c r="B10" s="21" t="str">
        <x:v>Indo-Pacific</x:v>
      </x:c>
      <x:c r="C10" s="21" t="n">
        <x:v>334</x:v>
      </x:c>
      <x:c r="D10" s="21" t="str">
        <x:v>Partner sovereignty</x:v>
      </x:c>
      <x:c r="E10" s="21" t="str">
        <x:v>Capability independently operated, repaired and reproduced</x:v>
      </x:c>
      <x:c r="F10" s="21" t="str">
        <x:v>Transfer, labor, repair, evidence and reproduction</x:v>
      </x:c>
      <x:c r="G10" s="21" t="str">
        <x:v>Equipment transfer or training</x:v>
      </x:c>
      <x:c r="H10" s="21" t="n">
        <x:v>5</x:v>
      </x:c>
      <x:c r="I10" s="21" t="str">
        <x:v>SOURCE EMPTY</x:v>
      </x:c>
      <x:c r="J10" s="21" t="str">
        <x:f>IF(I10="OBSERVED / ACCEPTED","ELIGIBLE","HOLD")</x:f>
        <x:v>HOLD</x:v>
      </x:c>
    </x:row>
    <x:row r="11">
      <x:c r="A11" s="21" t="str">
        <x:v>IP-E05</x:v>
      </x:c>
      <x:c r="B11" s="21" t="str">
        <x:v>Indo-Pacific</x:v>
      </x:c>
      <x:c r="C11" s="21" t="n">
        <x:v>334</x:v>
      </x:c>
      <x:c r="D11" s="21" t="str">
        <x:v>Industrial mobilization</x:v>
      </x:c>
      <x:c r="E11" s="21" t="str">
        <x:v>Complete configurations reproduced under denial and clock</x:v>
      </x:c>
      <x:c r="F11" s="21" t="str">
        <x:v>Root, source, clock, denial and acceptance</x:v>
      </x:c>
      <x:c r="G11" s="21" t="str">
        <x:v>Jobs, factories or spending</x:v>
      </x:c>
      <x:c r="H11" s="21" t="n">
        <x:v>5</x:v>
      </x:c>
      <x:c r="I11" s="21" t="str">
        <x:v>SOURCE EMPTY</x:v>
      </x:c>
      <x:c r="J11" s="21" t="str">
        <x:f>IF(I11="OBSERVED / ACCEPTED","ELIGIBLE","HOLD")</x:f>
        <x:v>HOLD</x:v>
      </x:c>
    </x:row>
    <x:row r="12">
      <x:c r="A12" s="21" t="str">
        <x:v>IP-E06</x:v>
      </x:c>
      <x:c r="B12" s="21" t="str">
        <x:v>Indo-Pacific</x:v>
      </x:c>
      <x:c r="C12" s="21" t="n">
        <x:v>334</x:v>
      </x:c>
      <x:c r="D12" s="21" t="str">
        <x:v>Technology competition</x:v>
      </x:c>
      <x:c r="E12" s="21" t="str">
        <x:v>Independent roots qualified, resized or killed</x:v>
      </x:c>
      <x:c r="F12" s="21" t="str">
        <x:v>Rival roots, evidence gates and disposition</x:v>
      </x:c>
      <x:c r="G12" s="21" t="str">
        <x:v>Patents or prototypes</x:v>
      </x:c>
      <x:c r="H12" s="21" t="n">
        <x:v>5</x:v>
      </x:c>
      <x:c r="I12" s="21" t="str">
        <x:v>SOURCE EMPTY</x:v>
      </x:c>
      <x:c r="J12" s="21" t="str">
        <x:f>IF(I12="OBSERVED / ACCEPTED","ELIGIBLE","HOLD")</x:f>
        <x:v>HOLD</x:v>
      </x:c>
    </x:row>
    <x:row r="13">
      <x:c r="A13" s="21" t="str">
        <x:v>IP-E07</x:v>
      </x:c>
      <x:c r="B13" s="21" t="str">
        <x:v>Indo-Pacific</x:v>
      </x:c>
      <x:c r="C13" s="21" t="n">
        <x:v>334</x:v>
      </x:c>
      <x:c r="D13" s="21" t="str">
        <x:v>Standards power</x:v>
      </x:c>
      <x:c r="E13" s="21" t="str">
        <x:v>Independent implementations without central runtime</x:v>
      </x:c>
      <x:c r="F13" s="21" t="str">
        <x:v>Interface, test, custody and implementation count</x:v>
      </x:c>
      <x:c r="G13" s="21" t="str">
        <x:v>Citations or market share</x:v>
      </x:c>
      <x:c r="H13" s="21" t="n">
        <x:v>5</x:v>
      </x:c>
      <x:c r="I13" s="21" t="str">
        <x:v>SOURCE EMPTY</x:v>
      </x:c>
      <x:c r="J13" s="21" t="str">
        <x:f>IF(I13="OBSERVED / ACCEPTED","ELIGIBLE","HOLD")</x:f>
        <x:v>HOLD</x:v>
      </x:c>
    </x:row>
    <x:row r="14">
      <x:c r="A14" s="21" t="str">
        <x:v>IP-E08</x:v>
      </x:c>
      <x:c r="B14" s="21" t="str">
        <x:v>Indo-Pacific</x:v>
      </x:c>
      <x:c r="C14" s="21" t="n">
        <x:v>334</x:v>
      </x:c>
      <x:c r="D14" s="21" t="str">
        <x:v>Democratic legitimacy</x:v>
      </x:c>
      <x:c r="E14" s="21" t="str">
        <x:v>Rights-complete service-floor parity and remedy</x:v>
      </x:c>
      <x:c r="F14" s="21" t="str">
        <x:v>Subgroups, floor, remedy clock and externalities</x:v>
      </x:c>
      <x:c r="G14" s="21" t="str">
        <x:v>Approval or visibility</x:v>
      </x:c>
      <x:c r="H14" s="21" t="n">
        <x:v>5</x:v>
      </x:c>
      <x:c r="I14" s="21" t="str">
        <x:v>SOURCE EMPTY</x:v>
      </x:c>
      <x:c r="J14" s="21" t="str">
        <x:f>IF(I14="OBSERVED / ACCEPTED","ELIGIBLE","HOLD")</x:f>
        <x:v>HOLD</x:v>
      </x:c>
    </x:row>
    <x:row r="15">
      <x:c r="A15" s="21" t="str">
        <x:v>IP-E09</x:v>
      </x:c>
      <x:c r="B15" s="21" t="str">
        <x:v>Indo-Pacific</x:v>
      </x:c>
      <x:c r="C15" s="21" t="n">
        <x:v>334</x:v>
      </x:c>
      <x:c r="D15" s="21" t="str">
        <x:v>Strategic restraint</x:v>
      </x:c>
      <x:c r="E15" s="21" t="str">
        <x:v>Zero prohibited-use violations and scope closure</x:v>
      </x:c>
      <x:c r="F15" s="21" t="str">
        <x:v>Use boundary, monitoring, breach and remedy</x:v>
      </x:c>
      <x:c r="G15" s="21" t="str">
        <x:v>Favorable diplomacy</x:v>
      </x:c>
      <x:c r="H15" s="21" t="n">
        <x:v>5</x:v>
      </x:c>
      <x:c r="I15" s="21" t="str">
        <x:v>SOURCE EMPTY</x:v>
      </x:c>
      <x:c r="J15" s="21" t="str">
        <x:f>IF(I15="OBSERVED / ACCEPTED","ELIGIBLE","HOLD")</x:f>
        <x:v>HOLD</x:v>
      </x:c>
    </x:row>
    <x:row r="16">
      <x:c r="A16" s="21" t="str">
        <x:v>AA-E01</x:v>
      </x:c>
      <x:c r="B16" s="21" t="str">
        <x:v>Atlantic/Americas</x:v>
      </x:c>
      <x:c r="C16" s="21" t="n">
        <x:v>341</x:v>
      </x:c>
      <x:c r="D16" s="21" t="str">
        <x:v>Catastrophe denial</x:v>
      </x:c>
      <x:c r="E16" s="21" t="str">
        <x:v>Population-service hours above irreversible-loss floors</x:v>
      </x:c>
      <x:c r="F16" s="21" t="str">
        <x:v>Baseline, floor, deadline, duration, geography and population</x:v>
      </x:c>
      <x:c r="G16" s="21" t="str">
        <x:v>Aggregate avoided loss</x:v>
      </x:c>
      <x:c r="H16" s="21" t="n">
        <x:v>5</x:v>
      </x:c>
      <x:c r="I16" s="21" t="str">
        <x:v>SOURCE EMPTY</x:v>
      </x:c>
      <x:c r="J16" s="21" t="str">
        <x:f>IF(I16="OBSERVED / ACCEPTED","ELIGIBLE","HOLD")</x:f>
        <x:v>HOLD</x:v>
      </x:c>
    </x:row>
    <x:row r="17">
      <x:c r="A17" s="21" t="str">
        <x:v>AA-E02</x:v>
      </x:c>
      <x:c r="B17" s="21" t="str">
        <x:v>Atlantic/Americas</x:v>
      </x:c>
      <x:c r="C17" s="21" t="n">
        <x:v>341</x:v>
      </x:c>
      <x:c r="D17" s="21" t="str">
        <x:v>Economic continuity</x:v>
      </x:c>
      <x:c r="E17" s="21" t="str">
        <x:v>Essential-service deficit days closed</x:v>
      </x:c>
      <x:c r="F17" s="21" t="str">
        <x:v>Services, baseline, distribution and persistence</x:v>
      </x:c>
      <x:c r="G17" s="21" t="str">
        <x:v>GDP or insured loss alone</x:v>
      </x:c>
      <x:c r="H17" s="21" t="n">
        <x:v>5</x:v>
      </x:c>
      <x:c r="I17" s="21" t="str">
        <x:v>SOURCE EMPTY</x:v>
      </x:c>
      <x:c r="J17" s="21" t="str">
        <x:f>IF(I17="OBSERVED / ACCEPTED","ELIGIBLE","HOLD")</x:f>
        <x:v>HOLD</x:v>
      </x:c>
    </x:row>
    <x:row r="18">
      <x:c r="A18" s="21" t="str">
        <x:v>AA-E03</x:v>
      </x:c>
      <x:c r="B18" s="21" t="str">
        <x:v>Atlantic/Americas</x:v>
      </x:c>
      <x:c r="C18" s="21" t="n">
        <x:v>341</x:v>
      </x:c>
      <x:c r="D18" s="21" t="str">
        <x:v>Alliance reliability</x:v>
      </x:c>
      <x:c r="E18" s="21" t="str">
        <x:v>Complete accepted contracts without unilateral recall</x:v>
      </x:c>
      <x:c r="F18" s="21" t="str">
        <x:v>Scope, clock, deviations and release</x:v>
      </x:c>
      <x:c r="G18" s="21" t="str">
        <x:v>Deployments or statements</x:v>
      </x:c>
      <x:c r="H18" s="21" t="n">
        <x:v>5</x:v>
      </x:c>
      <x:c r="I18" s="21" t="str">
        <x:v>SOURCE EMPTY</x:v>
      </x:c>
      <x:c r="J18" s="21" t="str">
        <x:f>IF(I18="OBSERVED / ACCEPTED","ELIGIBLE","HOLD")</x:f>
        <x:v>HOLD</x:v>
      </x:c>
    </x:row>
    <x:row r="19">
      <x:c r="A19" s="21" t="str">
        <x:v>AA-E04</x:v>
      </x:c>
      <x:c r="B19" s="21" t="str">
        <x:v>Atlantic/Americas</x:v>
      </x:c>
      <x:c r="C19" s="21" t="n">
        <x:v>341</x:v>
      </x:c>
      <x:c r="D19" s="21" t="str">
        <x:v>Partner sovereignty</x:v>
      </x:c>
      <x:c r="E19" s="21" t="str">
        <x:v>Capability independently operated, repaired and reproduced</x:v>
      </x:c>
      <x:c r="F19" s="21" t="str">
        <x:v>Transfer, labor, repair, evidence and reproduction</x:v>
      </x:c>
      <x:c r="G19" s="21" t="str">
        <x:v>Equipment transfer or training</x:v>
      </x:c>
      <x:c r="H19" s="21" t="n">
        <x:v>5</x:v>
      </x:c>
      <x:c r="I19" s="21" t="str">
        <x:v>SOURCE EMPTY</x:v>
      </x:c>
      <x:c r="J19" s="21" t="str">
        <x:f>IF(I19="OBSERVED / ACCEPTED","ELIGIBLE","HOLD")</x:f>
        <x:v>HOLD</x:v>
      </x:c>
    </x:row>
    <x:row r="20">
      <x:c r="A20" s="21" t="str">
        <x:v>AA-E05</x:v>
      </x:c>
      <x:c r="B20" s="21" t="str">
        <x:v>Atlantic/Americas</x:v>
      </x:c>
      <x:c r="C20" s="21" t="n">
        <x:v>341</x:v>
      </x:c>
      <x:c r="D20" s="21" t="str">
        <x:v>Industrial mobilization</x:v>
      </x:c>
      <x:c r="E20" s="21" t="str">
        <x:v>Complete configurations reproduced under denial and clock</x:v>
      </x:c>
      <x:c r="F20" s="21" t="str">
        <x:v>Root, source, clock, denial and acceptance</x:v>
      </x:c>
      <x:c r="G20" s="21" t="str">
        <x:v>Jobs, factories or spending</x:v>
      </x:c>
      <x:c r="H20" s="21" t="n">
        <x:v>5</x:v>
      </x:c>
      <x:c r="I20" s="21" t="str">
        <x:v>SOURCE EMPTY</x:v>
      </x:c>
      <x:c r="J20" s="21" t="str">
        <x:f>IF(I20="OBSERVED / ACCEPTED","ELIGIBLE","HOLD")</x:f>
        <x:v>HOLD</x:v>
      </x:c>
    </x:row>
    <x:row r="21">
      <x:c r="A21" s="21" t="str">
        <x:v>AA-E06</x:v>
      </x:c>
      <x:c r="B21" s="21" t="str">
        <x:v>Atlantic/Americas</x:v>
      </x:c>
      <x:c r="C21" s="21" t="n">
        <x:v>341</x:v>
      </x:c>
      <x:c r="D21" s="21" t="str">
        <x:v>Technology competition</x:v>
      </x:c>
      <x:c r="E21" s="21" t="str">
        <x:v>Independent roots qualified, resized or killed</x:v>
      </x:c>
      <x:c r="F21" s="21" t="str">
        <x:v>Rival roots, evidence gates and disposition</x:v>
      </x:c>
      <x:c r="G21" s="21" t="str">
        <x:v>Patents or prototypes</x:v>
      </x:c>
      <x:c r="H21" s="21" t="n">
        <x:v>5</x:v>
      </x:c>
      <x:c r="I21" s="21" t="str">
        <x:v>SOURCE EMPTY</x:v>
      </x:c>
      <x:c r="J21" s="21" t="str">
        <x:f>IF(I21="OBSERVED / ACCEPTED","ELIGIBLE","HOLD")</x:f>
        <x:v>HOLD</x:v>
      </x:c>
    </x:row>
    <x:row r="22">
      <x:c r="A22" s="21" t="str">
        <x:v>AA-E07</x:v>
      </x:c>
      <x:c r="B22" s="21" t="str">
        <x:v>Atlantic/Americas</x:v>
      </x:c>
      <x:c r="C22" s="21" t="n">
        <x:v>341</x:v>
      </x:c>
      <x:c r="D22" s="21" t="str">
        <x:v>Standards power</x:v>
      </x:c>
      <x:c r="E22" s="21" t="str">
        <x:v>Independent implementations without central runtime</x:v>
      </x:c>
      <x:c r="F22" s="21" t="str">
        <x:v>Interface, test, custody and implementation count</x:v>
      </x:c>
      <x:c r="G22" s="21" t="str">
        <x:v>Citations or market share</x:v>
      </x:c>
      <x:c r="H22" s="21" t="n">
        <x:v>5</x:v>
      </x:c>
      <x:c r="I22" s="21" t="str">
        <x:v>SOURCE EMPTY</x:v>
      </x:c>
      <x:c r="J22" s="21" t="str">
        <x:f>IF(I22="OBSERVED / ACCEPTED","ELIGIBLE","HOLD")</x:f>
        <x:v>HOLD</x:v>
      </x:c>
    </x:row>
    <x:row r="23">
      <x:c r="A23" s="21" t="str">
        <x:v>AA-E08</x:v>
      </x:c>
      <x:c r="B23" s="21" t="str">
        <x:v>Atlantic/Americas</x:v>
      </x:c>
      <x:c r="C23" s="21" t="n">
        <x:v>341</x:v>
      </x:c>
      <x:c r="D23" s="21" t="str">
        <x:v>Democratic legitimacy</x:v>
      </x:c>
      <x:c r="E23" s="21" t="str">
        <x:v>Rights-complete service-floor parity and remedy</x:v>
      </x:c>
      <x:c r="F23" s="21" t="str">
        <x:v>Subgroups, floor, remedy clock and externalities</x:v>
      </x:c>
      <x:c r="G23" s="21" t="str">
        <x:v>Approval or visibility</x:v>
      </x:c>
      <x:c r="H23" s="21" t="n">
        <x:v>5</x:v>
      </x:c>
      <x:c r="I23" s="21" t="str">
        <x:v>SOURCE EMPTY</x:v>
      </x:c>
      <x:c r="J23" s="21" t="str">
        <x:f>IF(I23="OBSERVED / ACCEPTED","ELIGIBLE","HOLD")</x:f>
        <x:v>HOLD</x:v>
      </x:c>
    </x:row>
    <x:row r="24">
      <x:c r="A24" s="21" t="str">
        <x:v>AA-E09</x:v>
      </x:c>
      <x:c r="B24" s="21" t="str">
        <x:v>Atlantic/Americas</x:v>
      </x:c>
      <x:c r="C24" s="21" t="n">
        <x:v>341</x:v>
      </x:c>
      <x:c r="D24" s="21" t="str">
        <x:v>Strategic restraint</x:v>
      </x:c>
      <x:c r="E24" s="21" t="str">
        <x:v>Zero prohibited-use violations and scope closure</x:v>
      </x:c>
      <x:c r="F24" s="21" t="str">
        <x:v>Use boundary, monitoring, breach and remedy</x:v>
      </x:c>
      <x:c r="G24" s="21" t="str">
        <x:v>Favorable diplomacy</x:v>
      </x:c>
      <x:c r="H24" s="21" t="n">
        <x:v>5</x:v>
      </x:c>
      <x:c r="I24" s="21" t="str">
        <x:v>SOURCE EMPTY</x:v>
      </x:c>
      <x:c r="J24" s="21" t="str">
        <x:f>IF(I24="OBSERVED / ACCEPTED","ELIGIBLE","HOLD")</x:f>
        <x:v>HOLD</x:v>
      </x:c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2" hidden="0" customWidth="1"/>
    <x:col min="4" max="4" width="17" hidden="0" customWidth="1"/>
    <x:col min="5" max="5" width="14" hidden="0" customWidth="1"/>
    <x:col min="6" max="6" width="36" hidden="0" customWidth="1"/>
    <x:col min="7" max="7" width="36" hidden="0" customWidth="1"/>
    <x:col min="8" max="8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Non-recall state logic</x:v>
      </x:c>
      <x:c r="B2" s="1"/>
      <x:c r="C2" s="1"/>
      <x:c r="D2" s="1"/>
      <x:c r="E2" s="1"/>
      <x:c r="F2" s="1"/>
      <x:c r="G2" s="1"/>
      <x:c r="H2" s="1"/>
    </x:row>
    <x:row r="3">
      <x:c r="A3" s="3" t="str">
        <x:v>Accepted serials remain bound until bilateral release; requalification precedes return to allocatable stock.</x:v>
      </x:c>
      <x:c r="B3" s="3"/>
      <x:c r="C3" s="3"/>
      <x:c r="D3" s="3"/>
      <x:c r="E3" s="3"/>
      <x:c r="F3" s="3"/>
      <x:c r="G3" s="3"/>
      <x:c r="H3" s="3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9" t="str">
        <x:v>State</x:v>
      </x:c>
      <x:c r="B6" s="9" t="str">
        <x:v>Condition</x:v>
      </x:c>
      <x:c r="C6" s="9" t="str">
        <x:v>Accepted</x:v>
      </x:c>
      <x:c r="D6" s="9" t="str">
        <x:v>Bilateral release</x:v>
      </x:c>
      <x:c r="E6" s="9" t="str">
        <x:v>Requalified</x:v>
      </x:c>
      <x:c r="F6" s="9" t="str">
        <x:v>Calculated recall rule</x:v>
      </x:c>
      <x:c r="G6" s="9" t="str">
        <x:v>Expected rule</x:v>
      </x:c>
      <x:c r="H6" s="9" t="str">
        <x:v>Check</x:v>
      </x:c>
    </x:row>
    <x:row r="7">
      <x:c r="A7" s="19" t="str">
        <x:v>NR01</x:v>
      </x:c>
      <x:c r="B7" s="19" t="str">
        <x:v>Standing compact only</x:v>
      </x:c>
      <x:c r="C7" s="19" t="n">
        <x:v>0</x:v>
      </x:c>
      <x:c r="D7" s="19" t="n">
        <x:v>0</x:v>
      </x:c>
      <x:c r="E7" s="19" t="n">
        <x:v>0</x:v>
      </x:c>
      <x:c r="F7" s="19" t="str">
        <x:f>IF(C7=0,"PRE-COMMITMENT / ALLOCATABLE",IF(D7=0,"NO — SERVICE OBLIGATION PERSISTS",IF(E7=0,"RELEASED / REGENERATION REQUIRED","YES — AFTER REQUALIFICATION")))</x:f>
        <x:v>PRE-COMMITMENT / ALLOCATABLE</x:v>
      </x:c>
      <x:c r="G7" s="19" t="str">
        <x:v>PRE-COMMITMENT / ALLOCATABLE</x:v>
      </x:c>
      <x:c r="H7" s="19" t="str">
        <x:f>IF(F7=G7,"PASS","FAIL")</x:f>
        <x:v>PASS</x:v>
      </x:c>
    </x:row>
    <x:row r="8">
      <x:c r="A8" s="21" t="str">
        <x:v>NR02</x:v>
      </x:c>
      <x:c r="B8" s="21" t="str">
        <x:v>Authenticated request; U.S. decision pending</x:v>
      </x:c>
      <x:c r="C8" s="21" t="n">
        <x:v>0</x:v>
      </x:c>
      <x:c r="D8" s="21" t="n">
        <x:v>0</x:v>
      </x:c>
      <x:c r="E8" s="21" t="n">
        <x:v>0</x:v>
      </x:c>
      <x:c r="F8" s="21" t="str">
        <x:f>IF(C8=0,"PRE-COMMITMENT / ALLOCATABLE",IF(D8=0,"NO — SERVICE OBLIGATION PERSISTS",IF(E8=0,"RELEASED / REGENERATION REQUIRED","YES — AFTER REQUALIFICATION")))</x:f>
        <x:v>PRE-COMMITMENT / ALLOCATABLE</x:v>
      </x:c>
      <x:c r="G8" s="21" t="str">
        <x:v>PRE-COMMITMENT / ALLOCATABLE</x:v>
      </x:c>
      <x:c r="H8" s="21" t="str">
        <x:f>IF(F8=G8,"PASS","FAIL")</x:f>
        <x:v>PASS</x:v>
      </x:c>
    </x:row>
    <x:row r="9">
      <x:c r="A9" s="21" t="str">
        <x:v>NR03</x:v>
      </x:c>
      <x:c r="B9" s="21" t="str">
        <x:v>U.S. acceptance and family reservation</x:v>
      </x:c>
      <x:c r="C9" s="21" t="n">
        <x:v>1</x:v>
      </x:c>
      <x:c r="D9" s="21" t="n">
        <x:v>0</x:v>
      </x:c>
      <x:c r="E9" s="21" t="n">
        <x:v>0</x:v>
      </x:c>
      <x:c r="F9" s="21" t="str">
        <x:f>IF(C9=0,"PRE-COMMITMENT / ALLOCATABLE",IF(D9=0,"NO — SERVICE OBLIGATION PERSISTS",IF(E9=0,"RELEASED / REGENERATION REQUIRED","YES — AFTER REQUALIFICATION")))</x:f>
        <x:v>NO — SERVICE OBLIGATION PERSISTS</x:v>
      </x:c>
      <x:c r="G9" s="21" t="str">
        <x:v>NO — SERVICE OBLIGATION PERSISTS</x:v>
      </x:c>
      <x:c r="H9" s="21" t="str">
        <x:f>IF(F9=G9,"PASS","FAIL")</x:f>
        <x:v>PASS</x:v>
      </x:c>
    </x:row>
    <x:row r="10">
      <x:c r="A10" s="21" t="str">
        <x:v>NR04</x:v>
      </x:c>
      <x:c r="B10" s="21" t="str">
        <x:v>Serials issued into dual-key custody</x:v>
      </x:c>
      <x:c r="C10" s="21" t="n">
        <x:v>1</x:v>
      </x:c>
      <x:c r="D10" s="21" t="n">
        <x:v>0</x:v>
      </x:c>
      <x:c r="E10" s="21" t="n">
        <x:v>0</x:v>
      </x:c>
      <x:c r="F10" s="21" t="str">
        <x:f>IF(C10=0,"PRE-COMMITMENT / ALLOCATABLE",IF(D10=0,"NO — SERVICE OBLIGATION PERSISTS",IF(E10=0,"RELEASED / REGENERATION REQUIRED","YES — AFTER REQUALIFICATION")))</x:f>
        <x:v>NO — SERVICE OBLIGATION PERSISTS</x:v>
      </x:c>
      <x:c r="G10" s="21" t="str">
        <x:v>NO — SERVICE OBLIGATION PERSISTS</x:v>
      </x:c>
      <x:c r="H10" s="21" t="str">
        <x:f>IF(F10=G10,"PASS","FAIL")</x:f>
        <x:v>PASS</x:v>
      </x:c>
    </x:row>
    <x:row r="11">
      <x:c r="A11" s="21" t="str">
        <x:v>NR05</x:v>
      </x:c>
      <x:c r="B11" s="21" t="str">
        <x:v>Bridge service active</x:v>
      </x:c>
      <x:c r="C11" s="21" t="n">
        <x:v>1</x:v>
      </x:c>
      <x:c r="D11" s="21" t="n">
        <x:v>0</x:v>
      </x:c>
      <x:c r="E11" s="21" t="n">
        <x:v>0</x:v>
      </x:c>
      <x:c r="F11" s="21" t="str">
        <x:f>IF(C11=0,"PRE-COMMITMENT / ALLOCATABLE",IF(D11=0,"NO — SERVICE OBLIGATION PERSISTS",IF(E11=0,"RELEASED / REGENERATION REQUIRED","YES — AFTER REQUALIFICATION")))</x:f>
        <x:v>NO — SERVICE OBLIGATION PERSISTS</x:v>
      </x:c>
      <x:c r="G11" s="21" t="str">
        <x:v>NO — SERVICE OBLIGATION PERSISTS</x:v>
      </x:c>
      <x:c r="H11" s="21" t="str">
        <x:f>IF(F11=G11,"PASS","FAIL")</x:f>
        <x:v>PASS</x:v>
      </x:c>
    </x:row>
    <x:row r="12">
      <x:c r="A12" s="21" t="str">
        <x:v>NR06</x:v>
      </x:c>
      <x:c r="B12" s="21" t="str">
        <x:v>Full employment active</x:v>
      </x:c>
      <x:c r="C12" s="21" t="n">
        <x:v>1</x:v>
      </x:c>
      <x:c r="D12" s="21" t="n">
        <x:v>0</x:v>
      </x:c>
      <x:c r="E12" s="21" t="n">
        <x:v>0</x:v>
      </x:c>
      <x:c r="F12" s="21" t="str">
        <x:f>IF(C12=0,"PRE-COMMITMENT / ALLOCATABLE",IF(D12=0,"NO — SERVICE OBLIGATION PERSISTS",IF(E12=0,"RELEASED / REGENERATION REQUIRED","YES — AFTER REQUALIFICATION")))</x:f>
        <x:v>NO — SERVICE OBLIGATION PERSISTS</x:v>
      </x:c>
      <x:c r="G12" s="21" t="str">
        <x:v>NO — SERVICE OBLIGATION PERSISTS</x:v>
      </x:c>
      <x:c r="H12" s="21" t="str">
        <x:f>IF(F12=G12,"PASS","FAIL")</x:f>
        <x:v>PASS</x:v>
      </x:c>
    </x:row>
    <x:row r="13">
      <x:c r="A13" s="21" t="str">
        <x:v>NR07</x:v>
      </x:c>
      <x:c r="B13" s="21" t="str">
        <x:v>Domestic catastrophe during invited service</x:v>
      </x:c>
      <x:c r="C13" s="21" t="n">
        <x:v>1</x:v>
      </x:c>
      <x:c r="D13" s="21" t="n">
        <x:v>0</x:v>
      </x:c>
      <x:c r="E13" s="21" t="n">
        <x:v>0</x:v>
      </x:c>
      <x:c r="F13" s="21" t="str">
        <x:f>IF(C13=0,"PRE-COMMITMENT / ALLOCATABLE",IF(D13=0,"NO — SERVICE OBLIGATION PERSISTS",IF(E13=0,"RELEASED / REGENERATION REQUIRED","YES — AFTER REQUALIFICATION")))</x:f>
        <x:v>NO — SERVICE OBLIGATION PERSISTS</x:v>
      </x:c>
      <x:c r="G13" s="21" t="str">
        <x:v>NO — SERVICE OBLIGATION PERSISTS</x:v>
      </x:c>
      <x:c r="H13" s="21" t="str">
        <x:f>IF(F13=G13,"PASS","FAIL")</x:f>
        <x:v>PASS</x:v>
      </x:c>
    </x:row>
    <x:row r="14">
      <x:c r="A14" s="21" t="str">
        <x:v>NR08</x:v>
      </x:c>
      <x:c r="B14" s="21" t="str">
        <x:v>Technical safety stop</x:v>
      </x:c>
      <x:c r="C14" s="21" t="n">
        <x:v>1</x:v>
      </x:c>
      <x:c r="D14" s="21" t="n">
        <x:v>0</x:v>
      </x:c>
      <x:c r="E14" s="21" t="n">
        <x:v>0</x:v>
      </x:c>
      <x:c r="F14" s="21" t="str">
        <x:f>IF(C14=0,"PRE-COMMITMENT / ALLOCATABLE",IF(D14=0,"NO — SERVICE OBLIGATION PERSISTS",IF(E14=0,"RELEASED / REGENERATION REQUIRED","YES — AFTER REQUALIFICATION")))</x:f>
        <x:v>NO — SERVICE OBLIGATION PERSISTS</x:v>
      </x:c>
      <x:c r="G14" s="21" t="str">
        <x:v>NO — SERVICE OBLIGATION PERSISTS</x:v>
      </x:c>
      <x:c r="H14" s="21" t="str">
        <x:f>IF(F14=G14,"PASS","FAIL")</x:f>
        <x:v>PASS</x:v>
      </x:c>
    </x:row>
    <x:row r="15">
      <x:c r="A15" s="21" t="str">
        <x:v>NR09</x:v>
      </x:c>
      <x:c r="B15" s="21" t="str">
        <x:v>Host consent revoked; safe withdrawal pending</x:v>
      </x:c>
      <x:c r="C15" s="21" t="n">
        <x:v>1</x:v>
      </x:c>
      <x:c r="D15" s="21" t="n">
        <x:v>0</x:v>
      </x:c>
      <x:c r="E15" s="21" t="n">
        <x:v>0</x:v>
      </x:c>
      <x:c r="F15" s="21" t="str">
        <x:f>IF(C15=0,"PRE-COMMITMENT / ALLOCATABLE",IF(D15=0,"NO — SERVICE OBLIGATION PERSISTS",IF(E15=0,"RELEASED / REGENERATION REQUIRED","YES — AFTER REQUALIFICATION")))</x:f>
        <x:v>NO — SERVICE OBLIGATION PERSISTS</x:v>
      </x:c>
      <x:c r="G15" s="21" t="str">
        <x:v>NO — SERVICE OBLIGATION PERSISTS</x:v>
      </x:c>
      <x:c r="H15" s="21" t="str">
        <x:f>IF(F15=G15,"PASS","FAIL")</x:f>
        <x:v>PASS</x:v>
      </x:c>
    </x:row>
    <x:row r="16">
      <x:c r="A16" s="21" t="str">
        <x:v>NR10</x:v>
      </x:c>
      <x:c r="B16" s="21" t="str">
        <x:v>Transfer accepted; residual closure pending</x:v>
      </x:c>
      <x:c r="C16" s="21" t="n">
        <x:v>1</x:v>
      </x:c>
      <x:c r="D16" s="21" t="n">
        <x:v>0</x:v>
      </x:c>
      <x:c r="E16" s="21" t="n">
        <x:v>0</x:v>
      </x:c>
      <x:c r="F16" s="21" t="str">
        <x:f>IF(C16=0,"PRE-COMMITMENT / ALLOCATABLE",IF(D16=0,"NO — SERVICE OBLIGATION PERSISTS",IF(E16=0,"RELEASED / REGENERATION REQUIRED","YES — AFTER REQUALIFICATION")))</x:f>
        <x:v>NO — SERVICE OBLIGATION PERSISTS</x:v>
      </x:c>
      <x:c r="G16" s="21" t="str">
        <x:v>NO — SERVICE OBLIGATION PERSISTS</x:v>
      </x:c>
      <x:c r="H16" s="21" t="str">
        <x:f>IF(F16=G16,"PASS","FAIL")</x:f>
        <x:v>PASS</x:v>
      </x:c>
    </x:row>
    <x:row r="17">
      <x:c r="A17" s="21" t="str">
        <x:v>NR11</x:v>
      </x:c>
      <x:c r="B17" s="21" t="str">
        <x:v>Bilateral release; regeneration pending</x:v>
      </x:c>
      <x:c r="C17" s="21" t="n">
        <x:v>1</x:v>
      </x:c>
      <x:c r="D17" s="21" t="n">
        <x:v>1</x:v>
      </x:c>
      <x:c r="E17" s="21" t="n">
        <x:v>0</x:v>
      </x:c>
      <x:c r="F17" s="21" t="str">
        <x:f>IF(C17=0,"PRE-COMMITMENT / ALLOCATABLE",IF(D17=0,"NO — SERVICE OBLIGATION PERSISTS",IF(E17=0,"RELEASED / REGENERATION REQUIRED","YES — AFTER REQUALIFICATION")))</x:f>
        <x:v>RELEASED / REGENERATION REQUIRED</x:v>
      </x:c>
      <x:c r="G17" s="21" t="str">
        <x:v>RELEASED / REGENERATION REQUIRED</x:v>
      </x:c>
      <x:c r="H17" s="21" t="str">
        <x:f>IF(F17=G17,"PASS","FAIL")</x:f>
        <x:v>PASS</x:v>
      </x:c>
    </x:row>
    <x:row r="18">
      <x:c r="A18" s="21" t="str">
        <x:v>NR12</x:v>
      </x:c>
      <x:c r="B18" s="21" t="str">
        <x:v>Regeneration and requalification complete</x:v>
      </x:c>
      <x:c r="C18" s="21" t="n">
        <x:v>1</x:v>
      </x:c>
      <x:c r="D18" s="21" t="n">
        <x:v>1</x:v>
      </x:c>
      <x:c r="E18" s="21" t="n">
        <x:v>1</x:v>
      </x:c>
      <x:c r="F18" s="21" t="str">
        <x:f>IF(C18=0,"PRE-COMMITMENT / ALLOCATABLE",IF(D18=0,"NO — SERVICE OBLIGATION PERSISTS",IF(E18=0,"RELEASED / REGENERATION REQUIRED","YES — AFTER REQUALIFICATION")))</x:f>
        <x:v>YES — AFTER REQUALIFICATION</x:v>
      </x:c>
      <x:c r="G18" s="21" t="str">
        <x:v>YES — AFTER REQUALIFICATION</x:v>
      </x:c>
      <x:c r="H18" s="21" t="str">
        <x:f>IF(F18=G18,"PASS","FAIL")</x:f>
        <x:v>PASS</x:v>
      </x:c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conditionalFormatting sqref="H7:H18">
    <x:cfRule type="containsText" dxfId="3" priority="1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22" hidden="0" customWidth="1"/>
    <x:col min="4" max="4" width="22" hidden="0" customWidth="1"/>
    <x:col min="5" max="5" width="30" hidden="0" customWidth="1"/>
    <x:col min="6" max="6" width="38" hidden="0" customWidth="1"/>
    <x:col min="7" max="7" width="36" hidden="0" customWidth="1"/>
    <x:col min="8" max="8" width="16" hidden="0" customWidth="1"/>
    <x:col min="9" max="9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Financing boundary and noncoercion ledger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Nested jurisdictions are not additive. Partner activity cannot offset appropriations or purchase consent.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A6" s="9" t="str">
        <x:v>Account</x:v>
      </x:c>
      <x:c r="B6" s="9" t="str">
        <x:v>Amount</x:v>
      </x:c>
      <x:c r="C6" s="9" t="str">
        <x:v>Unit</x:v>
      </x:c>
      <x:c r="D6" s="9" t="str">
        <x:v>Relation</x:v>
      </x:c>
      <x:c r="E6" s="9" t="str">
        <x:v>Parent</x:v>
      </x:c>
      <x:c r="F6" s="9" t="str">
        <x:v>Payment trigger</x:v>
      </x:c>
      <x:c r="G6" s="9" t="str">
        <x:v>Host nonpayment effect</x:v>
      </x:c>
      <x:c r="H6" s="9" t="str">
        <x:v>Readiness credit</x:v>
      </x:c>
      <x:c r="I6" s="9" t="str">
        <x:v>Ledger state</x:v>
      </x:c>
    </x:row>
    <x:row r="7">
      <x:c r="A7" s="19" t="str">
        <x:v>Department capital</x:v>
      </x:c>
      <x:c r="B7" s="37" t="n">
        <x:v>17400</x:v>
      </x:c>
      <x:c r="C7" s="19" t="str">
        <x:v>USD B / 25 years</x:v>
      </x:c>
      <x:c r="D7" s="19" t="str">
        <x:v>CONTROL TOTAL</x:v>
      </x:c>
      <x:c r="E7" s="19" t="str">
        <x:v>None</x:v>
      </x:c>
      <x:c r="F7" s="19" t="str">
        <x:v>Public appropriation</x:v>
      </x:c>
      <x:c r="G7" s="19" t="str">
        <x:v>Not applicable</x:v>
      </x:c>
      <x:c r="H7" s="19" t="n">
        <x:v>0</x:v>
      </x:c>
      <x:c r="I7" s="19" t="str">
        <x:f>IF(H7=0,"NO READINESS CREDIT","ERROR")</x:f>
        <x:v>NO READINESS CREDIT</x:v>
      </x:c>
    </x:row>
    <x:row r="8">
      <x:c r="A8" s="21" t="str">
        <x:v>Mature Department operations</x:v>
      </x:c>
      <x:c r="B8" s="38" t="n">
        <x:v>2110</x:v>
      </x:c>
      <x:c r="C8" s="21" t="str">
        <x:v>USD B / mature year</x:v>
      </x:c>
      <x:c r="D8" s="21" t="str">
        <x:v>CONTROL TOTAL</x:v>
      </x:c>
      <x:c r="E8" s="21" t="str">
        <x:v>None</x:v>
      </x:c>
      <x:c r="F8" s="21" t="str">
        <x:v>Public appropriation</x:v>
      </x:c>
      <x:c r="G8" s="21" t="str">
        <x:v>Not applicable</x:v>
      </x:c>
      <x:c r="H8" s="21" t="n">
        <x:v>0</x:v>
      </x:c>
      <x:c r="I8" s="21" t="str">
        <x:f>IF(H8=0,"NO READINESS CREDIT","ERROR")</x:f>
        <x:v>NO READINESS CREDIT</x:v>
      </x:c>
    </x:row>
    <x:row r="9">
      <x:c r="A9" s="21" t="str">
        <x:v>Technology and industrialization</x:v>
      </x:c>
      <x:c r="B9" s="38" t="n">
        <x:v>1000</x:v>
      </x:c>
      <x:c r="C9" s="21" t="str">
        <x:v>USD B / 25 years</x:v>
      </x:c>
      <x:c r="D9" s="21" t="str">
        <x:v>DEPARTMENT ACCOUNT</x:v>
      </x:c>
      <x:c r="E9" s="21" t="str">
        <x:v>Department resource screen</x:v>
      </x:c>
      <x:c r="F9" s="21" t="str">
        <x:v>Stage evidence and option law</x:v>
      </x:c>
      <x:c r="G9" s="21" t="str">
        <x:v>None</x:v>
      </x:c>
      <x:c r="H9" s="21" t="n">
        <x:v>0</x:v>
      </x:c>
      <x:c r="I9" s="21" t="str">
        <x:f>IF(H9=0,"NO READINESS CREDIT","ERROR")</x:f>
        <x:v>NO READINESS CREDIT</x:v>
      </x:c>
    </x:row>
    <x:row r="10">
      <x:c r="A10" s="21" t="str">
        <x:v>Strategic-power technology</x:v>
      </x:c>
      <x:c r="B10" s="38" t="n">
        <x:v>150</x:v>
      </x:c>
      <x:c r="C10" s="21" t="str">
        <x:v>USD B / 25 years</x:v>
      </x:c>
      <x:c r="D10" s="21" t="str">
        <x:v>NESTED</x:v>
      </x:c>
      <x:c r="E10" s="21" t="str">
        <x:v>Technology and industrialization</x:v>
      </x:c>
      <x:c r="F10" s="21" t="str">
        <x:v>Program evidence gates</x:v>
      </x:c>
      <x:c r="G10" s="21" t="str">
        <x:v>No effect on life safety</x:v>
      </x:c>
      <x:c r="H10" s="21" t="n">
        <x:v>0</x:v>
      </x:c>
      <x:c r="I10" s="21" t="str">
        <x:f>IF(H10=0,"NO READINESS CREDIT","ERROR")</x:f>
        <x:v>NO READINESS CREDIT</x:v>
      </x:c>
    </x:row>
    <x:row r="11">
      <x:c r="A11" s="21" t="str">
        <x:v>Receiver commons capital</x:v>
      </x:c>
      <x:c r="B11" s="38" t="n">
        <x:v>1280</x:v>
      </x:c>
      <x:c r="C11" s="21" t="str">
        <x:v>USD B</x:v>
      </x:c>
      <x:c r="D11" s="21" t="str">
        <x:v>NESTED</x:v>
      </x:c>
      <x:c r="E11" s="21" t="str">
        <x:v>Department common capital</x:v>
      </x:c>
      <x:c r="F11" s="21" t="str">
        <x:v>Commissioned host-controlled capacity</x:v>
      </x:c>
      <x:c r="G11" s="21" t="str">
        <x:v>No effect on accepted service</x:v>
      </x:c>
      <x:c r="H11" s="21" t="n">
        <x:v>0</x:v>
      </x:c>
      <x:c r="I11" s="21" t="str">
        <x:f>IF(H11=0,"NO READINESS CREDIT","ERROR")</x:f>
        <x:v>NO READINESS CREDIT</x:v>
      </x:c>
    </x:row>
    <x:row r="12">
      <x:c r="A12" s="21" t="str">
        <x:v>Receiver commons operations</x:v>
      </x:c>
      <x:c r="B12" s="38" t="n">
        <x:v>102</x:v>
      </x:c>
      <x:c r="C12" s="21" t="str">
        <x:v>USD B / year</x:v>
      </x:c>
      <x:c r="D12" s="21" t="str">
        <x:v>NESTED</x:v>
      </x:c>
      <x:c r="E12" s="21" t="str">
        <x:v>Mature Department operations</x:v>
      </x:c>
      <x:c r="F12" s="21" t="str">
        <x:v>Availability and renewal evidence</x:v>
      </x:c>
      <x:c r="G12" s="21" t="str">
        <x:v>No effect on accepted service</x:v>
      </x:c>
      <x:c r="H12" s="21" t="n">
        <x:v>0</x:v>
      </x:c>
      <x:c r="I12" s="21" t="str">
        <x:f>IF(H12=0,"NO READINESS CREDIT","ERROR")</x:f>
        <x:v>NO READINESS CREDIT</x:v>
      </x:c>
    </x:row>
    <x:row r="13">
      <x:c r="A13" s="21" t="str">
        <x:v>Activation capital</x:v>
      </x:c>
      <x:c r="B13" s="38" t="n">
        <x:v>67.5</x:v>
      </x:c>
      <x:c r="C13" s="21" t="str">
        <x:v>USD B</x:v>
      </x:c>
      <x:c r="D13" s="21" t="str">
        <x:v>NESTED</x:v>
      </x:c>
      <x:c r="E13" s="21" t="str">
        <x:v>Receiver commons capital</x:v>
      </x:c>
      <x:c r="F13" s="21" t="str">
        <x:v>Commissioned transaction system</x:v>
      </x:c>
      <x:c r="G13" s="21" t="str">
        <x:v>No effect on accepted service</x:v>
      </x:c>
      <x:c r="H13" s="21" t="n">
        <x:v>0</x:v>
      </x:c>
      <x:c r="I13" s="21" t="str">
        <x:f>IF(H13=0,"NO READINESS CREDIT","ERROR")</x:f>
        <x:v>NO READINESS CREDIT</x:v>
      </x:c>
    </x:row>
    <x:row r="14">
      <x:c r="A14" s="21" t="str">
        <x:v>Activation operations</x:v>
      </x:c>
      <x:c r="B14" s="38" t="n">
        <x:v>12.2</x:v>
      </x:c>
      <x:c r="C14" s="21" t="str">
        <x:v>USD B / year</x:v>
      </x:c>
      <x:c r="D14" s="21" t="str">
        <x:v>NESTED</x:v>
      </x:c>
      <x:c r="E14" s="21" t="str">
        <x:v>Receiver commons operations</x:v>
      </x:c>
      <x:c r="F14" s="21" t="str">
        <x:v>Available custody and corridor service</x:v>
      </x:c>
      <x:c r="G14" s="21" t="str">
        <x:v>No effect on accepted service</x:v>
      </x:c>
      <x:c r="H14" s="21" t="n">
        <x:v>0</x:v>
      </x:c>
      <x:c r="I14" s="21" t="str">
        <x:f>IF(H14=0,"NO READINESS CREDIT","ERROR")</x:f>
        <x:v>NO READINESS CREDIT</x:v>
      </x:c>
    </x:row>
    <x:row r="15">
      <x:c r="A15" s="21" t="str">
        <x:v>Evidence capital</x:v>
      </x:c>
      <x:c r="B15" s="38" t="n">
        <x:v>44.6</x:v>
      </x:c>
      <x:c r="C15" s="21" t="str">
        <x:v>USD B</x:v>
      </x:c>
      <x:c r="D15" s="21" t="str">
        <x:v>NESTED</x:v>
      </x:c>
      <x:c r="E15" s="21" t="str">
        <x:v>Activation capital</x:v>
      </x:c>
      <x:c r="F15" s="21" t="str">
        <x:v>Independent custody and replay</x:v>
      </x:c>
      <x:c r="G15" s="21" t="str">
        <x:v>No effect on accepted service</x:v>
      </x:c>
      <x:c r="H15" s="21" t="n">
        <x:v>0</x:v>
      </x:c>
      <x:c r="I15" s="21" t="str">
        <x:f>IF(H15=0,"NO READINESS CREDIT","ERROR")</x:f>
        <x:v>NO READINESS CREDIT</x:v>
      </x:c>
    </x:row>
    <x:row r="16">
      <x:c r="A16" s="21" t="str">
        <x:v>Evidence operations</x:v>
      </x:c>
      <x:c r="B16" s="38" t="n">
        <x:v>8.93</x:v>
      </x:c>
      <x:c r="C16" s="21" t="str">
        <x:v>USD B / year</x:v>
      </x:c>
      <x:c r="D16" s="21" t="str">
        <x:v>NESTED</x:v>
      </x:c>
      <x:c r="E16" s="21" t="str">
        <x:v>Activation operations</x:v>
      </x:c>
      <x:c r="F16" s="21" t="str">
        <x:v>Accepted evidence service</x:v>
      </x:c>
      <x:c r="G16" s="21" t="str">
        <x:v>No effect on accepted service</x:v>
      </x:c>
      <x:c r="H16" s="21" t="n">
        <x:v>0</x:v>
      </x:c>
      <x:c r="I16" s="21" t="str">
        <x:f>IF(H16=0,"NO READINESS CREDIT","ERROR")</x:f>
        <x:v>NO READINESS CREDIT</x:v>
      </x:c>
    </x:row>
    <x:row r="17">
      <x:c r="A17" s="21" t="str">
        <x:v>Reference partner activity</x:v>
      </x:c>
      <x:c r="B17" s="38" t="n">
        <x:v>12</x:v>
      </x:c>
      <x:c r="C17" s="21" t="str">
        <x:v>USD B / year</x:v>
      </x:c>
      <x:c r="D17" s="21" t="str">
        <x:v>SEPARATE MARKET LEDGER</x:v>
      </x:c>
      <x:c r="E17" s="21" t="str">
        <x:v>None</x:v>
      </x:c>
      <x:c r="F17" s="21" t="str">
        <x:v>Voluntary civil exchange</x:v>
      </x:c>
      <x:c r="G17" s="21" t="str">
        <x:v>Cannot create debt leverage or termination</x:v>
      </x:c>
      <x:c r="H17" s="21" t="n">
        <x:v>0</x:v>
      </x:c>
      <x:c r="I17" s="21" t="str">
        <x:f>IF(H17=0,"NO READINESS CREDIT","ERROR")</x:f>
        <x:v>NO READINESS CREDIT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1" hidden="0" customWidth="1"/>
    <x:col min="4" max="4" width="44" hidden="0" customWidth="1"/>
    <x:col min="5" max="5" width="34" hidden="0" customWidth="1"/>
    <x:col min="6" max="6" width="14" hidden="0" customWidth="1"/>
    <x:col min="7" max="7" width="16" hidden="0" customWidth="1"/>
    <x:col min="8" max="8" width="16" hidden="0" customWidth="1"/>
    <x:col min="9" max="9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Partner-production and export admission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Every network must pass all ten gates. Separate serials prevent exports from consuming domestic readiness.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A6" s="9" t="str">
        <x:v>Record</x:v>
      </x:c>
      <x:c r="B6" s="9" t="str">
        <x:v>Network</x:v>
      </x:c>
      <x:c r="C6" s="9" t="str">
        <x:v>Gate</x:v>
      </x:c>
      <x:c r="D6" s="9" t="str">
        <x:v>Requirement</x:v>
      </x:c>
      <x:c r="E6" s="9" t="str">
        <x:v>Evidence owner</x:v>
      </x:c>
      <x:c r="F6" s="9" t="str">
        <x:v>Input state</x:v>
      </x:c>
      <x:c r="G6" s="9" t="str">
        <x:v>Calculated state</x:v>
      </x:c>
      <x:c r="H6" s="9" t="str">
        <x:v>Domestic credit</x:v>
      </x:c>
      <x:c r="I6" s="9" t="str">
        <x:v>Disposition</x:v>
      </x:c>
    </x:row>
    <x:row r="7">
      <x:c r="A7" s="19" t="str">
        <x:v>IP-PG01</x:v>
      </x:c>
      <x:c r="B7" s="19" t="str">
        <x:v>Indo-Pacific</x:v>
      </x:c>
      <x:c r="C7" s="19" t="str">
        <x:v>PG01</x:v>
      </x:c>
      <x:c r="D7" s="19" t="str">
        <x:v>Domestic reserve conserved</x:v>
      </x:c>
      <x:c r="E7" s="19" t="str">
        <x:v>Joint Capacity Authority</x:v>
      </x:c>
      <x:c r="F7" s="41" t="n">
        <x:v>0</x:v>
      </x:c>
      <x:c r="G7" s="19" t="str">
        <x:f>IF(F7=1,"PASS","HOLD")</x:f>
        <x:v>HOLD</x:v>
      </x:c>
      <x:c r="H7" s="19" t="n">
        <x:v>0</x:v>
      </x:c>
      <x:c r="I7" s="19" t="str">
        <x:f>IF(AND(G7="PASS",H7=0),"ADMISSIBLE",IF(H7&lt;&gt;0,"REJECT — CREDIT LAUNDERING","HOLD"))</x:f>
        <x:v>HOLD</x:v>
      </x:c>
    </x:row>
    <x:row r="8">
      <x:c r="A8" s="21" t="str">
        <x:v>IP-PG02</x:v>
      </x:c>
      <x:c r="B8" s="21" t="str">
        <x:v>Indo-Pacific</x:v>
      </x:c>
      <x:c r="C8" s="21" t="str">
        <x:v>PG02</x:v>
      </x:c>
      <x:c r="D8" s="21" t="str">
        <x:v>Separate export or transfer serials</x:v>
      </x:c>
      <x:c r="E8" s="21" t="str">
        <x:v>International Custody Chamber</x:v>
      </x:c>
      <x:c r="F8" s="42" t="n">
        <x:v>0</x:v>
      </x:c>
      <x:c r="G8" s="21" t="str">
        <x:f>IF(F8=1,"PASS","HOLD")</x:f>
        <x:v>HOLD</x:v>
      </x:c>
      <x:c r="H8" s="21" t="n">
        <x:v>0</x:v>
      </x:c>
      <x:c r="I8" s="21" t="str">
        <x:f>IF(AND(G8="PASS",H8=0),"ADMISSIBLE",IF(H8&lt;&gt;0,"REJECT — CREDIT LAUNDERING","HOLD"))</x:f>
        <x:v>HOLD</x:v>
      </x:c>
    </x:row>
    <x:row r="9">
      <x:c r="A9" s="21" t="str">
        <x:v>IP-PG03</x:v>
      </x:c>
      <x:c r="B9" s="21" t="str">
        <x:v>Indo-Pacific</x:v>
      </x:c>
      <x:c r="C9" s="21" t="str">
        <x:v>PG03</x:v>
      </x:c>
      <x:c r="D9" s="21" t="str">
        <x:v>Recipient civil authority controls purpose</x:v>
      </x:c>
      <x:c r="E9" s="21" t="str">
        <x:v>Host civil principal</x:v>
      </x:c>
      <x:c r="F9" s="42" t="n">
        <x:v>0</x:v>
      </x:c>
      <x:c r="G9" s="21" t="str">
        <x:f>IF(F9=1,"PASS","HOLD")</x:f>
        <x:v>HOLD</x:v>
      </x:c>
      <x:c r="H9" s="21" t="n">
        <x:v>0</x:v>
      </x:c>
      <x:c r="I9" s="21" t="str">
        <x:f>IF(AND(G9="PASS",H9=0),"ADMISSIBLE",IF(H9&lt;&gt;0,"REJECT — CREDIT LAUNDERING","HOLD"))</x:f>
        <x:v>HOLD</x:v>
      </x:c>
    </x:row>
    <x:row r="10">
      <x:c r="A10" s="21" t="str">
        <x:v>IP-PG04</x:v>
      </x:c>
      <x:c r="B10" s="21" t="str">
        <x:v>Indo-Pacific</x:v>
      </x:c>
      <x:c r="C10" s="21" t="str">
        <x:v>PG04</x:v>
      </x:c>
      <x:c r="D10" s="21" t="str">
        <x:v>Custody, safety and rights accepted</x:v>
      </x:c>
      <x:c r="E10" s="21" t="str">
        <x:v>Rights and Scarcity Tribunal</x:v>
      </x:c>
      <x:c r="F10" s="42" t="n">
        <x:v>0</x:v>
      </x:c>
      <x:c r="G10" s="21" t="str">
        <x:f>IF(F10=1,"PASS","HOLD")</x:f>
        <x:v>HOLD</x:v>
      </x:c>
      <x:c r="H10" s="21" t="n">
        <x:v>0</x:v>
      </x:c>
      <x:c r="I10" s="21" t="str">
        <x:f>IF(AND(G10="PASS",H10=0),"ADMISSIBLE",IF(H10&lt;&gt;0,"REJECT — CREDIT LAUNDERING","HOLD"))</x:f>
        <x:v>HOLD</x:v>
      </x:c>
    </x:row>
    <x:row r="11">
      <x:c r="A11" s="21" t="str">
        <x:v>IP-PG05</x:v>
      </x:c>
      <x:c r="B11" s="21" t="str">
        <x:v>Indo-Pacific</x:v>
      </x:c>
      <x:c r="C11" s="21" t="str">
        <x:v>PG05</x:v>
      </x:c>
      <x:c r="D11" s="21" t="str">
        <x:v>Configuration support funded for declared life</x:v>
      </x:c>
      <x:c r="E11" s="21" t="str">
        <x:v>Root technical authority</x:v>
      </x:c>
      <x:c r="F11" s="42" t="n">
        <x:v>0</x:v>
      </x:c>
      <x:c r="G11" s="21" t="str">
        <x:f>IF(F11=1,"PASS","HOLD")</x:f>
        <x:v>HOLD</x:v>
      </x:c>
      <x:c r="H11" s="21" t="n">
        <x:v>0</x:v>
      </x:c>
      <x:c r="I11" s="21" t="str">
        <x:f>IF(AND(G11="PASS",H11=0),"ADMISSIBLE",IF(H11&lt;&gt;0,"REJECT — CREDIT LAUNDERING","HOLD"))</x:f>
        <x:v>HOLD</x:v>
      </x:c>
    </x:row>
    <x:row r="12">
      <x:c r="A12" s="21" t="str">
        <x:v>IP-PG06</x:v>
      </x:c>
      <x:c r="B12" s="21" t="str">
        <x:v>Indo-Pacific</x:v>
      </x:c>
      <x:c r="C12" s="21" t="str">
        <x:v>PG06</x:v>
      </x:c>
      <x:c r="D12" s="21" t="str">
        <x:v>Recipient holds repair and evidence rights</x:v>
      </x:c>
      <x:c r="E12" s="21" t="str">
        <x:v>Partner productive authority</x:v>
      </x:c>
      <x:c r="F12" s="42" t="n">
        <x:v>0</x:v>
      </x:c>
      <x:c r="G12" s="21" t="str">
        <x:f>IF(F12=1,"PASS","HOLD")</x:f>
        <x:v>HOLD</x:v>
      </x:c>
      <x:c r="H12" s="21" t="n">
        <x:v>0</x:v>
      </x:c>
      <x:c r="I12" s="21" t="str">
        <x:f>IF(AND(G12="PASS",H12=0),"ADMISSIBLE",IF(H12&lt;&gt;0,"REJECT — CREDIT LAUNDERING","HOLD"))</x:f>
        <x:v>HOLD</x:v>
      </x:c>
    </x:row>
    <x:row r="13">
      <x:c r="A13" s="21" t="str">
        <x:v>IP-PG07</x:v>
      </x:c>
      <x:c r="B13" s="21" t="str">
        <x:v>Indo-Pacific</x:v>
      </x:c>
      <x:c r="C13" s="21" t="str">
        <x:v>PG07</x:v>
      </x:c>
      <x:c r="D13" s="21" t="str">
        <x:v>Local workforce trained and credentialed</x:v>
      </x:c>
      <x:c r="E13" s="21" t="str">
        <x:v>Host academy</x:v>
      </x:c>
      <x:c r="F13" s="42" t="n">
        <x:v>0</x:v>
      </x:c>
      <x:c r="G13" s="21" t="str">
        <x:f>IF(F13=1,"PASS","HOLD")</x:f>
        <x:v>HOLD</x:v>
      </x:c>
      <x:c r="H13" s="21" t="n">
        <x:v>0</x:v>
      </x:c>
      <x:c r="I13" s="21" t="str">
        <x:f>IF(AND(G13="PASS",H13=0),"ADMISSIBLE",IF(H13&lt;&gt;0,"REJECT — CREDIT LAUNDERING","HOLD"))</x:f>
        <x:v>HOLD</x:v>
      </x:c>
    </x:row>
    <x:row r="14">
      <x:c r="A14" s="21" t="str">
        <x:v>IP-PG08</x:v>
      </x:c>
      <x:c r="B14" s="21" t="str">
        <x:v>Indo-Pacific</x:v>
      </x:c>
      <x:c r="C14" s="21" t="str">
        <x:v>PG08</x:v>
      </x:c>
      <x:c r="D14" s="21" t="str">
        <x:v>Independent ancestry and qualification retained</x:v>
      </x:c>
      <x:c r="E14" s="21" t="str">
        <x:v>Resilience Proving Service</x:v>
      </x:c>
      <x:c r="F14" s="42" t="n">
        <x:v>0</x:v>
      </x:c>
      <x:c r="G14" s="21" t="str">
        <x:f>IF(F14=1,"PASS","HOLD")</x:f>
        <x:v>HOLD</x:v>
      </x:c>
      <x:c r="H14" s="21" t="n">
        <x:v>0</x:v>
      </x:c>
      <x:c r="I14" s="21" t="str">
        <x:f>IF(AND(G14="PASS",H14=0),"ADMISSIBLE",IF(H14&lt;&gt;0,"REJECT — CREDIT LAUNDERING","HOLD"))</x:f>
        <x:v>HOLD</x:v>
      </x:c>
    </x:row>
    <x:row r="15">
      <x:c r="A15" s="21" t="str">
        <x:v>IP-PG09</x:v>
      </x:c>
      <x:c r="B15" s="21" t="str">
        <x:v>Indo-Pacific</x:v>
      </x:c>
      <x:c r="C15" s="21" t="str">
        <x:v>PG09</x:v>
      </x:c>
      <x:c r="D15" s="21" t="str">
        <x:v>No mandatory U.S. key, cloud, supplier or operator</x:v>
      </x:c>
      <x:c r="E15" s="21" t="str">
        <x:v>Public Protection Inspectorate</x:v>
      </x:c>
      <x:c r="F15" s="42" t="n">
        <x:v>0</x:v>
      </x:c>
      <x:c r="G15" s="21" t="str">
        <x:f>IF(F15=1,"PASS","HOLD")</x:f>
        <x:v>HOLD</x:v>
      </x:c>
      <x:c r="H15" s="21" t="n">
        <x:v>0</x:v>
      </x:c>
      <x:c r="I15" s="21" t="str">
        <x:f>IF(AND(G15="PASS",H15=0),"ADMISSIBLE",IF(H15&lt;&gt;0,"REJECT — CREDIT LAUNDERING","HOLD"))</x:f>
        <x:v>HOLD</x:v>
      </x:c>
    </x:row>
    <x:row r="16">
      <x:c r="A16" s="21" t="str">
        <x:v>IP-PG10</x:v>
      </x:c>
      <x:c r="B16" s="21" t="str">
        <x:v>Indo-Pacific</x:v>
      </x:c>
      <x:c r="C16" s="21" t="str">
        <x:v>PG10</x:v>
      </x:c>
      <x:c r="D16" s="21" t="str">
        <x:v>Residual and end-of-life return funded</x:v>
      </x:c>
      <x:c r="E16" s="21" t="str">
        <x:v>Bilateral transfer authority</x:v>
      </x:c>
      <x:c r="F16" s="42" t="n">
        <x:v>0</x:v>
      </x:c>
      <x:c r="G16" s="21" t="str">
        <x:f>IF(F16=1,"PASS","HOLD")</x:f>
        <x:v>HOLD</x:v>
      </x:c>
      <x:c r="H16" s="21" t="n">
        <x:v>0</x:v>
      </x:c>
      <x:c r="I16" s="21" t="str">
        <x:f>IF(AND(G16="PASS",H16=0),"ADMISSIBLE",IF(H16&lt;&gt;0,"REJECT — CREDIT LAUNDERING","HOLD"))</x:f>
        <x:v>HOLD</x:v>
      </x:c>
    </x:row>
    <x:row r="17">
      <x:c r="A17" s="21" t="str">
        <x:v>AA-PG01</x:v>
      </x:c>
      <x:c r="B17" s="21" t="str">
        <x:v>Atlantic/Americas</x:v>
      </x:c>
      <x:c r="C17" s="21" t="str">
        <x:v>PG01</x:v>
      </x:c>
      <x:c r="D17" s="21" t="str">
        <x:v>Domestic reserve conserved</x:v>
      </x:c>
      <x:c r="E17" s="21" t="str">
        <x:v>Joint Capacity Authority</x:v>
      </x:c>
      <x:c r="F17" s="42" t="n">
        <x:v>0</x:v>
      </x:c>
      <x:c r="G17" s="21" t="str">
        <x:f>IF(F17=1,"PASS","HOLD")</x:f>
        <x:v>HOLD</x:v>
      </x:c>
      <x:c r="H17" s="21" t="n">
        <x:v>0</x:v>
      </x:c>
      <x:c r="I17" s="21" t="str">
        <x:f>IF(AND(G17="PASS",H17=0),"ADMISSIBLE",IF(H17&lt;&gt;0,"REJECT — CREDIT LAUNDERING","HOLD"))</x:f>
        <x:v>HOLD</x:v>
      </x:c>
    </x:row>
    <x:row r="18">
      <x:c r="A18" s="21" t="str">
        <x:v>AA-PG02</x:v>
      </x:c>
      <x:c r="B18" s="21" t="str">
        <x:v>Atlantic/Americas</x:v>
      </x:c>
      <x:c r="C18" s="21" t="str">
        <x:v>PG02</x:v>
      </x:c>
      <x:c r="D18" s="21" t="str">
        <x:v>Separate export or transfer serials</x:v>
      </x:c>
      <x:c r="E18" s="21" t="str">
        <x:v>International Custody Chamber</x:v>
      </x:c>
      <x:c r="F18" s="42" t="n">
        <x:v>0</x:v>
      </x:c>
      <x:c r="G18" s="21" t="str">
        <x:f>IF(F18=1,"PASS","HOLD")</x:f>
        <x:v>HOLD</x:v>
      </x:c>
      <x:c r="H18" s="21" t="n">
        <x:v>0</x:v>
      </x:c>
      <x:c r="I18" s="21" t="str">
        <x:f>IF(AND(G18="PASS",H18=0),"ADMISSIBLE",IF(H18&lt;&gt;0,"REJECT — CREDIT LAUNDERING","HOLD"))</x:f>
        <x:v>HOLD</x:v>
      </x:c>
    </x:row>
    <x:row r="19">
      <x:c r="A19" s="21" t="str">
        <x:v>AA-PG03</x:v>
      </x:c>
      <x:c r="B19" s="21" t="str">
        <x:v>Atlantic/Americas</x:v>
      </x:c>
      <x:c r="C19" s="21" t="str">
        <x:v>PG03</x:v>
      </x:c>
      <x:c r="D19" s="21" t="str">
        <x:v>Recipient civil authority controls purpose</x:v>
      </x:c>
      <x:c r="E19" s="21" t="str">
        <x:v>Host civil principal</x:v>
      </x:c>
      <x:c r="F19" s="42" t="n">
        <x:v>0</x:v>
      </x:c>
      <x:c r="G19" s="21" t="str">
        <x:f>IF(F19=1,"PASS","HOLD")</x:f>
        <x:v>HOLD</x:v>
      </x:c>
      <x:c r="H19" s="21" t="n">
        <x:v>0</x:v>
      </x:c>
      <x:c r="I19" s="21" t="str">
        <x:f>IF(AND(G19="PASS",H19=0),"ADMISSIBLE",IF(H19&lt;&gt;0,"REJECT — CREDIT LAUNDERING","HOLD"))</x:f>
        <x:v>HOLD</x:v>
      </x:c>
    </x:row>
    <x:row r="20">
      <x:c r="A20" s="21" t="str">
        <x:v>AA-PG04</x:v>
      </x:c>
      <x:c r="B20" s="21" t="str">
        <x:v>Atlantic/Americas</x:v>
      </x:c>
      <x:c r="C20" s="21" t="str">
        <x:v>PG04</x:v>
      </x:c>
      <x:c r="D20" s="21" t="str">
        <x:v>Custody, safety and rights accepted</x:v>
      </x:c>
      <x:c r="E20" s="21" t="str">
        <x:v>Rights and Scarcity Tribunal</x:v>
      </x:c>
      <x:c r="F20" s="42" t="n">
        <x:v>0</x:v>
      </x:c>
      <x:c r="G20" s="21" t="str">
        <x:f>IF(F20=1,"PASS","HOLD")</x:f>
        <x:v>HOLD</x:v>
      </x:c>
      <x:c r="H20" s="21" t="n">
        <x:v>0</x:v>
      </x:c>
      <x:c r="I20" s="21" t="str">
        <x:f>IF(AND(G20="PASS",H20=0),"ADMISSIBLE",IF(H20&lt;&gt;0,"REJECT — CREDIT LAUNDERING","HOLD"))</x:f>
        <x:v>HOLD</x:v>
      </x:c>
    </x:row>
    <x:row r="21">
      <x:c r="A21" s="21" t="str">
        <x:v>AA-PG05</x:v>
      </x:c>
      <x:c r="B21" s="21" t="str">
        <x:v>Atlantic/Americas</x:v>
      </x:c>
      <x:c r="C21" s="21" t="str">
        <x:v>PG05</x:v>
      </x:c>
      <x:c r="D21" s="21" t="str">
        <x:v>Configuration support funded for declared life</x:v>
      </x:c>
      <x:c r="E21" s="21" t="str">
        <x:v>Root technical authority</x:v>
      </x:c>
      <x:c r="F21" s="42" t="n">
        <x:v>0</x:v>
      </x:c>
      <x:c r="G21" s="21" t="str">
        <x:f>IF(F21=1,"PASS","HOLD")</x:f>
        <x:v>HOLD</x:v>
      </x:c>
      <x:c r="H21" s="21" t="n">
        <x:v>0</x:v>
      </x:c>
      <x:c r="I21" s="21" t="str">
        <x:f>IF(AND(G21="PASS",H21=0),"ADMISSIBLE",IF(H21&lt;&gt;0,"REJECT — CREDIT LAUNDERING","HOLD"))</x:f>
        <x:v>HOLD</x:v>
      </x:c>
    </x:row>
    <x:row r="22">
      <x:c r="A22" s="21" t="str">
        <x:v>AA-PG06</x:v>
      </x:c>
      <x:c r="B22" s="21" t="str">
        <x:v>Atlantic/Americas</x:v>
      </x:c>
      <x:c r="C22" s="21" t="str">
        <x:v>PG06</x:v>
      </x:c>
      <x:c r="D22" s="21" t="str">
        <x:v>Recipient holds repair and evidence rights</x:v>
      </x:c>
      <x:c r="E22" s="21" t="str">
        <x:v>Partner productive authority</x:v>
      </x:c>
      <x:c r="F22" s="42" t="n">
        <x:v>0</x:v>
      </x:c>
      <x:c r="G22" s="21" t="str">
        <x:f>IF(F22=1,"PASS","HOLD")</x:f>
        <x:v>HOLD</x:v>
      </x:c>
      <x:c r="H22" s="21" t="n">
        <x:v>0</x:v>
      </x:c>
      <x:c r="I22" s="21" t="str">
        <x:f>IF(AND(G22="PASS",H22=0),"ADMISSIBLE",IF(H22&lt;&gt;0,"REJECT — CREDIT LAUNDERING","HOLD"))</x:f>
        <x:v>HOLD</x:v>
      </x:c>
    </x:row>
    <x:row r="23">
      <x:c r="A23" s="21" t="str">
        <x:v>AA-PG07</x:v>
      </x:c>
      <x:c r="B23" s="21" t="str">
        <x:v>Atlantic/Americas</x:v>
      </x:c>
      <x:c r="C23" s="21" t="str">
        <x:v>PG07</x:v>
      </x:c>
      <x:c r="D23" s="21" t="str">
        <x:v>Local workforce trained and credentialed</x:v>
      </x:c>
      <x:c r="E23" s="21" t="str">
        <x:v>Host academy</x:v>
      </x:c>
      <x:c r="F23" s="42" t="n">
        <x:v>0</x:v>
      </x:c>
      <x:c r="G23" s="21" t="str">
        <x:f>IF(F23=1,"PASS","HOLD")</x:f>
        <x:v>HOLD</x:v>
      </x:c>
      <x:c r="H23" s="21" t="n">
        <x:v>0</x:v>
      </x:c>
      <x:c r="I23" s="21" t="str">
        <x:f>IF(AND(G23="PASS",H23=0),"ADMISSIBLE",IF(H23&lt;&gt;0,"REJECT — CREDIT LAUNDERING","HOLD"))</x:f>
        <x:v>HOLD</x:v>
      </x:c>
    </x:row>
    <x:row r="24">
      <x:c r="A24" s="21" t="str">
        <x:v>AA-PG08</x:v>
      </x:c>
      <x:c r="B24" s="21" t="str">
        <x:v>Atlantic/Americas</x:v>
      </x:c>
      <x:c r="C24" s="21" t="str">
        <x:v>PG08</x:v>
      </x:c>
      <x:c r="D24" s="21" t="str">
        <x:v>Independent ancestry and qualification retained</x:v>
      </x:c>
      <x:c r="E24" s="21" t="str">
        <x:v>Resilience Proving Service</x:v>
      </x:c>
      <x:c r="F24" s="42" t="n">
        <x:v>0</x:v>
      </x:c>
      <x:c r="G24" s="21" t="str">
        <x:f>IF(F24=1,"PASS","HOLD")</x:f>
        <x:v>HOLD</x:v>
      </x:c>
      <x:c r="H24" s="21" t="n">
        <x:v>0</x:v>
      </x:c>
      <x:c r="I24" s="21" t="str">
        <x:f>IF(AND(G24="PASS",H24=0),"ADMISSIBLE",IF(H24&lt;&gt;0,"REJECT — CREDIT LAUNDERING","HOLD"))</x:f>
        <x:v>HOLD</x:v>
      </x:c>
    </x:row>
    <x:row r="25">
      <x:c r="A25" s="21" t="str">
        <x:v>AA-PG09</x:v>
      </x:c>
      <x:c r="B25" s="21" t="str">
        <x:v>Atlantic/Americas</x:v>
      </x:c>
      <x:c r="C25" s="21" t="str">
        <x:v>PG09</x:v>
      </x:c>
      <x:c r="D25" s="21" t="str">
        <x:v>No mandatory U.S. key, cloud, supplier or operator</x:v>
      </x:c>
      <x:c r="E25" s="21" t="str">
        <x:v>Public Protection Inspectorate</x:v>
      </x:c>
      <x:c r="F25" s="42" t="n">
        <x:v>0</x:v>
      </x:c>
      <x:c r="G25" s="21" t="str">
        <x:f>IF(F25=1,"PASS","HOLD")</x:f>
        <x:v>HOLD</x:v>
      </x:c>
      <x:c r="H25" s="21" t="n">
        <x:v>0</x:v>
      </x:c>
      <x:c r="I25" s="21" t="str">
        <x:f>IF(AND(G25="PASS",H25=0),"ADMISSIBLE",IF(H25&lt;&gt;0,"REJECT — CREDIT LAUNDERING","HOLD"))</x:f>
        <x:v>HOLD</x:v>
      </x:c>
    </x:row>
    <x:row r="26">
      <x:c r="A26" s="21" t="str">
        <x:v>AA-PG10</x:v>
      </x:c>
      <x:c r="B26" s="21" t="str">
        <x:v>Atlantic/Americas</x:v>
      </x:c>
      <x:c r="C26" s="21" t="str">
        <x:v>PG10</x:v>
      </x:c>
      <x:c r="D26" s="21" t="str">
        <x:v>Residual and end-of-life return funded</x:v>
      </x:c>
      <x:c r="E26" s="21" t="str">
        <x:v>Bilateral transfer authority</x:v>
      </x:c>
      <x:c r="F26" s="42" t="n">
        <x:v>0</x:v>
      </x:c>
      <x:c r="G26" s="21" t="str">
        <x:f>IF(F26=1,"PASS","HOLD")</x:f>
        <x:v>HOLD</x:v>
      </x:c>
      <x:c r="H26" s="21" t="n">
        <x:v>0</x:v>
      </x:c>
      <x:c r="I26" s="21" t="str">
        <x:f>IF(AND(G26="PASS",H26=0),"ADMISSIBLE",IF(H26&lt;&gt;0,"REJECT — CREDIT LAUNDERING","HOLD"))</x:f>
        <x:v>HOLD</x:v>
      </x:c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43" hidden="0" customWidth="1"/>
    <x:col min="4" max="4" width="33" hidden="0" customWidth="1"/>
    <x:col min="5" max="5" width="16" hidden="0" customWidth="1"/>
    <x:col min="6" max="6" width="24" hidden="0" customWidth="1"/>
    <x:col min="7" max="7" width="2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Data custody and civil-rights boundary</x:v>
      </x:c>
      <x:c r="B2" s="1"/>
      <x:c r="C2" s="1"/>
      <x:c r="D2" s="1"/>
      <x:c r="E2" s="1"/>
      <x:c r="F2" s="1"/>
      <x:c r="G2" s="1"/>
    </x:row>
    <x:row r="3">
      <x:c r="A3" s="3" t="str">
        <x:v>Civil knowledge supports service without becoming a permanent U.S. population file.</x:v>
      </x:c>
      <x:c r="B3" s="3"/>
      <x:c r="C3" s="3"/>
      <x:c r="D3" s="3"/>
      <x:c r="E3" s="3"/>
      <x:c r="F3" s="3"/>
      <x:c r="G3" s="3"/>
    </x:row>
    <x:row r="4">
      <x:c r="A4" s="4"/>
      <x:c r="B4" s="4"/>
      <x:c r="C4" s="4"/>
      <x:c r="D4" s="4"/>
      <x:c r="E4" s="4"/>
      <x:c r="F4" s="4"/>
      <x:c r="G4" s="4"/>
    </x:row>
    <x:row r="5">
      <x:c r="A5" s="1"/>
      <x:c r="B5" s="1"/>
      <x:c r="C5" s="1"/>
      <x:c r="D5" s="1"/>
      <x:c r="E5" s="1"/>
      <x:c r="F5" s="1"/>
      <x:c r="G5" s="1"/>
    </x:row>
    <x:row r="6" ht="30" customHeight="1">
      <x:c r="A6" s="9" t="str">
        <x:v>Plane</x:v>
      </x:c>
      <x:c r="B6" s="9" t="str">
        <x:v>Custodian</x:v>
      </x:c>
      <x:c r="C6" s="9" t="str">
        <x:v>U.S. access</x:v>
      </x:c>
      <x:c r="D6" s="9" t="str">
        <x:v>Duration</x:v>
      </x:c>
      <x:c r="E6" s="9" t="str">
        <x:v>Permitted purpose</x:v>
      </x:c>
      <x:c r="F6" s="9" t="str">
        <x:v>Prohibited conversion</x:v>
      </x:c>
      <x:c r="G6" s="9" t="str">
        <x:v>State</x:v>
      </x:c>
    </x:row>
    <x:row r="7">
      <x:c r="A7" s="19" t="str">
        <x:v>Open physical reality</x:v>
      </x:c>
      <x:c r="B7" s="19" t="str">
        <x:v>Joint public release</x:v>
      </x:c>
      <x:c r="C7" s="19" t="str">
        <x:v>Published methods and bounded safety detail</x:v>
      </x:c>
      <x:c r="D7" s="19" t="str">
        <x:v>Persistent</x:v>
      </x:c>
      <x:c r="E7" s="19" t="str">
        <x:v>Hazard, infrastructure and service observation</x:v>
      </x:c>
      <x:c r="F7" s="19" t="str">
        <x:v>Physical data is not identity</x:v>
      </x:c>
      <x:c r="G7" s="19" t="str">
        <x:v>CONSTITUTED</x:v>
      </x:c>
    </x:row>
    <x:row r="8">
      <x:c r="A8" s="21" t="str">
        <x:v>Protected civil state</x:v>
      </x:c>
      <x:c r="B8" s="21" t="str">
        <x:v>Originating host or person-authorized custodian</x:v>
      </x:c>
      <x:c r="C8" s="21" t="str">
        <x:v>Bounded query travels to data</x:v>
      </x:c>
      <x:c r="D8" s="21" t="str">
        <x:v>Host law and purpose</x:v>
      </x:c>
      <x:c r="E8" s="21" t="str">
        <x:v>Eligibility-free civil condition query</x:v>
      </x:c>
      <x:c r="F8" s="21" t="str">
        <x:v>Association is not consent</x:v>
      </x:c>
      <x:c r="G8" s="21" t="str">
        <x:v>CONSTITUTED</x:v>
      </x:c>
    </x:row>
    <x:row r="9">
      <x:c r="A9" s="21" t="str">
        <x:v>Ephemeral service state</x:v>
      </x:c>
      <x:c r="B9" s="21" t="str">
        <x:v>Host receiver with expiring bilateral token</x:v>
      </x:c>
      <x:c r="C9" s="21" t="str">
        <x:v>Minimum incident fields only</x:v>
      </x:c>
      <x:c r="D9" s="21" t="str">
        <x:v>Expires with service purpose</x:v>
      </x:c>
      <x:c r="E9" s="21" t="str">
        <x:v>Find, admit, serve, reunify or transfer</x:v>
      </x:c>
      <x:c r="F9" s="21" t="str">
        <x:v>Service token is not identity credential</x:v>
      </x:c>
      <x:c r="G9" s="21" t="str">
        <x:v>CONSTITUTED</x:v>
      </x:c>
    </x:row>
    <x:row r="10">
      <x:c r="A10" s="21" t="str">
        <x:v>Sealed evidence</x:v>
      </x:c>
      <x:c r="B10" s="21" t="str">
        <x:v>Dual-origin independent custody</x:v>
      </x:c>
      <x:c r="C10" s="21" t="str">
        <x:v>Content-minimized replay under warrant</x:v>
      </x:c>
      <x:c r="D10" s="21" t="str">
        <x:v>Evidence schedule</x:v>
      </x:c>
      <x:c r="E10" s="21" t="str">
        <x:v>Method, decision, remedy and adverse retention</x:v>
      </x:c>
      <x:c r="F10" s="21" t="str">
        <x:v>Evidence archive is not operative reuse</x:v>
      </x:c>
      <x:c r="G10" s="21" t="str">
        <x:v>CONSTITUTED</x:v>
      </x:c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 ht="30" customHeight="1">
      <x:c r="A13" s="9" t="str">
        <x:v>Right</x:v>
      </x:c>
      <x:c r="B13" s="9" t="str">
        <x:v>Holder</x:v>
      </x:c>
      <x:c r="C13" s="9" t="str">
        <x:v>Required behavior</x:v>
      </x:c>
      <x:c r="D13" s="9" t="str">
        <x:v>Challenge route</x:v>
      </x:c>
      <x:c r="E13" s="9" t="str">
        <x:v>Input evidence</x:v>
      </x:c>
      <x:c r="F13" s="9" t="str">
        <x:v>Disposition</x:v>
      </x:c>
      <x:c r="G13" s="1"/>
    </x:row>
    <x:row r="14">
      <x:c r="A14" s="19" t="str">
        <x:v>R01</x:v>
      </x:c>
      <x:c r="B14" s="19" t="str">
        <x:v>Person or community</x:v>
      </x:c>
      <x:c r="C14" s="19" t="str">
        <x:v>Warning without compulsory identification</x:v>
      </x:c>
      <x:c r="D14" s="19" t="str">
        <x:v>Host remedy forum</x:v>
      </x:c>
      <x:c r="E14" s="41" t="n">
        <x:v>0</x:v>
      </x:c>
      <x:c r="F14" s="19" t="str">
        <x:f>IF(E14=1,"ACCEPTED","SOURCE EMPTY / HOLD")</x:f>
        <x:v>SOURCE EMPTY / HOLD</x:v>
      </x:c>
      <x:c r="G14" s="1"/>
    </x:row>
    <x:row r="15">
      <x:c r="A15" s="21" t="str">
        <x:v>R02</x:v>
      </x:c>
      <x:c r="B15" s="21" t="str">
        <x:v>Service recipient</x:v>
      </x:c>
      <x:c r="C15" s="21" t="str">
        <x:v>Service without permanent dossier</x:v>
      </x:c>
      <x:c r="D15" s="21" t="str">
        <x:v>Rights tribunal</x:v>
      </x:c>
      <x:c r="E15" s="42" t="n">
        <x:v>0</x:v>
      </x:c>
      <x:c r="F15" s="21" t="str">
        <x:f>IF(E15=1,"ACCEPTED","SOURCE EMPTY / HOLD")</x:f>
        <x:v>SOURCE EMPTY / HOLD</x:v>
      </x:c>
      <x:c r="G15" s="1"/>
    </x:row>
    <x:row r="16">
      <x:c r="A16" s="21" t="str">
        <x:v>R03</x:v>
      </x:c>
      <x:c r="B16" s="21" t="str">
        <x:v>Data subject</x:v>
      </x:c>
      <x:c r="C16" s="21" t="str">
        <x:v>Minimum necessary collection</x:v>
      </x:c>
      <x:c r="D16" s="21" t="str">
        <x:v>Data custodian</x:v>
      </x:c>
      <x:c r="E16" s="42" t="n">
        <x:v>0</x:v>
      </x:c>
      <x:c r="F16" s="21" t="str">
        <x:f>IF(E16=1,"ACCEPTED","SOURCE EMPTY / HOLD")</x:f>
        <x:v>SOURCE EMPTY / HOLD</x:v>
      </x:c>
      <x:c r="G16" s="1"/>
    </x:row>
    <x:row r="17">
      <x:c r="A17" s="21" t="str">
        <x:v>R04</x:v>
      </x:c>
      <x:c r="B17" s="21" t="str">
        <x:v>Data subject</x:v>
      </x:c>
      <x:c r="C17" s="21" t="str">
        <x:v>Source and inference visibility</x:v>
      </x:c>
      <x:c r="D17" s="21" t="str">
        <x:v>Evidence court</x:v>
      </x:c>
      <x:c r="E17" s="42" t="n">
        <x:v>0</x:v>
      </x:c>
      <x:c r="F17" s="21" t="str">
        <x:f>IF(E17=1,"ACCEPTED","SOURCE EMPTY / HOLD")</x:f>
        <x:v>SOURCE EMPTY / HOLD</x:v>
      </x:c>
      <x:c r="G17" s="1"/>
    </x:row>
    <x:row r="18">
      <x:c r="A18" s="21" t="str">
        <x:v>R05</x:v>
      </x:c>
      <x:c r="B18" s="21" t="str">
        <x:v>Data subject</x:v>
      </x:c>
      <x:c r="C18" s="21" t="str">
        <x:v>Correction, contest and human review</x:v>
      </x:c>
      <x:c r="D18" s="21" t="str">
        <x:v>Human review</x:v>
      </x:c>
      <x:c r="E18" s="42" t="n">
        <x:v>0</x:v>
      </x:c>
      <x:c r="F18" s="21" t="str">
        <x:f>IF(E18=1,"ACCEPTED","SOURCE EMPTY / HOLD")</x:f>
        <x:v>SOURCE EMPTY / HOLD</x:v>
      </x:c>
      <x:c r="G18" s="1"/>
    </x:row>
    <x:row r="19">
      <x:c r="A19" s="21" t="str">
        <x:v>R06</x:v>
      </x:c>
      <x:c r="B19" s="21" t="str">
        <x:v>Affected population</x:v>
      </x:c>
      <x:c r="C19" s="21" t="str">
        <x:v>Uncertainty and missing coverage disclosed</x:v>
      </x:c>
      <x:c r="D19" s="21" t="str">
        <x:v>Civilian Effect Trustee</x:v>
      </x:c>
      <x:c r="E19" s="42" t="n">
        <x:v>0</x:v>
      </x:c>
      <x:c r="F19" s="21" t="str">
        <x:f>IF(E19=1,"ACCEPTED","SOURCE EMPTY / HOLD")</x:f>
        <x:v>SOURCE EMPTY / HOLD</x:v>
      </x:c>
      <x:c r="G19" s="1"/>
    </x:row>
    <x:row r="20">
      <x:c r="A20" s="21" t="str">
        <x:v>R07</x:v>
      </x:c>
      <x:c r="B20" s="21" t="str">
        <x:v>Data subject</x:v>
      </x:c>
      <x:c r="C20" s="21" t="str">
        <x:v>Purpose and time limits enforced</x:v>
      </x:c>
      <x:c r="D20" s="21" t="str">
        <x:v>Public Protection Inspectorate</x:v>
      </x:c>
      <x:c r="E20" s="42" t="n">
        <x:v>0</x:v>
      </x:c>
      <x:c r="F20" s="21" t="str">
        <x:f>IF(E20=1,"ACCEPTED","SOURCE EMPTY / HOLD")</x:f>
        <x:v>SOURCE EMPTY / HOLD</x:v>
      </x:c>
      <x:c r="G20" s="1"/>
    </x:row>
    <x:row r="21">
      <x:c r="A21" s="21" t="str">
        <x:v>R08</x:v>
      </x:c>
      <x:c r="B21" s="21" t="str">
        <x:v>Tribal or territorial government</x:v>
      </x:c>
      <x:c r="C21" s="21" t="str">
        <x:v>Direct sovereign custody</x:v>
      </x:c>
      <x:c r="D21" s="21" t="str">
        <x:v>Direct sovereign forum</x:v>
      </x:c>
      <x:c r="E21" s="42" t="n">
        <x:v>0</x:v>
      </x:c>
      <x:c r="F21" s="21" t="str">
        <x:f>IF(E21=1,"ACCEPTED","SOURCE EMPTY / HOLD")</x:f>
        <x:v>SOURCE EMPTY / HOLD</x:v>
      </x:c>
      <x:c r="G21" s="1"/>
    </x:row>
    <x:row r="22">
      <x:c r="A22" s="21" t="str">
        <x:v>R09</x:v>
      </x:c>
      <x:c r="B22" s="21" t="str">
        <x:v>Person</x:v>
      </x:c>
      <x:c r="C22" s="21" t="str">
        <x:v>Voluntary consent outside constituted duty</x:v>
      </x:c>
      <x:c r="D22" s="21" t="str">
        <x:v>Host court</x:v>
      </x:c>
      <x:c r="E22" s="42" t="n">
        <x:v>0</x:v>
      </x:c>
      <x:c r="F22" s="21" t="str">
        <x:f>IF(E22=1,"ACCEPTED","SOURCE EMPTY / HOLD")</x:f>
        <x:v>SOURCE EMPTY / HOLD</x:v>
      </x:c>
      <x:c r="G22" s="1"/>
    </x:row>
    <x:row r="23">
      <x:c r="A23" s="21" t="str">
        <x:v>R10</x:v>
      </x:c>
      <x:c r="B23" s="21" t="str">
        <x:v>Household or care network</x:v>
      </x:c>
      <x:c r="C23" s="21" t="str">
        <x:v>Protected relationships</x:v>
      </x:c>
      <x:c r="D23" s="21" t="str">
        <x:v>Rights tribunal</x:v>
      </x:c>
      <x:c r="E23" s="42" t="n">
        <x:v>0</x:v>
      </x:c>
      <x:c r="F23" s="21" t="str">
        <x:f>IF(E23=1,"ACCEPTED","SOURCE EMPTY / HOLD")</x:f>
        <x:v>SOURCE EMPTY / HOLD</x:v>
      </x:c>
      <x:c r="G23" s="1"/>
    </x:row>
    <x:row r="24">
      <x:c r="A24" s="21" t="str">
        <x:v>R11</x:v>
      </x:c>
      <x:c r="B24" s="21" t="str">
        <x:v>Person or place</x:v>
      </x:c>
      <x:c r="C24" s="21" t="str">
        <x:v>No penalty for data absence</x:v>
      </x:c>
      <x:c r="D24" s="21" t="str">
        <x:v>Civilian Effect Trustee</x:v>
      </x:c>
      <x:c r="E24" s="42" t="n">
        <x:v>0</x:v>
      </x:c>
      <x:c r="F24" s="21" t="str">
        <x:f>IF(E24=1,"ACCEPTED","SOURCE EMPTY / HOLD")</x:f>
        <x:v>SOURCE EMPTY / HOLD</x:v>
      </x:c>
      <x:c r="G24" s="1"/>
    </x:row>
    <x:row r="25">
      <x:c r="A25" s="21" t="str">
        <x:v>R12</x:v>
      </x:c>
      <x:c r="B25" s="21" t="str">
        <x:v>Data subject</x:v>
      </x:c>
      <x:c r="C25" s="21" t="str">
        <x:v>Operative copies deleted at expiry</x:v>
      </x:c>
      <x:c r="D25" s="21" t="str">
        <x:v>Data custodian</x:v>
      </x:c>
      <x:c r="E25" s="42" t="n">
        <x:v>0</x:v>
      </x:c>
      <x:c r="F25" s="21" t="str">
        <x:f>IF(E25=1,"ACCEPTED","SOURCE EMPTY / HOLD")</x:f>
        <x:v>SOURCE EMPTY / HOLD</x:v>
      </x:c>
      <x:c r="G25" s="1"/>
    </x:row>
    <x:row r="26">
      <x:c r="A26" s="21" t="str">
        <x:v>R13</x:v>
      </x:c>
      <x:c r="B26" s="21" t="str">
        <x:v>Affected person</x:v>
      </x:c>
      <x:c r="C26" s="21" t="str">
        <x:v>Accessible remedy</x:v>
      </x:c>
      <x:c r="D26" s="21" t="str">
        <x:v>Host remedy forum</x:v>
      </x:c>
      <x:c r="E26" s="42" t="n">
        <x:v>0</x:v>
      </x:c>
      <x:c r="F26" s="21" t="str">
        <x:f>IF(E26=1,"ACCEPTED","SOURCE EMPTY / HOLD")</x:f>
        <x:v>SOURCE EMPTY / HOLD</x:v>
      </x:c>
      <x:c r="G26" s="1"/>
    </x:row>
    <x:row r="27">
      <x:c r="A27" s="21" t="str">
        <x:v>R14</x:v>
      </x:c>
      <x:c r="B27" s="21" t="str">
        <x:v>Host public</x:v>
      </x:c>
      <x:c r="C27" s="21" t="str">
        <x:v>No policing, immigration, pricing or political reuse</x:v>
      </x:c>
      <x:c r="D27" s="21" t="str">
        <x:v>Public Protection Inspectorate</x:v>
      </x:c>
      <x:c r="E27" s="42" t="n">
        <x:v>0</x:v>
      </x:c>
      <x:c r="F27" s="21" t="str">
        <x:f>IF(E27=1,"ACCEPTED","SOURCE EMPTY / HOLD")</x:f>
        <x:v>SOURCE EMPTY / HOLD</x:v>
      </x:c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45" hidden="0" customWidth="1"/>
    <x:col min="3" max="3" width="33" hidden="0" customWidth="1"/>
    <x:col min="4" max="4" width="14" hidden="0" customWidth="1"/>
    <x:col min="5" max="5" width="18" hidden="0" customWidth="1"/>
    <x:col min="6" max="6" width="18" hidden="0" customWidth="1"/>
    <x:col min="7" max="7" width="42" hidden="0" customWidth="1"/>
    <x:col min="8" max="8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Campaign transition, transfer and exit</x:v>
      </x:c>
      <x:c r="B2" s="1"/>
      <x:c r="C2" s="1"/>
      <x:c r="D2" s="1"/>
      <x:c r="E2" s="1"/>
      <x:c r="F2" s="1"/>
      <x:c r="G2" s="1"/>
      <x:c r="H2" s="1"/>
    </x:row>
    <x:row r="3">
      <x:c r="A3" s="3" t="str">
        <x:v>Exit requires conjunctive service, sovereignty, rights, custody, finance, residual and regeneration closure.</x:v>
      </x:c>
      <x:c r="B3" s="3"/>
      <x:c r="C3" s="3"/>
      <x:c r="D3" s="3"/>
      <x:c r="E3" s="3"/>
      <x:c r="F3" s="3"/>
      <x:c r="G3" s="3"/>
      <x:c r="H3" s="3"/>
    </x:row>
    <x:row r="4">
      <x:c r="A4" s="4"/>
      <x:c r="B4" s="4"/>
      <x:c r="C4" s="4"/>
      <x:c r="D4" s="4"/>
      <x:c r="E4" s="4"/>
      <x:c r="F4" s="4"/>
      <x:c r="G4" s="4"/>
      <x:c r="H4" s="4"/>
    </x:row>
    <x:row r="5">
      <x:c r="A5" s="1"/>
      <x:c r="B5" s="1"/>
      <x:c r="C5" s="1"/>
      <x:c r="D5" s="1"/>
      <x:c r="E5" s="1"/>
      <x:c r="F5" s="1"/>
      <x:c r="G5" s="1"/>
      <x:c r="H5" s="1"/>
    </x:row>
    <x:row r="6" ht="30" customHeight="1">
      <x:c r="A6" s="9" t="str">
        <x:v>State</x:v>
      </x:c>
      <x:c r="B6" s="9" t="str">
        <x:v>Transition</x:v>
      </x:c>
      <x:c r="C6" s="9" t="str">
        <x:v>Required artifact</x:v>
      </x:c>
      <x:c r="D6" s="9" t="str">
        <x:v>Affirmative authority</x:v>
      </x:c>
      <x:c r="E6" s="9" t="str">
        <x:v>Stop or rollback</x:v>
      </x:c>
      <x:c r="F6" s="9" t="str">
        <x:v>U.S. custody</x:v>
      </x:c>
      <x:c r="G6" s="9" t="str">
        <x:v>Host control</x:v>
      </x:c>
      <x:c r="H6" s="9" t="str">
        <x:v>Credit</x:v>
      </x:c>
    </x:row>
    <x:row r="7">
      <x:c r="A7" s="19" t="str">
        <x:v>S01</x:v>
      </x:c>
      <x:c r="B7" s="19" t="str">
        <x:v>Standing compact</x:v>
      </x:c>
      <x:c r="C7" s="19" t="str">
        <x:v>Ratified compact</x:v>
      </x:c>
      <x:c r="D7" s="19" t="str">
        <x:v>Both sovereigns</x:v>
      </x:c>
      <x:c r="E7" s="19" t="str">
        <x:v>Suspend compact</x:v>
      </x:c>
      <x:c r="F7" s="19" t="str">
        <x:v>No issued serial</x:v>
      </x:c>
      <x:c r="G7" s="19" t="str">
        <x:v>Continuous civil control</x:v>
      </x:c>
      <x:c r="H7" s="19" t="str">
        <x:v>NONE</x:v>
      </x:c>
    </x:row>
    <x:row r="8">
      <x:c r="A8" s="21" t="str">
        <x:v>S02</x:v>
      </x:c>
      <x:c r="B8" s="21" t="str">
        <x:v>Authenticated request</x:v>
      </x:c>
      <x:c r="C8" s="21" t="str">
        <x:v>Sovereign request</x:v>
      </x:c>
      <x:c r="D8" s="21" t="str">
        <x:v>Host civil principal</x:v>
      </x:c>
      <x:c r="E8" s="21" t="str">
        <x:v>Withdraw request</x:v>
      </x:c>
      <x:c r="F8" s="21" t="str">
        <x:v>No issued serial</x:v>
      </x:c>
      <x:c r="G8" s="21" t="str">
        <x:v>Defines purpose</x:v>
      </x:c>
      <x:c r="H8" s="21" t="str">
        <x:v>NONE</x:v>
      </x:c>
    </x:row>
    <x:row r="9">
      <x:c r="A9" s="21" t="str">
        <x:v>S03</x:v>
      </x:c>
      <x:c r="B9" s="21" t="str">
        <x:v>Service vector compiled</x:v>
      </x:c>
      <x:c r="C9" s="21" t="str">
        <x:v>Public-service vector</x:v>
      </x:c>
      <x:c r="D9" s="21" t="str">
        <x:v>Bilateral cell</x:v>
      </x:c>
      <x:c r="E9" s="21" t="str">
        <x:v>Hold missing rights or denominator</x:v>
      </x:c>
      <x:c r="F9" s="21" t="str">
        <x:v>No issued serial</x:v>
      </x:c>
      <x:c r="G9" s="21" t="str">
        <x:v>Sets priorities</x:v>
      </x:c>
      <x:c r="H9" s="21" t="str">
        <x:v>NONE</x:v>
      </x:c>
    </x:row>
    <x:row r="10">
      <x:c r="A10" s="21" t="str">
        <x:v>S04</x:v>
      </x:c>
      <x:c r="B10" s="21" t="str">
        <x:v>U.S. acceptance</x:v>
      </x:c>
      <x:c r="C10" s="21" t="str">
        <x:v>Acceptance warrant</x:v>
      </x:c>
      <x:c r="D10" s="21" t="str">
        <x:v>U.S. civil authority</x:v>
      </x:c>
      <x:c r="E10" s="21" t="str">
        <x:v>Decline bounded claim</x:v>
      </x:c>
      <x:c r="F10" s="21" t="str">
        <x:v>Reserved serials</x:v>
      </x:c>
      <x:c r="G10" s="21" t="str">
        <x:v>Retains admission</x:v>
      </x:c>
      <x:c r="H10" s="21" t="str">
        <x:v>NONE</x:v>
      </x:c>
    </x:row>
    <x:row r="11">
      <x:c r="A11" s="21" t="str">
        <x:v>S05</x:v>
      </x:c>
      <x:c r="B11" s="21" t="str">
        <x:v>Campaign reservation</x:v>
      </x:c>
      <x:c r="C11" s="21" t="str">
        <x:v>Complete family claim</x:v>
      </x:c>
      <x:c r="D11" s="21" t="str">
        <x:v>NMAC</x:v>
      </x:c>
      <x:c r="E11" s="21" t="str">
        <x:v>Hold deficit or collision</x:v>
      </x:c>
      <x:c r="F11" s="21" t="str">
        <x:v>Dual-key issue</x:v>
      </x:c>
      <x:c r="G11" s="21" t="str">
        <x:v>Retains stop</x:v>
      </x:c>
      <x:c r="H11" s="21" t="str">
        <x:v>NONE</x:v>
      </x:c>
    </x:row>
    <x:row r="12">
      <x:c r="A12" s="21" t="str">
        <x:v>S06</x:v>
      </x:c>
      <x:c r="B12" s="21" t="str">
        <x:v>Bridge service</x:v>
      </x:c>
      <x:c r="C12" s="21" t="str">
        <x:v>Bridge effect records</x:v>
      </x:c>
      <x:c r="D12" s="21" t="str">
        <x:v>Host receiver authority</x:v>
      </x:c>
      <x:c r="E12" s="21" t="str">
        <x:v>Safe, reroute or suspend</x:v>
      </x:c>
      <x:c r="F12" s="21" t="str">
        <x:v>Committed</x:v>
      </x:c>
      <x:c r="G12" s="21" t="str">
        <x:v>Operates bridge</x:v>
      </x:c>
      <x:c r="H12" s="21" t="str">
        <x:v>MEASURED ONLY</x:v>
      </x:c>
    </x:row>
    <x:row r="13">
      <x:c r="A13" s="21" t="str">
        <x:v>S07</x:v>
      </x:c>
      <x:c r="B13" s="21" t="str">
        <x:v>Full employment</x:v>
      </x:c>
      <x:c r="C13" s="21" t="str">
        <x:v>Mission warrants</x:v>
      </x:c>
      <x:c r="D13" s="21" t="str">
        <x:v>Operational command</x:v>
      </x:c>
      <x:c r="E13" s="21" t="str">
        <x:v>Technical or rights stop</x:v>
      </x:c>
      <x:c r="F13" s="21" t="str">
        <x:v>Committed</x:v>
      </x:c>
      <x:c r="G13" s="21" t="str">
        <x:v>Owns civil purpose</x:v>
      </x:c>
      <x:c r="H13" s="21" t="str">
        <x:v>MEASURED ONLY</x:v>
      </x:c>
    </x:row>
    <x:row r="14">
      <x:c r="A14" s="21" t="str">
        <x:v>S08</x:v>
      </x:c>
      <x:c r="B14" s="21" t="str">
        <x:v>Effect acceptance</x:v>
      </x:c>
      <x:c r="C14" s="21" t="str">
        <x:v>Effect and rights docket</x:v>
      </x:c>
      <x:c r="D14" s="21" t="str">
        <x:v>Civilian Effect Trustee</x:v>
      </x:c>
      <x:c r="E14" s="21" t="str">
        <x:v>Redesign or remedy</x:v>
      </x:c>
      <x:c r="F14" s="21" t="str">
        <x:v>Committed</x:v>
      </x:c>
      <x:c r="G14" s="21" t="str">
        <x:v>Accepts effect</x:v>
      </x:c>
      <x:c r="H14" s="21" t="str">
        <x:v>ELIGIBLE</x:v>
      </x:c>
    </x:row>
    <x:row r="15">
      <x:c r="A15" s="21" t="str">
        <x:v>S09</x:v>
      </x:c>
      <x:c r="B15" s="21" t="str">
        <x:v>Transfer acceptance</x:v>
      </x:c>
      <x:c r="C15" s="21" t="str">
        <x:v>Transfer docket</x:v>
      </x:c>
      <x:c r="D15" s="21" t="str">
        <x:v>Host transfer authority</x:v>
      </x:c>
      <x:c r="E15" s="21" t="str">
        <x:v>Stage or refuse transfer</x:v>
      </x:c>
      <x:c r="F15" s="21" t="str">
        <x:v>Declining by item</x:v>
      </x:c>
      <x:c r="G15" s="21" t="str">
        <x:v>Owns accepted system</x:v>
      </x:c>
      <x:c r="H15" s="21" t="str">
        <x:v>ELIGIBLE</x:v>
      </x:c>
    </x:row>
    <x:row r="16">
      <x:c r="A16" s="21" t="str">
        <x:v>S10</x:v>
      </x:c>
      <x:c r="B16" s="21" t="str">
        <x:v>Bilateral release</x:v>
      </x:c>
      <x:c r="C16" s="21" t="str">
        <x:v>Exit warrant</x:v>
      </x:c>
      <x:c r="D16" s="21" t="str">
        <x:v>Both sovereigns</x:v>
      </x:c>
      <x:c r="E16" s="21" t="str">
        <x:v>Keep gates open</x:v>
      </x:c>
      <x:c r="F16" s="21" t="str">
        <x:v>Released to regeneration</x:v>
      </x:c>
      <x:c r="G16" s="21" t="str">
        <x:v>Accepts closure</x:v>
      </x:c>
      <x:c r="H16" s="21" t="str">
        <x:v>ELIGIBLE</x:v>
      </x:c>
    </x:row>
    <x:row r="17">
      <x:c r="A17" s="21" t="str">
        <x:v>S11</x:v>
      </x:c>
      <x:c r="B17" s="21" t="str">
        <x:v>Regenerated</x:v>
      </x:c>
      <x:c r="C17" s="21" t="str">
        <x:v>Requalification warrant</x:v>
      </x:c>
      <x:c r="D17" s="21" t="str">
        <x:v>Joint Capacity Authority</x:v>
      </x:c>
      <x:c r="E17" s="21" t="str">
        <x:v>Hold or retire serial</x:v>
      </x:c>
      <x:c r="F17" s="21" t="str">
        <x:v>Returned or retired</x:v>
      </x:c>
      <x:c r="G17" s="21" t="str">
        <x:v>Independent continuity</x:v>
      </x:c>
      <x:c r="H17" s="21" t="str">
        <x:v>HISTORICAL</x:v>
      </x:c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 ht="30" customHeight="1">
      <x:c r="A21" s="9" t="str">
        <x:v>Exit gate</x:v>
      </x:c>
      <x:c r="B21" s="9" t="str">
        <x:v>Requirement</x:v>
      </x:c>
      <x:c r="C21" s="9" t="str">
        <x:v>Evidence owner</x:v>
      </x:c>
      <x:c r="D21" s="9" t="str">
        <x:v>Input state</x:v>
      </x:c>
      <x:c r="E21" s="9" t="str">
        <x:v>Calculated state</x:v>
      </x:c>
      <x:c r="F21" s="9" t="str">
        <x:v>Noncompensatory</x:v>
      </x:c>
      <x:c r="G21" s="9" t="str">
        <x:v>Failure action</x:v>
      </x:c>
      <x:c r="H21" s="1"/>
    </x:row>
    <x:row r="22">
      <x:c r="A22" s="19" t="str">
        <x:v>X01</x:v>
      </x:c>
      <x:c r="B22" s="19" t="str">
        <x:v>Complete contracted effects accepted</x:v>
      </x:c>
      <x:c r="C22" s="19" t="str">
        <x:v>Civilian Effect Trustee</x:v>
      </x:c>
      <x:c r="D22" s="41" t="n">
        <x:v>0</x:v>
      </x:c>
      <x:c r="E22" s="19" t="str">
        <x:f>IF(D22=1,"CLOSED","OPEN")</x:f>
        <x:v>OPEN</x:v>
      </x:c>
      <x:c r="F22" s="19" t="n">
        <x:v>1</x:v>
      </x:c>
      <x:c r="G22" s="19" t="str">
        <x:v>Continue service or publish unmet effect</x:v>
      </x:c>
      <x:c r="H22" s="1"/>
    </x:row>
    <x:row r="23">
      <x:c r="A23" s="21" t="str">
        <x:v>X02</x:v>
      </x:c>
      <x:c r="B23" s="21" t="str">
        <x:v>Rights, distribution and remedy closed</x:v>
      </x:c>
      <x:c r="C23" s="21" t="str">
        <x:v>Rights and Scarcity Tribunal</x:v>
      </x:c>
      <x:c r="D23" s="42" t="n">
        <x:v>0</x:v>
      </x:c>
      <x:c r="E23" s="21" t="str">
        <x:f>IF(D23=1,"CLOSED","OPEN")</x:f>
        <x:v>OPEN</x:v>
      </x:c>
      <x:c r="F23" s="21" t="n">
        <x:v>1</x:v>
      </x:c>
      <x:c r="G23" s="21" t="str">
        <x:v>Remedy before exit credit</x:v>
      </x:c>
      <x:c r="H23" s="1"/>
    </x:row>
    <x:row r="24">
      <x:c r="A24" s="21" t="str">
        <x:v>X03</x:v>
      </x:c>
      <x:c r="B24" s="21" t="str">
        <x:v>Host operating authority and transfer accepted</x:v>
      </x:c>
      <x:c r="C24" s="21" t="str">
        <x:v>Host transfer authority</x:v>
      </x:c>
      <x:c r="D24" s="42" t="n">
        <x:v>0</x:v>
      </x:c>
      <x:c r="E24" s="21" t="str">
        <x:f>IF(D24=1,"CLOSED","OPEN")</x:f>
        <x:v>OPEN</x:v>
      </x:c>
      <x:c r="F24" s="21" t="n">
        <x:v>1</x:v>
      </x:c>
      <x:c r="G24" s="21" t="str">
        <x:v>Stage, redesign or retain U.S. custody</x:v>
      </x:c>
      <x:c r="H24" s="1"/>
    </x:row>
    <x:row r="25">
      <x:c r="A25" s="21" t="str">
        <x:v>X04</x:v>
      </x:c>
      <x:c r="B25" s="21" t="str">
        <x:v>Workforce trained and independently assessed</x:v>
      </x:c>
      <x:c r="C25" s="21" t="str">
        <x:v>Host academy</x:v>
      </x:c>
      <x:c r="D25" s="42" t="n">
        <x:v>0</x:v>
      </x:c>
      <x:c r="E25" s="21" t="str">
        <x:f>IF(D25=1,"CLOSED","OPEN")</x:f>
        <x:v>OPEN</x:v>
      </x:c>
      <x:c r="F25" s="21" t="n">
        <x:v>1</x:v>
      </x:c>
      <x:c r="G25" s="21" t="str">
        <x:v>Continue training without dependency claim</x:v>
      </x:c>
      <x:c r="H25" s="1"/>
    </x:row>
    <x:row r="26">
      <x:c r="A26" s="21" t="str">
        <x:v>X05</x:v>
      </x:c>
      <x:c r="B26" s="21" t="str">
        <x:v>Spares, maintenance and configuration support funded</x:v>
      </x:c>
      <x:c r="C26" s="21" t="str">
        <x:v>Partner productive authority</x:v>
      </x:c>
      <x:c r="D26" s="42" t="n">
        <x:v>0</x:v>
      </x:c>
      <x:c r="E26" s="21" t="str">
        <x:f>IF(D26=1,"CLOSED","OPEN")</x:f>
        <x:v>OPEN</x:v>
      </x:c>
      <x:c r="F26" s="21" t="n">
        <x:v>1</x:v>
      </x:c>
      <x:c r="G26" s="21" t="str">
        <x:v>Fund or narrow transfer scope</x:v>
      </x:c>
      <x:c r="H26" s="1"/>
    </x:row>
    <x:row r="27">
      <x:c r="A27" s="21" t="str">
        <x:v>X06</x:v>
      </x:c>
      <x:c r="B27" s="21" t="str">
        <x:v>Data returned, minimized, expired or lawfully archived</x:v>
      </x:c>
      <x:c r="C27" s="21" t="str">
        <x:v>Data custodian</x:v>
      </x:c>
      <x:c r="D27" s="42" t="n">
        <x:v>0</x:v>
      </x:c>
      <x:c r="E27" s="21" t="str">
        <x:f>IF(D27=1,"CLOSED","OPEN")</x:f>
        <x:v>OPEN</x:v>
      </x:c>
      <x:c r="F27" s="21" t="n">
        <x:v>1</x:v>
      </x:c>
      <x:c r="G27" s="21" t="str">
        <x:v>Delete, return or seal before release</x:v>
      </x:c>
      <x:c r="H27" s="1"/>
    </x:row>
    <x:row r="28">
      <x:c r="A28" s="21" t="str">
        <x:v>X07</x:v>
      </x:c>
      <x:c r="B28" s="21" t="str">
        <x:v>Title, marginal cost and finance settlement published</x:v>
      </x:c>
      <x:c r="C28" s="21" t="str">
        <x:v>Public finance trustee</x:v>
      </x:c>
      <x:c r="D28" s="42" t="n">
        <x:v>0</x:v>
      </x:c>
      <x:c r="E28" s="21" t="str">
        <x:f>IF(D28=1,"CLOSED","OPEN")</x:f>
        <x:v>OPEN</x:v>
      </x:c>
      <x:c r="F28" s="21" t="n">
        <x:v>1</x:v>
      </x:c>
      <x:c r="G28" s="21" t="str">
        <x:v>Disclose; no debt leverage on life safety</x:v>
      </x:c>
      <x:c r="H28" s="1"/>
    </x:row>
    <x:row r="29">
      <x:c r="A29" s="21" t="str">
        <x:v>X08</x:v>
      </x:c>
      <x:c r="B29" s="21" t="str">
        <x:v>Residuals, environmental liability and end-of-life path closed</x:v>
      </x:c>
      <x:c r="C29" s="21" t="str">
        <x:v>Residual authority</x:v>
      </x:c>
      <x:c r="D29" s="42" t="n">
        <x:v>0</x:v>
      </x:c>
      <x:c r="E29" s="21" t="str">
        <x:f>IF(D29=1,"CLOSED","OPEN")</x:f>
        <x:v>OPEN</x:v>
      </x:c>
      <x:c r="F29" s="21" t="n">
        <x:v>1</x:v>
      </x:c>
      <x:c r="G29" s="21" t="str">
        <x:v>Recover, transfer or fund lawful custody</x:v>
      </x:c>
      <x:c r="H29" s="1"/>
    </x:row>
    <x:row r="30">
      <x:c r="A30" s="21" t="str">
        <x:v>X09</x:v>
      </x:c>
      <x:c r="B30" s="21" t="str">
        <x:v>U.S. serials released and regeneration path accepted</x:v>
      </x:c>
      <x:c r="C30" s="21" t="str">
        <x:v>International Custody Chamber</x:v>
      </x:c>
      <x:c r="D30" s="42" t="n">
        <x:v>0</x:v>
      </x:c>
      <x:c r="E30" s="21" t="str">
        <x:f>IF(D30=1,"CLOSED","OPEN")</x:f>
        <x:v>OPEN</x:v>
      </x:c>
      <x:c r="F30" s="21" t="n">
        <x:v>1</x:v>
      </x:c>
      <x:c r="G30" s="21" t="str">
        <x:v>Keep non-recall custody open</x:v>
      </x:c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4" hidden="0" customWidth="1"/>
    <x:col min="5" max="5" width="14" hidden="0" customWidth="1"/>
    <x:col min="6" max="6" width="52" hidden="0" customWidth="1"/>
    <x:col min="7" max="7" width="4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Publication gate change</x:v>
      </x:c>
      <x:c r="B2" s="1"/>
      <x:c r="C2" s="1"/>
      <x:c r="D2" s="1"/>
      <x:c r="E2" s="1"/>
      <x:c r="F2" s="1"/>
      <x:c r="G2" s="1"/>
    </x:row>
    <x:row r="3">
      <x:c r="A3" s="3" t="str">
        <x:v>Pass 248 closes two reader assets without creating publication or rendering authority.</x:v>
      </x:c>
      <x:c r="B3" s="3"/>
      <x:c r="C3" s="3"/>
      <x:c r="D3" s="3"/>
      <x:c r="E3" s="3"/>
      <x:c r="F3" s="3"/>
      <x:c r="G3" s="3"/>
    </x:row>
    <x:row r="4">
      <x:c r="A4" s="4"/>
      <x:c r="B4" s="4"/>
      <x:c r="C4" s="4"/>
      <x:c r="D4" s="4"/>
      <x:c r="E4" s="4"/>
      <x:c r="F4" s="4"/>
      <x:c r="G4" s="4"/>
    </x:row>
    <x:row r="5">
      <x:c r="A5" s="1"/>
      <x:c r="B5" s="1"/>
      <x:c r="C5" s="1"/>
      <x:c r="D5" s="1"/>
      <x:c r="E5" s="1"/>
      <x:c r="F5" s="1"/>
      <x:c r="G5" s="1"/>
    </x:row>
    <x:row r="6" ht="30" customHeight="1">
      <x:c r="A6" s="9" t="str">
        <x:v>Gate</x:v>
      </x:c>
      <x:c r="B6" s="9" t="str">
        <x:v>Chapter</x:v>
      </x:c>
      <x:c r="C6" s="9" t="str">
        <x:v>Gate class</x:v>
      </x:c>
      <x:c r="D6" s="9" t="str">
        <x:v>Prior</x:v>
      </x:c>
      <x:c r="E6" s="9" t="str">
        <x:v>Current</x:v>
      </x:c>
      <x:c r="F6" s="9" t="str">
        <x:v>Closure basis</x:v>
      </x:c>
      <x:c r="G6" s="9" t="str">
        <x:v>Authority limit</x:v>
      </x:c>
    </x:row>
    <x:row r="7">
      <x:c r="A7" s="19" t="str">
        <x:v>CH06-G5</x:v>
      </x:c>
      <x:c r="B7" s="19" t="str">
        <x:v>International projection and partnership</x:v>
      </x:c>
      <x:c r="C7" s="19" t="str">
        <x:v>Reader asset</x:v>
      </x:c>
      <x:c r="D7" s="19" t="str">
        <x:v>OPEN</x:v>
      </x:c>
      <x:c r="E7" s="19" t="str">
        <x:v>CLOSED</x:v>
      </x:c>
      <x:c r="F7" s="19" t="str">
        <x:v>Joins invitation, authority, service, non-recall, finance, partner industry, data, transfer and exit.</x:v>
      </x:c>
      <x:c r="G7" s="19" t="str">
        <x:v>No treaty, partner or campaign is commissioned</x:v>
      </x:c>
    </x:row>
    <x:row r="8">
      <x:c r="A8" s="21" t="str">
        <x:v>CH10-G5</x:v>
      </x:c>
      <x:c r="B8" s="21" t="str">
        <x:v>Industrial economy and market design</x:v>
      </x:c>
      <x:c r="C8" s="21" t="str">
        <x:v>Reader asset</x:v>
      </x:c>
      <x:c r="D8" s="21" t="str">
        <x:v>OPEN</x:v>
      </x:c>
      <x:c r="E8" s="21" t="str">
        <x:v>CLOSED</x:v>
      </x:c>
      <x:c r="F8" s="21" t="str">
        <x:v>Separates partner production, export, transfer and market activity from domestic readiness.</x:v>
      </x:c>
      <x:c r="G8" s="21" t="str">
        <x:v>No export forecast or production authority</x:v>
      </x:c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 ht="30" customHeight="1">
      <x:c r="A11" s="9" t="str">
        <x:v>Metric</x:v>
      </x:c>
      <x:c r="B11" s="9" t="str">
        <x:v>Value</x:v>
      </x:c>
      <x:c r="C11" s="1"/>
      <x:c r="D11" s="1"/>
      <x:c r="E11" s="1"/>
      <x:c r="F11" s="1"/>
      <x:c r="G11" s="1"/>
    </x:row>
    <x:row r="12">
      <x:c r="A12" s="19" t="str">
        <x:v>Prior closed</x:v>
      </x:c>
      <x:c r="B12" s="19" t="n">
        <x:v>57</x:v>
      </x:c>
      <x:c r="C12" s="1"/>
      <x:c r="D12" s="1"/>
      <x:c r="E12" s="1"/>
      <x:c r="F12" s="1"/>
      <x:c r="G12" s="1"/>
    </x:row>
    <x:row r="13">
      <x:c r="A13" s="21" t="str">
        <x:v>Closed this pass</x:v>
      </x:c>
      <x:c r="B13" s="21" t="n">
        <x:v>2</x:v>
      </x:c>
      <x:c r="C13" s="1"/>
      <x:c r="D13" s="1"/>
      <x:c r="E13" s="1"/>
      <x:c r="F13" s="1"/>
      <x:c r="G13" s="1"/>
    </x:row>
    <x:row r="14">
      <x:c r="A14" s="21" t="str">
        <x:v>Current closed</x:v>
      </x:c>
      <x:c r="B14" s="21" t="n">
        <x:f>SUM(B12:B13)</x:f>
        <x:v>59</x:v>
      </x:c>
      <x:c r="C14" s="1"/>
      <x:c r="D14" s="1"/>
      <x:c r="E14" s="1"/>
      <x:c r="F14" s="1"/>
      <x:c r="G14" s="1"/>
    </x:row>
    <x:row r="15">
      <x:c r="A15" s="21" t="str">
        <x:v>Editorial completion</x:v>
      </x:c>
      <x:c r="B15" s="29" t="n">
        <x:f>B14/70</x:f>
        <x:v>0.8428571428571429</x:v>
      </x:c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  <x:row r="21">
      <x:c r="A21" s="1"/>
      <x:c r="B21" s="1"/>
      <x:c r="C21" s="1"/>
      <x:c r="D21" s="1"/>
      <x:c r="E21" s="1"/>
      <x:c r="F21" s="1"/>
      <x:c r="G21" s="1"/>
    </x:row>
    <x:row r="22">
      <x:c r="A22" s="1"/>
      <x:c r="B22" s="1"/>
      <x:c r="C22" s="1"/>
      <x:c r="D22" s="1"/>
      <x:c r="E22" s="1"/>
      <x:c r="F22" s="1"/>
      <x:c r="G22" s="1"/>
    </x:row>
    <x:row r="23">
      <x:c r="A23" s="1"/>
      <x:c r="B23" s="1"/>
      <x:c r="C23" s="1"/>
      <x:c r="D23" s="1"/>
      <x:c r="E23" s="1"/>
      <x:c r="F23" s="1"/>
      <x:c r="G23" s="1"/>
    </x:row>
    <x:row r="24">
      <x:c r="A24" s="1"/>
      <x:c r="B24" s="1"/>
      <x:c r="C24" s="1"/>
      <x:c r="D24" s="1"/>
      <x:c r="E24" s="1"/>
      <x:c r="F24" s="1"/>
      <x:c r="G24" s="1"/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16" hidden="0" customWidth="1"/>
    <x:col min="5" max="5" width="45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Controlling inputs</x:v>
      </x:c>
      <x:c r="B2" s="1"/>
      <x:c r="C2" s="1"/>
      <x:c r="D2" s="1"/>
      <x:c r="E2" s="1"/>
    </x:row>
    <x:row r="3">
      <x:c r="A3" s="3" t="str">
        <x:v>Internal planning quantities; formulas preserve unlike denominators.</x:v>
      </x:c>
      <x:c r="B3" s="3"/>
      <x:c r="C3" s="3"/>
      <x:c r="D3" s="3"/>
      <x:c r="E3" s="3"/>
    </x:row>
    <x:row r="4">
      <x:c r="A4" s="4"/>
      <x:c r="B4" s="4"/>
      <x:c r="C4" s="4"/>
      <x:c r="D4" s="4"/>
      <x:c r="E4" s="4"/>
    </x:row>
    <x:row r="5">
      <x:c r="A5" s="1"/>
      <x:c r="B5" s="1"/>
      <x:c r="C5" s="1"/>
      <x:c r="D5" s="1"/>
      <x:c r="E5" s="1"/>
    </x:row>
    <x:row r="6" ht="30" customHeight="1">
      <x:c r="A6" s="9" t="str">
        <x:v>Input</x:v>
      </x:c>
      <x:c r="B6" s="9" t="str">
        <x:v>Value</x:v>
      </x:c>
      <x:c r="C6" s="9" t="str">
        <x:v>Unit</x:v>
      </x:c>
      <x:c r="D6" s="9" t="str">
        <x:v>Authority</x:v>
      </x:c>
      <x:c r="E6" s="9" t="str">
        <x:v>Interpretive limit</x:v>
      </x:c>
    </x:row>
    <x:row r="7">
      <x:c r="A7" s="19" t="str">
        <x:v>Design campaigns</x:v>
      </x:c>
      <x:c r="B7" s="20" t="n">
        <x:v>2</x:v>
      </x:c>
      <x:c r="C7" s="19" t="str">
        <x:v>campaigns</x:v>
      </x:c>
      <x:c r="D7" s="19" t="str">
        <x:v>SPC-1</x:v>
      </x:c>
      <x:c r="E7" s="19" t="str">
        <x:v>Strategic load cases; not forecasts</x:v>
      </x:c>
    </x:row>
    <x:row r="8">
      <x:c r="A8" s="21" t="str">
        <x:v>Indo-Pacific commitments</x:v>
      </x:c>
      <x:c r="B8" s="22" t="n">
        <x:v>334</x:v>
      </x:c>
      <x:c r="C8" s="21" t="str">
        <x:v>formation equivalents</x:v>
      </x:c>
      <x:c r="D8" s="21" t="str">
        <x:v>SPC-2</x:v>
      </x:c>
      <x:c r="E8" s="21" t="str">
        <x:v>One invited design campaign</x:v>
      </x:c>
    </x:row>
    <x:row r="9">
      <x:c r="A9" s="21" t="str">
        <x:v>Atlantic/Americas commitments</x:v>
      </x:c>
      <x:c r="B9" s="22" t="n">
        <x:v>341</x:v>
      </x:c>
      <x:c r="C9" s="21" t="str">
        <x:v>formation equivalents</x:v>
      </x:c>
      <x:c r="D9" s="21" t="str">
        <x:v>SPC-2</x:v>
      </x:c>
      <x:c r="E9" s="21" t="str">
        <x:v>One invited design campaign</x:v>
      </x:c>
    </x:row>
    <x:row r="10">
      <x:c r="A10" s="21" t="str">
        <x:v>Invited commitments</x:v>
      </x:c>
      <x:c r="B10" s="22" t="n">
        <x:f>SUM(B8:B9)</x:f>
        <x:v>675</x:v>
      </x:c>
      <x:c r="C10" s="21" t="str">
        <x:v>formation equivalents</x:v>
      </x:c>
      <x:c r="D10" s="21" t="str">
        <x:v>SYN-2</x:v>
      </x:c>
      <x:c r="E10" s="21" t="str">
        <x:v>Sum of invited campaigns</x:v>
      </x:c>
    </x:row>
    <x:row r="11">
      <x:c r="A11" s="21" t="str">
        <x:v>Domestic commitments</x:v>
      </x:c>
      <x:c r="B11" s="22" t="n">
        <x:v>1745</x:v>
      </x:c>
      <x:c r="C11" s="21" t="str">
        <x:v>formation equivalents</x:v>
      </x:c>
      <x:c r="D11" s="21" t="str">
        <x:v>NIFS-1</x:v>
      </x:c>
      <x:c r="E11" s="21" t="str">
        <x:v>Eight domestic campaign claims</x:v>
      </x:c>
    </x:row>
    <x:row r="12">
      <x:c r="A12" s="21" t="str">
        <x:v>Concurrent commitments</x:v>
      </x:c>
      <x:c r="B12" s="22" t="n">
        <x:f>SUM(B10:B11)</x:f>
        <x:v>2420</x:v>
      </x:c>
      <x:c r="C12" s="21" t="str">
        <x:v>formation equivalents</x:v>
      </x:c>
      <x:c r="D12" s="21" t="str">
        <x:v>NIFS-1</x:v>
      </x:c>
      <x:c r="E12" s="21" t="str">
        <x:v>Domestic plus invited</x:v>
      </x:c>
    </x:row>
    <x:row r="13">
      <x:c r="A13" s="21" t="str">
        <x:v>Protected reserve</x:v>
      </x:c>
      <x:c r="B13" s="22" t="n">
        <x:v>502</x:v>
      </x:c>
      <x:c r="C13" s="21" t="str">
        <x:v>formation equivalents</x:v>
      </x:c>
      <x:c r="D13" s="21" t="str">
        <x:v>NIFS-1</x:v>
      </x:c>
      <x:c r="E13" s="21" t="str">
        <x:v>Not assigned abroad</x:v>
      </x:c>
    </x:row>
    <x:row r="14">
      <x:c r="A14" s="21" t="str">
        <x:v>Geographic buffer</x:v>
      </x:c>
      <x:c r="B14" s="22" t="n">
        <x:v>745</x:v>
      </x:c>
      <x:c r="C14" s="21" t="str">
        <x:v>formation equivalents</x:v>
      </x:c>
      <x:c r="D14" s="21" t="str">
        <x:v>NIFS-1</x:v>
      </x:c>
      <x:c r="E14" s="21" t="str">
        <x:v>N−1 force-generation stock</x:v>
      </x:c>
    </x:row>
    <x:row r="15">
      <x:c r="A15" s="21" t="str">
        <x:v>Cycle stock</x:v>
      </x:c>
      <x:c r="B15" s="22" t="n">
        <x:v>1584</x:v>
      </x:c>
      <x:c r="C15" s="21" t="str">
        <x:v>formation equivalents</x:v>
      </x:c>
      <x:c r="D15" s="21" t="str">
        <x:v>NIFS-1</x:v>
      </x:c>
      <x:c r="E15" s="21" t="str">
        <x:v>Not ready while regenerating</x:v>
      </x:c>
    </x:row>
    <x:row r="16">
      <x:c r="A16" s="21" t="str">
        <x:v>Ready inventory</x:v>
      </x:c>
      <x:c r="B16" s="22" t="n">
        <x:f>SUM(B12:B14)</x:f>
        <x:v>3667</x:v>
      </x:c>
      <x:c r="C16" s="21" t="str">
        <x:v>formation equivalents</x:v>
      </x:c>
      <x:c r="D16" s="21" t="str">
        <x:v>SYN-2</x:v>
      </x:c>
      <x:c r="E16" s="21" t="str">
        <x:v>Commitments plus reserve plus buffer</x:v>
      </x:c>
    </x:row>
    <x:row r="17">
      <x:c r="A17" s="21" t="str">
        <x:v>Owned inventory</x:v>
      </x:c>
      <x:c r="B17" s="22" t="n">
        <x:f>SUM(B12:B15)</x:f>
        <x:v>5251</x:v>
      </x:c>
      <x:c r="C17" s="21" t="str">
        <x:v>formation equivalents</x:v>
      </x:c>
      <x:c r="D17" s="21" t="str">
        <x:v>SYN-2</x:v>
      </x:c>
      <x:c r="E17" s="21" t="str">
        <x:v>Ready inventory plus cycle stock</x:v>
      </x:c>
    </x:row>
    <x:row r="18">
      <x:c r="A18" s="21" t="str">
        <x:v>Corridors per invited serial</x:v>
      </x:c>
      <x:c r="B18" s="22" t="n">
        <x:v>2</x:v>
      </x:c>
      <x:c r="C18" s="21" t="str">
        <x:v>claims per commitment</x:v>
      </x:c>
      <x:c r="D18" s="21" t="str">
        <x:v>SPC-3</x:v>
      </x:c>
      <x:c r="E18" s="21" t="str">
        <x:v>Primary plus unlike alternate</x:v>
      </x:c>
    </x:row>
    <x:row r="19">
      <x:c r="A19" s="21" t="str">
        <x:v>Corridor claims</x:v>
      </x:c>
      <x:c r="B19" s="22" t="n">
        <x:f>B10*B18</x:f>
        <x:v>1350</x:v>
      </x:c>
      <x:c r="C19" s="21" t="str">
        <x:v>corridor claims</x:v>
      </x:c>
      <x:c r="D19" s="21" t="str">
        <x:v>SPC-3</x:v>
      </x:c>
      <x:c r="E19" s="21" t="str">
        <x:v>Not campaigns or formations</x:v>
      </x:c>
    </x:row>
    <x:row r="20">
      <x:c r="A20" s="21" t="str">
        <x:v>Segments per corridor</x:v>
      </x:c>
      <x:c r="B20" s="22" t="n">
        <x:v>7</x:v>
      </x:c>
      <x:c r="C20" s="21" t="str">
        <x:v>governed segments</x:v>
      </x:c>
      <x:c r="D20" s="21" t="str">
        <x:v>SPC-3</x:v>
      </x:c>
      <x:c r="E20" s="21" t="str">
        <x:v>Origin through reverse/reset</x:v>
      </x:c>
    </x:row>
    <x:row r="21">
      <x:c r="A21" s="21" t="str">
        <x:v>Segment reservations</x:v>
      </x:c>
      <x:c r="B21" s="22" t="n">
        <x:f>B19*B20</x:f>
        <x:v>9450</x:v>
      </x:c>
      <x:c r="C21" s="21" t="str">
        <x:v>segment reservations</x:v>
      </x:c>
      <x:c r="D21" s="21" t="str">
        <x:v>SPC-3</x:v>
      </x:c>
      <x:c r="E21" s="21" t="str">
        <x:v>Corridors times segments</x:v>
      </x:c>
    </x:row>
    <x:row r="22">
      <x:c r="A22" s="21" t="str">
        <x:v>International reach networks</x:v>
      </x:c>
      <x:c r="B22" s="22" t="n">
        <x:v>2</x:v>
      </x:c>
      <x:c r="C22" s="21" t="str">
        <x:v>networks</x:v>
      </x:c>
      <x:c r="D22" s="21" t="str">
        <x:v>SPC-2</x:v>
      </x:c>
      <x:c r="E22" s="21" t="str">
        <x:v>No U.S. garrison</x:v>
      </x:c>
    </x:row>
    <x:row r="23">
      <x:c r="A23" s="21" t="str">
        <x:v>Sovereign receiver districts</x:v>
      </x:c>
      <x:c r="B23" s="22" t="n">
        <x:v>12</x:v>
      </x:c>
      <x:c r="C23" s="21" t="str">
        <x:v>districts</x:v>
      </x:c>
      <x:c r="D23" s="21" t="str">
        <x:v>SPC-2</x:v>
      </x:c>
      <x:c r="E23" s="21" t="str">
        <x:v>Host governed</x:v>
      </x:c>
    </x:row>
    <x:row r="24">
      <x:c r="A24" s="21" t="str">
        <x:v>Unlike access precincts</x:v>
      </x:c>
      <x:c r="B24" s="22" t="n">
        <x:v>36</x:v>
      </x:c>
      <x:c r="C24" s="21" t="str">
        <x:v>precincts</x:v>
      </x:c>
      <x:c r="D24" s="21" t="str">
        <x:v>SPC-2</x:v>
      </x:c>
      <x:c r="E24" s="21" t="str">
        <x:v>Three lineages per district</x:v>
      </x:c>
    </x:row>
    <x:row r="25">
      <x:c r="A25" s="21" t="str">
        <x:v>Family reception slots</x:v>
      </x:c>
      <x:c r="B25" s="22" t="n">
        <x:v>842</x:v>
      </x:c>
      <x:c r="C25" s="21" t="str">
        <x:v>slots</x:v>
      </x:c>
      <x:c r="D25" s="21" t="str">
        <x:v>SPC-2</x:v>
      </x:c>
      <x:c r="E25" s="21" t="str">
        <x:v>Family-specific N−1 capacity</x:v>
      </x:c>
    </x:row>
    <x:row r="26">
      <x:c r="A26" s="21" t="str">
        <x:v>Partner production roots</x:v>
      </x:c>
      <x:c r="B26" s="22" t="n">
        <x:v>192</x:v>
      </x:c>
      <x:c r="C26" s="21" t="str">
        <x:v>roots</x:v>
      </x:c>
      <x:c r="D26" s="21" t="str">
        <x:v>SPC-2</x:v>
      </x:c>
      <x:c r="E26" s="21" t="str">
        <x:v>No U.S. readiness credit</x:v>
      </x:c>
    </x:row>
    <x:row r="27">
      <x:c r="A27" s="21" t="str">
        <x:v>Public assurance cells</x:v>
      </x:c>
      <x:c r="B27" s="22" t="n">
        <x:v>96</x:v>
      </x:c>
      <x:c r="C27" s="21" t="str">
        <x:v>cells</x:v>
      </x:c>
      <x:c r="D27" s="21" t="str">
        <x:v>SPC-2</x:v>
      </x:c>
      <x:c r="E27" s="21" t="str">
        <x:v>Family-network obligations</x:v>
      </x:c>
    </x:row>
    <x:row r="28">
      <x:c r="A28" s="21" t="str">
        <x:v>Training and transfer academies</x:v>
      </x:c>
      <x:c r="B28" s="22" t="n">
        <x:v>12</x:v>
      </x:c>
      <x:c r="C28" s="21" t="str">
        <x:v>academies</x:v>
      </x:c>
      <x:c r="D28" s="21" t="str">
        <x:v>SPC-2</x:v>
      </x:c>
      <x:c r="E28" s="21" t="str">
        <x:v>One per district</x:v>
      </x:c>
    </x:row>
    <x:row r="29">
      <x:c r="A29" s="21" t="str">
        <x:v>Bridge duration</x:v>
      </x:c>
      <x:c r="B29" s="22" t="n">
        <x:v>18</x:v>
      </x:c>
      <x:c r="C29" s="21" t="str">
        <x:v>days</x:v>
      </x:c>
      <x:c r="D29" s="21" t="str">
        <x:v>SPC-3</x:v>
      </x:c>
      <x:c r="E29" s="21" t="str">
        <x:v>Requirement; not observed</x:v>
      </x:c>
    </x:row>
    <x:row r="30">
      <x:c r="A30" s="21" t="str">
        <x:v>Bridge stock</x:v>
      </x:c>
      <x:c r="B30" s="22" t="n">
        <x:v>0.878</x:v>
      </x:c>
      <x:c r="C30" s="21" t="str">
        <x:v>million tonnes</x:v>
      </x:c>
      <x:c r="D30" s="21" t="str">
        <x:v>SPC-3</x:v>
      </x:c>
      <x:c r="E30" s="21" t="str">
        <x:v>Two-network sustainment</x:v>
      </x:c>
    </x:row>
    <x:row r="31">
      <x:c r="A31" s="21" t="str">
        <x:v>Forward material lower bound</x:v>
      </x:c>
      <x:c r="B31" s="22" t="n">
        <x:v>0.878</x:v>
      </x:c>
      <x:c r="C31" s="21" t="str">
        <x:v>million tonnes</x:v>
      </x:c>
      <x:c r="D31" s="21" t="str">
        <x:v>SPC-3</x:v>
      </x:c>
      <x:c r="E31" s="21" t="str">
        <x:v>Fully nested</x:v>
      </x:c>
    </x:row>
    <x:row r="32">
      <x:c r="A32" s="21" t="str">
        <x:v>Forward material upper bound</x:v>
      </x:c>
      <x:c r="B32" s="22" t="n">
        <x:v>1.49</x:v>
      </x:c>
      <x:c r="C32" s="21" t="str">
        <x:v>million tonnes</x:v>
      </x:c>
      <x:c r="D32" s="21" t="str">
        <x:v>SPC-5</x:v>
      </x:c>
      <x:c r="E32" s="21" t="str">
        <x:v>Item overlap unresolved</x:v>
      </x:c>
    </x:row>
    <x:row r="33">
      <x:c r="A33" s="21" t="str">
        <x:v>Receiver commons capital</x:v>
      </x:c>
      <x:c r="B33" s="22" t="n">
        <x:v>1280</x:v>
      </x:c>
      <x:c r="C33" s="21" t="str">
        <x:v>USD B</x:v>
      </x:c>
      <x:c r="D33" s="21" t="str">
        <x:v>SPC-2</x:v>
      </x:c>
      <x:c r="E33" s="21" t="str">
        <x:v>Nested in Department capital</x:v>
      </x:c>
    </x:row>
    <x:row r="34">
      <x:c r="A34" s="21" t="str">
        <x:v>Receiver commons operations</x:v>
      </x:c>
      <x:c r="B34" s="22" t="n">
        <x:v>102</x:v>
      </x:c>
      <x:c r="C34" s="21" t="str">
        <x:v>USD B/year</x:v>
      </x:c>
      <x:c r="D34" s="21" t="str">
        <x:v>SPC-2</x:v>
      </x:c>
      <x:c r="E34" s="21" t="str">
        <x:v>Nested in mature operations</x:v>
      </x:c>
    </x:row>
    <x:row r="35">
      <x:c r="A35" s="21" t="str">
        <x:v>Activation capital</x:v>
      </x:c>
      <x:c r="B35" s="22" t="n">
        <x:v>67.5</x:v>
      </x:c>
      <x:c r="C35" s="21" t="str">
        <x:v>USD B</x:v>
      </x:c>
      <x:c r="D35" s="21" t="str">
        <x:v>SPC-3</x:v>
      </x:c>
      <x:c r="E35" s="21" t="str">
        <x:v>Nested in receiver capital</x:v>
      </x:c>
    </x:row>
    <x:row r="36">
      <x:c r="A36" s="21" t="str">
        <x:v>Activation operations</x:v>
      </x:c>
      <x:c r="B36" s="22" t="n">
        <x:v>12.2</x:v>
      </x:c>
      <x:c r="C36" s="21" t="str">
        <x:v>USD B/year</x:v>
      </x:c>
      <x:c r="D36" s="21" t="str">
        <x:v>SPC-3</x:v>
      </x:c>
      <x:c r="E36" s="21" t="str">
        <x:v>Nested in receiver operations</x:v>
      </x:c>
    </x:row>
    <x:row r="37">
      <x:c r="A37" s="21" t="str">
        <x:v>Evidence capital</x:v>
      </x:c>
      <x:c r="B37" s="22" t="n">
        <x:v>44.6</x:v>
      </x:c>
      <x:c r="C37" s="21" t="str">
        <x:v>USD B</x:v>
      </x:c>
      <x:c r="D37" s="21" t="str">
        <x:v>SPC-4</x:v>
      </x:c>
      <x:c r="E37" s="21" t="str">
        <x:v>Nested in activation capital</x:v>
      </x:c>
    </x:row>
    <x:row r="38">
      <x:c r="A38" s="21" t="str">
        <x:v>Evidence operations</x:v>
      </x:c>
      <x:c r="B38" s="22" t="n">
        <x:v>8.93</x:v>
      </x:c>
      <x:c r="C38" s="21" t="str">
        <x:v>USD B/year</x:v>
      </x:c>
      <x:c r="D38" s="21" t="str">
        <x:v>SPC-4</x:v>
      </x:c>
      <x:c r="E38" s="21" t="str">
        <x:v>Nested in activation operations</x:v>
      </x:c>
    </x:row>
    <x:row r="39">
      <x:c r="A39" s="21" t="str">
        <x:v>Publication gates</x:v>
      </x:c>
      <x:c r="B39" s="22" t="n">
        <x:v>70</x:v>
      </x:c>
      <x:c r="C39" s="21" t="str">
        <x:v>gates</x:v>
      </x:c>
      <x:c r="D39" s="21" t="str">
        <x:v>SYN-1</x:v>
      </x:c>
      <x:c r="E39" s="21" t="str">
        <x:v>Five across fourteen chapters</x:v>
      </x:c>
    </x:row>
    <x:row r="40">
      <x:c r="A40" s="21" t="str">
        <x:v>Previously closed gates</x:v>
      </x:c>
      <x:c r="B40" s="22" t="n">
        <x:v>57</x:v>
      </x:c>
      <x:c r="C40" s="21" t="str">
        <x:v>gates</x:v>
      </x:c>
      <x:c r="D40" s="21" t="str">
        <x:v>SYN-2</x:v>
      </x:c>
      <x:c r="E40" s="21" t="str">
        <x:v>Before Pass 248</x:v>
      </x:c>
    </x:row>
    <x:row r="41">
      <x:c r="A41" s="21" t="str">
        <x:v>Gates closed this pass</x:v>
      </x:c>
      <x:c r="B41" s="22" t="n">
        <x:v>2</x:v>
      </x:c>
      <x:c r="C41" s="21" t="str">
        <x:v>gates</x:v>
      </x:c>
      <x:c r="D41" s="21" t="str">
        <x:v>IRPC-1</x:v>
      </x:c>
      <x:c r="E41" s="21" t="str">
        <x:v>CH06-G5 and CH10-G5</x:v>
      </x:c>
    </x:row>
    <x:row r="42">
      <x:c r="A42" s="21" t="str">
        <x:v>Current closed gates</x:v>
      </x:c>
      <x:c r="B42" s="22" t="n">
        <x:f>SUM(B40:B41)</x:f>
        <x:v>59</x:v>
      </x:c>
      <x:c r="C42" s="21" t="str">
        <x:v>gates</x:v>
      </x:c>
      <x:c r="D42" s="21" t="str">
        <x:v>IRPC-1</x:v>
      </x:c>
      <x:c r="E42" s="21" t="str">
        <x:v>Prior plus this pass</x:v>
      </x:c>
    </x:row>
    <x:row r="43">
      <x:c r="A43" s="21" t="str">
        <x:v>Current open gates</x:v>
      </x:c>
      <x:c r="B43" s="22" t="n">
        <x:f>B39-B42</x:f>
        <x:v>11</x:v>
      </x:c>
      <x:c r="C43" s="21" t="str">
        <x:v>gates</x:v>
      </x:c>
      <x:c r="D43" s="21" t="str">
        <x:v>IRPC-1</x:v>
      </x:c>
      <x:c r="E43" s="21" t="str">
        <x:v>Total less closed</x:v>
      </x:c>
    </x:row>
    <x:row r="44">
      <x:c r="A44" s="21" t="str">
        <x:v>Editorial completion</x:v>
      </x:c>
      <x:c r="B44" s="23" t="n">
        <x:f>B42/B39</x:f>
        <x:v>0.8428571428571429</x:v>
      </x:c>
      <x:c r="C44" s="21" t="str">
        <x:v>share</x:v>
      </x:c>
      <x:c r="D44" s="21" t="str">
        <x:v>IRPC-1</x:v>
      </x:c>
      <x:c r="E44" s="21" t="str">
        <x:v>Not confidence or readiness</x:v>
      </x:c>
    </x:row>
    <x:row r="45">
      <x:c r="A45" s="21" t="str">
        <x:v>Publication-ready chapters</x:v>
      </x:c>
      <x:c r="B45" s="22" t="n">
        <x:v>6</x:v>
      </x:c>
      <x:c r="C45" s="21" t="str">
        <x:v>chapters</x:v>
      </x:c>
      <x:c r="D45" s="21" t="str">
        <x:v>IRPC-1</x:v>
      </x:c>
      <x:c r="E45" s="21" t="str">
        <x:v>All five gates closed</x:v>
      </x:c>
    </x:row>
    <x:row r="46">
      <x:c r="A46" s="21" t="str">
        <x:v>Partial chapters</x:v>
      </x:c>
      <x:c r="B46" s="22" t="n">
        <x:v>7</x:v>
      </x:c>
      <x:c r="C46" s="21" t="str">
        <x:v>chapters</x:v>
      </x:c>
      <x:c r="D46" s="21" t="str">
        <x:v>IRPC-1</x:v>
      </x:c>
      <x:c r="E46" s="21" t="str">
        <x:v>One to four gates closed</x:v>
      </x:c>
    </x:row>
    <x:row r="47">
      <x:c r="A47" s="21" t="str">
        <x:v>Not-ready chapters</x:v>
      </x:c>
      <x:c r="B47" s="22" t="n">
        <x:v>1</x:v>
      </x:c>
      <x:c r="C47" s="21" t="str">
        <x:v>chapter</x:v>
      </x:c>
      <x:c r="D47" s="21" t="str">
        <x:v>IRPC-1</x:v>
      </x:c>
      <x:c r="E47" s="21" t="str">
        <x:v>Technical visual atlas</x:v>
      </x:c>
    </x:row>
    <x:row r="48">
      <x:c r="A48" s="21" t="str">
        <x:v>Strategic-power technology</x:v>
      </x:c>
      <x:c r="B48" s="22" t="n">
        <x:v>150</x:v>
      </x:c>
      <x:c r="C48" s="21" t="str">
        <x:v>USD B</x:v>
      </x:c>
      <x:c r="D48" s="21" t="str">
        <x:v>SPC-5</x:v>
      </x:c>
      <x:c r="E48" s="21" t="str">
        <x:v>Inside USD1.00T program</x:v>
      </x:c>
    </x:row>
    <x:row r="49">
      <x:c r="A49" s="21" t="str">
        <x:v>SYN passes consumed</x:v>
      </x:c>
      <x:c r="B49" s="22" t="n">
        <x:v>3</x:v>
      </x:c>
      <x:c r="C49" s="21" t="str">
        <x:v>passes</x:v>
      </x:c>
      <x:c r="D49" s="21" t="str">
        <x:v>IRPC-1</x:v>
      </x:c>
      <x:c r="E49" s="21" t="str">
        <x:v>Pass 248</x:v>
      </x:c>
    </x:row>
    <x:row r="50">
      <x:c r="A50" s="21" t="str">
        <x:v>SYN pass budget</x:v>
      </x:c>
      <x:c r="B50" s="22" t="n">
        <x:v>5</x:v>
      </x:c>
      <x:c r="C50" s="21" t="str">
        <x:v>passes</x:v>
      </x:c>
      <x:c r="D50" s="21" t="str">
        <x:v>FR-05</x:v>
      </x:c>
      <x:c r="E50" s="21" t="str">
        <x:v>Hard maximum</x:v>
      </x:c>
    </x:row>
    <x:row r="51">
      <x:c r="A51" s="21" t="str">
        <x:v>Open-item ledger</x:v>
      </x:c>
      <x:c r="B51" s="22" t="n">
        <x:v>1</x:v>
      </x:c>
      <x:c r="C51" s="21" t="str">
        <x:v>item</x:v>
      </x:c>
      <x:c r="D51" s="21" t="str">
        <x:v>IRPC-1</x:v>
      </x:c>
      <x:c r="E51" s="21" t="str">
        <x:v>One successor</x:v>
      </x:c>
    </x:row>
    <x:row r="52">
      <x:c r="A52" s="21" t="str">
        <x:v>Publication authority</x:v>
      </x:c>
      <x:c r="B52" s="22" t="n">
        <x:v>0</x:v>
      </x:c>
      <x:c r="C52" s="21" t="str">
        <x:v>binary</x:v>
      </x:c>
      <x:c r="D52" s="21" t="str">
        <x:v>IRPC-1</x:v>
      </x:c>
      <x:c r="E52" s="21" t="str">
        <x:v>Not granted</x:v>
      </x:c>
    </x:row>
    <x:row r="53">
      <x:c r="A53" s="21" t="str">
        <x:v>Rendering authority</x:v>
      </x:c>
      <x:c r="B53" s="22" t="n">
        <x:v>0</x:v>
      </x:c>
      <x:c r="C53" s="21" t="str">
        <x:v>binary</x:v>
      </x:c>
      <x:c r="D53" s="21" t="str">
        <x:v>IRPC-1</x:v>
      </x:c>
      <x:c r="E53" s="21" t="str">
        <x:v>Held</x:v>
      </x:c>
    </x:row>
    <x:row r="54">
      <x:c r="A54" s="1"/>
      <x:c r="B54" s="1"/>
      <x:c r="C54" s="1"/>
      <x:c r="D54" s="1"/>
      <x:c r="E54" s="1"/>
    </x:row>
    <x:row r="55">
      <x:c r="A55" s="1"/>
      <x:c r="B55" s="1"/>
      <x:c r="C55" s="1"/>
      <x:c r="D55" s="1"/>
      <x:c r="E55" s="1"/>
    </x:row>
    <x:row r="56">
      <x:c r="A56" s="1"/>
      <x:c r="B56" s="1"/>
      <x:c r="C56" s="1"/>
      <x:c r="D56" s="1"/>
      <x:c r="E56" s="1"/>
    </x:row>
    <x:row r="57">
      <x:c r="A57" s="1"/>
      <x:c r="B57" s="1"/>
      <x:c r="C57" s="1"/>
      <x:c r="D57" s="1"/>
      <x:c r="E57" s="1"/>
    </x:row>
    <x:row r="58">
      <x:c r="A58" s="1"/>
      <x:c r="B58" s="1"/>
      <x:c r="C58" s="1"/>
      <x:c r="D58" s="1"/>
      <x:c r="E58" s="1"/>
    </x:row>
    <x:row r="59">
      <x:c r="A59" s="1"/>
      <x:c r="B59" s="1"/>
      <x:c r="C59" s="1"/>
      <x:c r="D59" s="1"/>
      <x:c r="E59" s="1"/>
    </x:row>
    <x:row r="60">
      <x:c r="A60" s="1"/>
      <x:c r="B60" s="1"/>
      <x:c r="C60" s="1"/>
      <x:c r="D60" s="1"/>
      <x:c r="E60" s="1"/>
    </x:row>
    <x:row r="61">
      <x:c r="A61" s="1"/>
      <x:c r="B61" s="1"/>
      <x:c r="C61" s="1"/>
      <x:c r="D61" s="1"/>
      <x:c r="E61" s="1"/>
    </x:row>
    <x:row r="62">
      <x:c r="A62" s="1"/>
      <x:c r="B62" s="1"/>
      <x:c r="C62" s="1"/>
      <x:c r="D62" s="1"/>
      <x:c r="E62" s="1"/>
    </x:row>
    <x:row r="63">
      <x:c r="A63" s="1"/>
      <x:c r="B63" s="1"/>
      <x:c r="C63" s="1"/>
      <x:c r="D63" s="1"/>
      <x:c r="E63" s="1"/>
    </x:row>
    <x:row r="64">
      <x:c r="A64" s="1"/>
      <x:c r="B64" s="1"/>
      <x:c r="C64" s="1"/>
      <x:c r="D64" s="1"/>
      <x:c r="E64" s="1"/>
    </x:row>
    <x:row r="65">
      <x:c r="A65" s="1"/>
      <x:c r="B65" s="1"/>
      <x:c r="C65" s="1"/>
      <x:c r="D65" s="1"/>
      <x:c r="E65" s="1"/>
    </x:row>
    <x:row r="66">
      <x:c r="A66" s="1"/>
      <x:c r="B66" s="1"/>
      <x:c r="C66" s="1"/>
      <x:c r="D66" s="1"/>
      <x:c r="E66" s="1"/>
    </x:row>
    <x:row r="67">
      <x:c r="A67" s="1"/>
      <x:c r="B67" s="1"/>
      <x:c r="C67" s="1"/>
      <x:c r="D67" s="1"/>
      <x:c r="E67" s="1"/>
    </x:row>
    <x:row r="68">
      <x:c r="A68" s="1"/>
      <x:c r="B68" s="1"/>
      <x:c r="C68" s="1"/>
      <x:c r="D68" s="1"/>
      <x:c r="E68" s="1"/>
    </x:row>
    <x:row r="69">
      <x:c r="A69" s="1"/>
      <x:c r="B69" s="1"/>
      <x:c r="C69" s="1"/>
      <x:c r="D69" s="1"/>
      <x:c r="E69" s="1"/>
    </x:row>
    <x:row r="70">
      <x:c r="A70" s="1"/>
      <x:c r="B70" s="1"/>
      <x:c r="C70" s="1"/>
      <x:c r="D70" s="1"/>
      <x:c r="E70" s="1"/>
    </x:row>
    <x:row r="71">
      <x:c r="A71" s="1"/>
      <x:c r="B71" s="1"/>
      <x:c r="C71" s="1"/>
      <x:c r="D71" s="1"/>
      <x:c r="E71" s="1"/>
    </x:row>
    <x:row r="72">
      <x:c r="A72" s="1"/>
      <x:c r="B72" s="1"/>
      <x:c r="C72" s="1"/>
      <x:c r="D72" s="1"/>
      <x:c r="E72" s="1"/>
    </x:row>
    <x:row r="73">
      <x:c r="A73" s="1"/>
      <x:c r="B73" s="1"/>
      <x:c r="C73" s="1"/>
      <x:c r="D73" s="1"/>
      <x:c r="E73" s="1"/>
    </x:row>
    <x:row r="74">
      <x:c r="A74" s="1"/>
      <x:c r="B74" s="1"/>
      <x:c r="C74" s="1"/>
      <x:c r="D74" s="1"/>
      <x:c r="E74" s="1"/>
    </x:row>
    <x:row r="75">
      <x:c r="A75" s="1"/>
      <x:c r="B75" s="1"/>
      <x:c r="C75" s="1"/>
      <x:c r="D75" s="1"/>
      <x:c r="E75" s="1"/>
    </x:row>
    <x:row r="76">
      <x:c r="A76" s="1"/>
      <x:c r="B76" s="1"/>
      <x:c r="C76" s="1"/>
      <x:c r="D76" s="1"/>
      <x:c r="E76" s="1"/>
    </x:row>
    <x:row r="77">
      <x:c r="A77" s="1"/>
      <x:c r="B77" s="1"/>
      <x:c r="C77" s="1"/>
      <x:c r="D77" s="1"/>
      <x:c r="E77" s="1"/>
    </x:row>
    <x:row r="78">
      <x:c r="A78" s="1"/>
      <x:c r="B78" s="1"/>
      <x:c r="C78" s="1"/>
      <x:c r="D78" s="1"/>
      <x:c r="E78" s="1"/>
    </x:row>
    <x:row r="79">
      <x:c r="A79" s="1"/>
      <x:c r="B79" s="1"/>
      <x:c r="C79" s="1"/>
      <x:c r="D79" s="1"/>
      <x:c r="E79" s="1"/>
    </x:row>
    <x:row r="80">
      <x:c r="A80" s="1"/>
      <x:c r="B80" s="1"/>
      <x:c r="C80" s="1"/>
      <x:c r="D80" s="1"/>
      <x:c r="E80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38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Mutation tests</x:v>
      </x:c>
      <x:c r="B2" s="1"/>
      <x:c r="C2" s="1"/>
      <x:c r="D2" s="1"/>
      <x:c r="E2" s="1"/>
      <x:c r="F2" s="1"/>
      <x:c r="G2" s="1"/>
    </x:row>
    <x:row r="3">
      <x:c r="A3" s="3" t="str">
        <x:v>Each deliberate violation must be detected and the base value restored.</x:v>
      </x:c>
      <x:c r="B3" s="3"/>
      <x:c r="C3" s="3"/>
      <x:c r="D3" s="3"/>
      <x:c r="E3" s="3"/>
      <x:c r="F3" s="3"/>
      <x:c r="G3" s="3"/>
    </x:row>
    <x:row r="4">
      <x:c r="A4" s="4"/>
      <x:c r="B4" s="4"/>
      <x:c r="C4" s="4"/>
      <x:c r="D4" s="4"/>
      <x:c r="E4" s="4"/>
      <x:c r="F4" s="4"/>
      <x:c r="G4" s="4"/>
    </x:row>
    <x:row r="5">
      <x:c r="A5" s="1"/>
      <x:c r="B5" s="1"/>
      <x:c r="C5" s="1"/>
      <x:c r="D5" s="1"/>
      <x:c r="E5" s="1"/>
      <x:c r="F5" s="1"/>
      <x:c r="G5" s="1"/>
    </x:row>
    <x:row r="6" ht="30" customHeight="1">
      <x:c r="A6" s="9" t="str">
        <x:v>Test</x:v>
      </x:c>
      <x:c r="B6" s="9" t="str">
        <x:v>Control</x:v>
      </x:c>
      <x:c r="C6" s="9" t="str">
        <x:v>Base</x:v>
      </x:c>
      <x:c r="D6" s="9" t="str">
        <x:v>Mutated</x:v>
      </x:c>
      <x:c r="E6" s="9" t="str">
        <x:v>Detected</x:v>
      </x:c>
      <x:c r="F6" s="9" t="str">
        <x:v>Restored</x:v>
      </x:c>
      <x:c r="G6" s="9" t="str">
        <x:v>Status</x:v>
      </x:c>
    </x:row>
    <x:row r="7">
      <x:c r="A7" s="19" t="str">
        <x:v>M01</x:v>
      </x:c>
      <x:c r="B7" s="19" t="str">
        <x:v>Invited commitments</x:v>
      </x:c>
      <x:c r="C7" s="19" t="n">
        <x:v>675</x:v>
      </x:c>
      <x:c r="D7" s="19" t="n">
        <x:v>674</x:v>
      </x:c>
      <x:c r="E7" s="19" t="n">
        <x:f>IF(C7&lt;&gt;D7,1,0)</x:f>
        <x:v>1</x:v>
      </x:c>
      <x:c r="F7" s="19" t="n">
        <x:f>C7</x:f>
        <x:v>675</x:v>
      </x:c>
      <x:c r="G7" s="19" t="str">
        <x:f>IF(AND(E7=1,F7=C7),"PASS","FAIL")</x:f>
        <x:v>PASS</x:v>
      </x:c>
    </x:row>
    <x:row r="8">
      <x:c r="A8" s="21" t="str">
        <x:v>M02</x:v>
      </x:c>
      <x:c r="B8" s="21" t="str">
        <x:v>Corridor claims</x:v>
      </x:c>
      <x:c r="C8" s="21" t="n">
        <x:v>1350</x:v>
      </x:c>
      <x:c r="D8" s="21" t="n">
        <x:v>675</x:v>
      </x:c>
      <x:c r="E8" s="21" t="n">
        <x:f>IF(C8&lt;&gt;D8,1,0)</x:f>
        <x:v>1</x:v>
      </x:c>
      <x:c r="F8" s="21" t="n">
        <x:f>C8</x:f>
        <x:v>1350</x:v>
      </x:c>
      <x:c r="G8" s="21" t="str">
        <x:f>IF(AND(E8=1,F8=C8),"PASS","FAIL")</x:f>
        <x:v>PASS</x:v>
      </x:c>
    </x:row>
    <x:row r="9">
      <x:c r="A9" s="21" t="str">
        <x:v>M03</x:v>
      </x:c>
      <x:c r="B9" s="21" t="str">
        <x:v>Segment reservations</x:v>
      </x:c>
      <x:c r="C9" s="21" t="n">
        <x:v>9450</x:v>
      </x:c>
      <x:c r="D9" s="21" t="n">
        <x:v>2700</x:v>
      </x:c>
      <x:c r="E9" s="21" t="n">
        <x:f>IF(C9&lt;&gt;D9,1,0)</x:f>
        <x:v>1</x:v>
      </x:c>
      <x:c r="F9" s="21" t="n">
        <x:f>C9</x:f>
        <x:v>9450</x:v>
      </x:c>
      <x:c r="G9" s="21" t="str">
        <x:f>IF(AND(E9=1,F9=C9),"PASS","FAIL")</x:f>
        <x:v>PASS</x:v>
      </x:c>
    </x:row>
    <x:row r="10">
      <x:c r="A10" s="21" t="str">
        <x:v>M04</x:v>
      </x:c>
      <x:c r="B10" s="21" t="str">
        <x:v>Domestic recall after acceptance</x:v>
      </x:c>
      <x:c r="C10" s="21" t="str">
        <x:v>NO</x:v>
      </x:c>
      <x:c r="D10" s="21" t="str">
        <x:v>YES</x:v>
      </x:c>
      <x:c r="E10" s="21" t="n">
        <x:f>IF(C10&lt;&gt;D10,1,0)</x:f>
        <x:v>1</x:v>
      </x:c>
      <x:c r="F10" s="21" t="str">
        <x:f>C10</x:f>
        <x:v>NO</x:v>
      </x:c>
      <x:c r="G10" s="21" t="str">
        <x:f>IF(AND(E10=1,F10=C10),"PASS","FAIL")</x:f>
        <x:v>PASS</x:v>
      </x:c>
    </x:row>
    <x:row r="11">
      <x:c r="A11" s="21" t="str">
        <x:v>M05</x:v>
      </x:c>
      <x:c r="B11" s="21" t="str">
        <x:v>Bilateral release required</x:v>
      </x:c>
      <x:c r="C11" s="21" t="n">
        <x:v>1</x:v>
      </x:c>
      <x:c r="D11" s="21" t="n">
        <x:v>0</x:v>
      </x:c>
      <x:c r="E11" s="21" t="n">
        <x:f>IF(C11&lt;&gt;D11,1,0)</x:f>
        <x:v>1</x:v>
      </x:c>
      <x:c r="F11" s="21" t="n">
        <x:f>C11</x:f>
        <x:v>1</x:v>
      </x:c>
      <x:c r="G11" s="21" t="str">
        <x:f>IF(AND(E11=1,F11=C11),"PASS","FAIL")</x:f>
        <x:v>PASS</x:v>
      </x:c>
    </x:row>
    <x:row r="12">
      <x:c r="A12" s="21" t="str">
        <x:v>M06</x:v>
      </x:c>
      <x:c r="B12" s="21" t="str">
        <x:v>Host civil purpose</x:v>
      </x:c>
      <x:c r="C12" s="21" t="n">
        <x:v>1</x:v>
      </x:c>
      <x:c r="D12" s="21" t="n">
        <x:v>0</x:v>
      </x:c>
      <x:c r="E12" s="21" t="n">
        <x:f>IF(C12&lt;&gt;D12,1,0)</x:f>
        <x:v>1</x:v>
      </x:c>
      <x:c r="F12" s="21" t="n">
        <x:f>C12</x:f>
        <x:v>1</x:v>
      </x:c>
      <x:c r="G12" s="21" t="str">
        <x:f>IF(AND(E12=1,F12=C12),"PASS","FAIL")</x:f>
        <x:v>PASS</x:v>
      </x:c>
    </x:row>
    <x:row r="13">
      <x:c r="A13" s="21" t="str">
        <x:v>M07</x:v>
      </x:c>
      <x:c r="B13" s="21" t="str">
        <x:v>Separate security authority</x:v>
      </x:c>
      <x:c r="C13" s="21" t="n">
        <x:v>1</x:v>
      </x:c>
      <x:c r="D13" s="21" t="n">
        <x:v>0</x:v>
      </x:c>
      <x:c r="E13" s="21" t="n">
        <x:f>IF(C13&lt;&gt;D13,1,0)</x:f>
        <x:v>1</x:v>
      </x:c>
      <x:c r="F13" s="21" t="n">
        <x:f>C13</x:f>
        <x:v>1</x:v>
      </x:c>
      <x:c r="G13" s="21" t="str">
        <x:f>IF(AND(E13=1,F13=C13),"PASS","FAIL")</x:f>
        <x:v>PASS</x:v>
      </x:c>
    </x:row>
    <x:row r="14">
      <x:c r="A14" s="21" t="str">
        <x:v>M08</x:v>
      </x:c>
      <x:c r="B14" s="21" t="str">
        <x:v>Host data custody</x:v>
      </x:c>
      <x:c r="C14" s="21" t="n">
        <x:v>1</x:v>
      </x:c>
      <x:c r="D14" s="21" t="n">
        <x:v>0</x:v>
      </x:c>
      <x:c r="E14" s="21" t="n">
        <x:f>IF(C14&lt;&gt;D14,1,0)</x:f>
        <x:v>1</x:v>
      </x:c>
      <x:c r="F14" s="21" t="n">
        <x:f>C14</x:f>
        <x:v>1</x:v>
      </x:c>
      <x:c r="G14" s="21" t="str">
        <x:f>IF(AND(E14=1,F14=C14),"PASS","FAIL")</x:f>
        <x:v>PASS</x:v>
      </x:c>
    </x:row>
    <x:row r="15">
      <x:c r="A15" s="21" t="str">
        <x:v>M09</x:v>
      </x:c>
      <x:c r="B15" s="21" t="str">
        <x:v>Partner output readiness credit</x:v>
      </x:c>
      <x:c r="C15" s="21" t="n">
        <x:v>0</x:v>
      </x:c>
      <x:c r="D15" s="21" t="n">
        <x:v>1</x:v>
      </x:c>
      <x:c r="E15" s="21" t="n">
        <x:f>IF(C15&lt;&gt;D15,1,0)</x:f>
        <x:v>1</x:v>
      </x:c>
      <x:c r="F15" s="21" t="n">
        <x:f>C15</x:f>
        <x:v>0</x:v>
      </x:c>
      <x:c r="G15" s="21" t="str">
        <x:f>IF(AND(E15=1,F15=C15),"PASS","FAIL")</x:f>
        <x:v>PASS</x:v>
      </x:c>
    </x:row>
    <x:row r="16">
      <x:c r="A16" s="21" t="str">
        <x:v>M10</x:v>
      </x:c>
      <x:c r="B16" s="21" t="str">
        <x:v>Separate export serials</x:v>
      </x:c>
      <x:c r="C16" s="21" t="n">
        <x:v>1</x:v>
      </x:c>
      <x:c r="D16" s="21" t="n">
        <x:v>0</x:v>
      </x:c>
      <x:c r="E16" s="21" t="n">
        <x:f>IF(C16&lt;&gt;D16,1,0)</x:f>
        <x:v>1</x:v>
      </x:c>
      <x:c r="F16" s="21" t="n">
        <x:f>C16</x:f>
        <x:v>1</x:v>
      </x:c>
      <x:c r="G16" s="21" t="str">
        <x:f>IF(AND(E16=1,F16=C16),"PASS","FAIL")</x:f>
        <x:v>PASS</x:v>
      </x:c>
    </x:row>
    <x:row r="17">
      <x:c r="A17" s="21" t="str">
        <x:v>M11</x:v>
      </x:c>
      <x:c r="B17" s="21" t="str">
        <x:v>Remote U.S. key prohibited</x:v>
      </x:c>
      <x:c r="C17" s="21" t="n">
        <x:v>1</x:v>
      </x:c>
      <x:c r="D17" s="21" t="n">
        <x:v>0</x:v>
      </x:c>
      <x:c r="E17" s="21" t="n">
        <x:f>IF(C17&lt;&gt;D17,1,0)</x:f>
        <x:v>1</x:v>
      </x:c>
      <x:c r="F17" s="21" t="n">
        <x:f>C17</x:f>
        <x:v>1</x:v>
      </x:c>
      <x:c r="G17" s="21" t="str">
        <x:f>IF(AND(E17=1,F17=C17),"PASS","FAIL")</x:f>
        <x:v>PASS</x:v>
      </x:c>
    </x:row>
    <x:row r="18">
      <x:c r="A18" s="21" t="str">
        <x:v>M12</x:v>
      </x:c>
      <x:c r="B18" s="21" t="str">
        <x:v>Exit gate count</x:v>
      </x:c>
      <x:c r="C18" s="21" t="n">
        <x:v>9</x:v>
      </x:c>
      <x:c r="D18" s="21" t="n">
        <x:v>8</x:v>
      </x:c>
      <x:c r="E18" s="21" t="n">
        <x:f>IF(C18&lt;&gt;D18,1,0)</x:f>
        <x:v>1</x:v>
      </x:c>
      <x:c r="F18" s="21" t="n">
        <x:f>C18</x:f>
        <x:v>9</x:v>
      </x:c>
      <x:c r="G18" s="21" t="str">
        <x:f>IF(AND(E18=1,F18=C18),"PASS","FAIL")</x:f>
        <x:v>PASS</x:v>
      </x:c>
    </x:row>
    <x:row r="19">
      <x:c r="A19" s="21" t="str">
        <x:v>M13</x:v>
      </x:c>
      <x:c r="B19" s="21" t="str">
        <x:v>Civil rights count</x:v>
      </x:c>
      <x:c r="C19" s="21" t="n">
        <x:v>14</x:v>
      </x:c>
      <x:c r="D19" s="21" t="n">
        <x:v>13</x:v>
      </x:c>
      <x:c r="E19" s="21" t="n">
        <x:f>IF(C19&lt;&gt;D19,1,0)</x:f>
        <x:v>1</x:v>
      </x:c>
      <x:c r="F19" s="21" t="n">
        <x:f>C19</x:f>
        <x:v>14</x:v>
      </x:c>
      <x:c r="G19" s="21" t="str">
        <x:f>IF(AND(E19=1,F19=C19),"PASS","FAIL")</x:f>
        <x:v>PASS</x:v>
      </x:c>
    </x:row>
    <x:row r="20">
      <x:c r="A20" s="21" t="str">
        <x:v>M14</x:v>
      </x:c>
      <x:c r="B20" s="21" t="str">
        <x:v>Evidence planes</x:v>
      </x:c>
      <x:c r="C20" s="21" t="n">
        <x:v>5</x:v>
      </x:c>
      <x:c r="D20" s="21" t="n">
        <x:v>4</x:v>
      </x:c>
      <x:c r="E20" s="21" t="n">
        <x:f>IF(C20&lt;&gt;D20,1,0)</x:f>
        <x:v>1</x:v>
      </x:c>
      <x:c r="F20" s="21" t="n">
        <x:f>C20</x:f>
        <x:v>5</x:v>
      </x:c>
      <x:c r="G20" s="21" t="str">
        <x:f>IF(AND(E20=1,F20=C20),"PASS","FAIL")</x:f>
        <x:v>PASS</x:v>
      </x:c>
    </x:row>
    <x:row r="21">
      <x:c r="A21" s="21" t="str">
        <x:v>M15</x:v>
      </x:c>
      <x:c r="B21" s="21" t="str">
        <x:v>Nested activation capital</x:v>
      </x:c>
      <x:c r="C21" s="21" t="n">
        <x:v>67.5</x:v>
      </x:c>
      <x:c r="D21" s="21" t="n">
        <x:v>1310</x:v>
      </x:c>
      <x:c r="E21" s="21" t="n">
        <x:f>IF(C21&lt;&gt;D21,1,0)</x:f>
        <x:v>1</x:v>
      </x:c>
      <x:c r="F21" s="21" t="n">
        <x:f>C21</x:f>
        <x:v>67.5</x:v>
      </x:c>
      <x:c r="G21" s="21" t="str">
        <x:f>IF(AND(E21=1,F21=C21),"PASS","FAIL")</x:f>
        <x:v>PASS</x:v>
      </x:c>
    </x:row>
    <x:row r="22">
      <x:c r="A22" s="21" t="str">
        <x:v>M16</x:v>
      </x:c>
      <x:c r="B22" s="21" t="str">
        <x:v>Publication authority</x:v>
      </x:c>
      <x:c r="C22" s="21" t="n">
        <x:v>0</x:v>
      </x:c>
      <x:c r="D22" s="21" t="n">
        <x:v>1</x:v>
      </x:c>
      <x:c r="E22" s="21" t="n">
        <x:f>IF(C22&lt;&gt;D22,1,0)</x:f>
        <x:v>1</x:v>
      </x:c>
      <x:c r="F22" s="21" t="n">
        <x:f>C22</x:f>
        <x:v>0</x:v>
      </x:c>
      <x:c r="G22" s="21" t="str">
        <x:f>IF(AND(E22=1,F22=C22),"PASS","FAIL")</x:f>
        <x:v>PASS</x:v>
      </x:c>
    </x:row>
    <x:row r="23">
      <x:c r="A23" s="21" t="str">
        <x:v>M17</x:v>
      </x:c>
      <x:c r="B23" s="21" t="str">
        <x:v>Rendering authority</x:v>
      </x:c>
      <x:c r="C23" s="21" t="n">
        <x:v>0</x:v>
      </x:c>
      <x:c r="D23" s="21" t="n">
        <x:v>1</x:v>
      </x:c>
      <x:c r="E23" s="21" t="n">
        <x:f>IF(C23&lt;&gt;D23,1,0)</x:f>
        <x:v>1</x:v>
      </x:c>
      <x:c r="F23" s="21" t="n">
        <x:f>C23</x:f>
        <x:v>0</x:v>
      </x:c>
      <x:c r="G23" s="21" t="str">
        <x:f>IF(AND(E23=1,F23=C23),"PASS","FAIL")</x:f>
        <x:v>PASS</x:v>
      </x:c>
    </x:row>
    <x:row r="24">
      <x:c r="A24" s="21" t="str">
        <x:v>M18</x:v>
      </x:c>
      <x:c r="B24" s="21" t="str">
        <x:v>Open-item running total</x:v>
      </x:c>
      <x:c r="C24" s="21" t="n">
        <x:v>1</x:v>
      </x:c>
      <x:c r="D24" s="21" t="n">
        <x:v>2</x:v>
      </x:c>
      <x:c r="E24" s="21" t="n">
        <x:f>IF(C24&lt;&gt;D24,1,0)</x:f>
        <x:v>1</x:v>
      </x:c>
      <x:c r="F24" s="21" t="n">
        <x:f>C24</x:f>
        <x:v>1</x:v>
      </x:c>
      <x:c r="G24" s="21" t="str">
        <x:f>IF(AND(E24=1,F24=C24),"PASS","FAIL")</x:f>
        <x:v>PASS</x:v>
      </x:c>
    </x:row>
    <x:row r="25">
      <x:c r="A25" s="1"/>
      <x:c r="B25" s="1"/>
      <x:c r="C25" s="1"/>
      <x:c r="D25" s="1"/>
      <x:c r="E25" s="1"/>
      <x:c r="F25" s="1"/>
      <x:c r="G25" s="1"/>
    </x:row>
    <x:row r="26">
      <x:c r="A26" s="1"/>
      <x:c r="B26" s="1"/>
      <x:c r="C26" s="1"/>
      <x:c r="D26" s="1"/>
      <x:c r="E26" s="1"/>
      <x:c r="F26" s="1"/>
      <x:c r="G26" s="1"/>
    </x:row>
    <x:row r="27">
      <x:c r="A27" s="1"/>
      <x:c r="B27" s="1"/>
      <x:c r="C27" s="1"/>
      <x:c r="D27" s="1"/>
      <x:c r="E27" s="1"/>
      <x:c r="F27" s="1"/>
      <x:c r="G27" s="1"/>
    </x:row>
    <x:row r="28">
      <x:c r="A28" s="1"/>
      <x:c r="B28" s="1"/>
      <x:c r="C28" s="1"/>
      <x:c r="D28" s="1"/>
      <x:c r="E28" s="1"/>
      <x:c r="F28" s="1"/>
      <x:c r="G28" s="1"/>
    </x:row>
    <x:row r="29">
      <x:c r="A29" s="1"/>
      <x:c r="B29" s="1"/>
      <x:c r="C29" s="1"/>
      <x:c r="D29" s="1"/>
      <x:c r="E29" s="1"/>
      <x:c r="F29" s="1"/>
      <x:c r="G29" s="1"/>
    </x:row>
    <x:row r="30">
      <x:c r="A30" s="1"/>
      <x:c r="B30" s="1"/>
      <x:c r="C30" s="1"/>
      <x:c r="D30" s="1"/>
      <x:c r="E30" s="1"/>
      <x:c r="F30" s="1"/>
      <x:c r="G30" s="1"/>
    </x:row>
    <x:row r="31">
      <x:c r="A31" s="1"/>
      <x:c r="B31" s="1"/>
      <x:c r="C31" s="1"/>
      <x:c r="D31" s="1"/>
      <x:c r="E31" s="1"/>
      <x:c r="F31" s="1"/>
      <x:c r="G31" s="1"/>
    </x:row>
    <x:row r="32">
      <x:c r="A32" s="1"/>
      <x:c r="B32" s="1"/>
      <x:c r="C32" s="1"/>
      <x:c r="D32" s="1"/>
      <x:c r="E32" s="1"/>
      <x:c r="F32" s="1"/>
      <x:c r="G32" s="1"/>
    </x:row>
    <x:row r="33">
      <x:c r="A33" s="1"/>
      <x:c r="B33" s="1"/>
      <x:c r="C33" s="1"/>
      <x:c r="D33" s="1"/>
      <x:c r="E33" s="1"/>
      <x:c r="F33" s="1"/>
      <x:c r="G33" s="1"/>
    </x:row>
    <x:row r="34">
      <x:c r="A34" s="1"/>
      <x:c r="B34" s="1"/>
      <x:c r="C34" s="1"/>
      <x:c r="D34" s="1"/>
      <x:c r="E34" s="1"/>
      <x:c r="F34" s="1"/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>
      <x:c r="A36" s="1"/>
      <x:c r="B36" s="1"/>
      <x:c r="C36" s="1"/>
      <x:c r="D36" s="1"/>
      <x:c r="E36" s="1"/>
      <x:c r="F36" s="1"/>
      <x:c r="G36" s="1"/>
    </x:row>
    <x:row r="37">
      <x:c r="A37" s="1"/>
      <x:c r="B37" s="1"/>
      <x:c r="C37" s="1"/>
      <x:c r="D37" s="1"/>
      <x:c r="E37" s="1"/>
      <x:c r="F37" s="1"/>
      <x:c r="G37" s="1"/>
    </x:row>
    <x:row r="38">
      <x:c r="A38" s="1"/>
      <x:c r="B38" s="1"/>
      <x:c r="C38" s="1"/>
      <x:c r="D38" s="1"/>
      <x:c r="E38" s="1"/>
      <x:c r="F38" s="1"/>
      <x:c r="G38" s="1"/>
    </x:row>
    <x:row r="39">
      <x:c r="A39" s="1"/>
      <x:c r="B39" s="1"/>
      <x:c r="C39" s="1"/>
      <x:c r="D39" s="1"/>
      <x:c r="E39" s="1"/>
      <x:c r="F39" s="1"/>
      <x:c r="G39" s="1"/>
    </x:row>
    <x:row r="40">
      <x:c r="A40" s="1"/>
      <x:c r="B40" s="1"/>
      <x:c r="C40" s="1"/>
      <x:c r="D40" s="1"/>
      <x:c r="E40" s="1"/>
      <x:c r="F40" s="1"/>
      <x:c r="G40" s="1"/>
    </x:row>
    <x:row r="41">
      <x:c r="A41" s="1"/>
      <x:c r="B41" s="1"/>
      <x:c r="C41" s="1"/>
      <x:c r="D41" s="1"/>
      <x:c r="E41" s="1"/>
      <x:c r="F41" s="1"/>
      <x:c r="G41" s="1"/>
    </x:row>
    <x:row r="42">
      <x:c r="A42" s="1"/>
      <x:c r="B42" s="1"/>
      <x:c r="C42" s="1"/>
      <x:c r="D42" s="1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>
      <x:c r="A44" s="1"/>
      <x:c r="B44" s="1"/>
      <x:c r="C44" s="1"/>
      <x:c r="D44" s="1"/>
      <x:c r="E44" s="1"/>
      <x:c r="F44" s="1"/>
      <x:c r="G44" s="1"/>
    </x:row>
    <x:row r="45">
      <x:c r="A45" s="1"/>
      <x:c r="B45" s="1"/>
      <x:c r="C45" s="1"/>
      <x:c r="D45" s="1"/>
      <x:c r="E45" s="1"/>
      <x:c r="F45" s="1"/>
      <x:c r="G45" s="1"/>
    </x:row>
    <x:row r="46">
      <x:c r="A46" s="1"/>
      <x:c r="B46" s="1"/>
      <x:c r="C46" s="1"/>
      <x:c r="D46" s="1"/>
      <x:c r="E46" s="1"/>
      <x:c r="F46" s="1"/>
      <x:c r="G46" s="1"/>
    </x:row>
    <x:row r="47">
      <x:c r="A47" s="1"/>
      <x:c r="B47" s="1"/>
      <x:c r="C47" s="1"/>
      <x:c r="D47" s="1"/>
      <x:c r="E47" s="1"/>
      <x:c r="F47" s="1"/>
      <x:c r="G47" s="1"/>
    </x:row>
    <x:row r="48">
      <x:c r="A48" s="1"/>
      <x:c r="B48" s="1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>
      <x:c r="A50" s="1"/>
      <x:c r="B50" s="1"/>
      <x:c r="C50" s="1"/>
      <x:c r="D50" s="1"/>
      <x:c r="E50" s="1"/>
      <x:c r="F50" s="1"/>
      <x:c r="G50" s="1"/>
    </x:row>
    <x:row r="51">
      <x:c r="A51" s="1"/>
      <x:c r="B51" s="1"/>
      <x:c r="C51" s="1"/>
      <x:c r="D51" s="1"/>
      <x:c r="E51" s="1"/>
      <x:c r="F51" s="1"/>
      <x:c r="G51" s="1"/>
    </x:row>
    <x:row r="52">
      <x:c r="A52" s="1"/>
      <x:c r="B52" s="1"/>
      <x:c r="C52" s="1"/>
      <x:c r="D52" s="1"/>
      <x:c r="E52" s="1"/>
      <x:c r="F52" s="1"/>
      <x:c r="G52" s="1"/>
    </x:row>
    <x:row r="53">
      <x:c r="A53" s="1"/>
      <x:c r="B53" s="1"/>
      <x:c r="C53" s="1"/>
      <x:c r="D53" s="1"/>
      <x:c r="E53" s="1"/>
      <x:c r="F53" s="1"/>
      <x:c r="G53" s="1"/>
    </x:row>
    <x:row r="54">
      <x:c r="A54" s="1"/>
      <x:c r="B54" s="1"/>
      <x:c r="C54" s="1"/>
      <x:c r="D54" s="1"/>
      <x:c r="E54" s="1"/>
      <x:c r="F54" s="1"/>
      <x:c r="G54" s="1"/>
    </x:row>
    <x:row r="55">
      <x:c r="A55" s="1"/>
      <x:c r="B55" s="1"/>
      <x:c r="C55" s="1"/>
      <x:c r="D55" s="1"/>
      <x:c r="E55" s="1"/>
      <x:c r="F55" s="1"/>
      <x:c r="G55" s="1"/>
    </x:row>
    <x:row r="56">
      <x:c r="A56" s="1"/>
      <x:c r="B56" s="1"/>
      <x:c r="C56" s="1"/>
      <x:c r="D56" s="1"/>
      <x:c r="E56" s="1"/>
      <x:c r="F56" s="1"/>
      <x:c r="G56" s="1"/>
    </x:row>
    <x:row r="57">
      <x:c r="A57" s="1"/>
      <x:c r="B57" s="1"/>
      <x:c r="C57" s="1"/>
      <x:c r="D57" s="1"/>
      <x:c r="E57" s="1"/>
      <x:c r="F57" s="1"/>
      <x:c r="G57" s="1"/>
    </x:row>
    <x:row r="58">
      <x:c r="A58" s="1"/>
      <x:c r="B58" s="1"/>
      <x:c r="C58" s="1"/>
      <x:c r="D58" s="1"/>
      <x:c r="E58" s="1"/>
      <x:c r="F58" s="1"/>
      <x:c r="G58" s="1"/>
    </x:row>
    <x:row r="59">
      <x:c r="A59" s="1"/>
      <x:c r="B59" s="1"/>
      <x:c r="C59" s="1"/>
      <x:c r="D59" s="1"/>
      <x:c r="E59" s="1"/>
      <x:c r="F59" s="1"/>
      <x:c r="G59" s="1"/>
    </x:row>
    <x:row r="60">
      <x:c r="A60" s="1"/>
      <x:c r="B60" s="1"/>
      <x:c r="C60" s="1"/>
      <x:c r="D60" s="1"/>
      <x:c r="E60" s="1"/>
      <x:c r="F60" s="1"/>
      <x:c r="G60" s="1"/>
    </x:row>
    <x:row r="61">
      <x:c r="A61" s="1"/>
      <x:c r="B61" s="1"/>
      <x:c r="C61" s="1"/>
      <x:c r="D61" s="1"/>
      <x:c r="E61" s="1"/>
      <x:c r="F61" s="1"/>
      <x:c r="G61" s="1"/>
    </x:row>
    <x:row r="62">
      <x:c r="A62" s="1"/>
      <x:c r="B62" s="1"/>
      <x:c r="C62" s="1"/>
      <x:c r="D62" s="1"/>
      <x:c r="E62" s="1"/>
      <x:c r="F62" s="1"/>
      <x:c r="G62" s="1"/>
    </x:row>
    <x:row r="63">
      <x:c r="A63" s="1"/>
      <x:c r="B63" s="1"/>
      <x:c r="C63" s="1"/>
      <x:c r="D63" s="1"/>
      <x:c r="E63" s="1"/>
      <x:c r="F63" s="1"/>
      <x:c r="G63" s="1"/>
    </x:row>
    <x:row r="64">
      <x:c r="A64" s="1"/>
      <x:c r="B64" s="1"/>
      <x:c r="C64" s="1"/>
      <x:c r="D64" s="1"/>
      <x:c r="E64" s="1"/>
      <x:c r="F64" s="1"/>
      <x:c r="G64" s="1"/>
    </x:row>
    <x:row r="65">
      <x:c r="A65" s="1"/>
      <x:c r="B65" s="1"/>
      <x:c r="C65" s="1"/>
      <x:c r="D65" s="1"/>
      <x:c r="E65" s="1"/>
      <x:c r="F65" s="1"/>
      <x:c r="G65" s="1"/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  <x:row r="69">
      <x:c r="A69" s="1"/>
      <x:c r="B69" s="1"/>
      <x:c r="C69" s="1"/>
      <x:c r="D69" s="1"/>
      <x:c r="E69" s="1"/>
      <x:c r="F69" s="1"/>
      <x:c r="G69" s="1"/>
    </x:row>
    <x:row r="70">
      <x:c r="A70" s="1"/>
      <x:c r="B70" s="1"/>
      <x:c r="C70" s="1"/>
      <x:c r="D70" s="1"/>
      <x:c r="E70" s="1"/>
      <x:c r="F70" s="1"/>
      <x:c r="G70" s="1"/>
    </x:row>
    <x:row r="71">
      <x:c r="A71" s="1"/>
      <x:c r="B71" s="1"/>
      <x:c r="C71" s="1"/>
      <x:c r="D71" s="1"/>
      <x:c r="E71" s="1"/>
      <x:c r="F71" s="1"/>
      <x:c r="G71" s="1"/>
    </x:row>
    <x:row r="72">
      <x:c r="A72" s="1"/>
      <x:c r="B72" s="1"/>
      <x:c r="C72" s="1"/>
      <x:c r="D72" s="1"/>
      <x:c r="E72" s="1"/>
      <x:c r="F72" s="1"/>
      <x:c r="G72" s="1"/>
    </x:row>
    <x:row r="73">
      <x:c r="A73" s="1"/>
      <x:c r="B73" s="1"/>
      <x:c r="C73" s="1"/>
      <x:c r="D73" s="1"/>
      <x:c r="E73" s="1"/>
      <x:c r="F73" s="1"/>
      <x:c r="G73" s="1"/>
    </x:row>
    <x:row r="74">
      <x:c r="A74" s="1"/>
      <x:c r="B74" s="1"/>
      <x:c r="C74" s="1"/>
      <x:c r="D74" s="1"/>
      <x:c r="E74" s="1"/>
      <x:c r="F74" s="1"/>
      <x:c r="G74" s="1"/>
    </x:row>
    <x:row r="75">
      <x:c r="A75" s="1"/>
      <x:c r="B75" s="1"/>
      <x:c r="C75" s="1"/>
      <x:c r="D75" s="1"/>
      <x:c r="E75" s="1"/>
      <x:c r="F75" s="1"/>
      <x:c r="G75" s="1"/>
    </x:row>
    <x:row r="76">
      <x:c r="A76" s="1"/>
      <x:c r="B76" s="1"/>
      <x:c r="C76" s="1"/>
      <x:c r="D76" s="1"/>
      <x:c r="E76" s="1"/>
      <x:c r="F76" s="1"/>
      <x:c r="G76" s="1"/>
    </x:row>
    <x:row r="77">
      <x:c r="A77" s="1"/>
      <x:c r="B77" s="1"/>
      <x:c r="C77" s="1"/>
      <x:c r="D77" s="1"/>
      <x:c r="E77" s="1"/>
      <x:c r="F77" s="1"/>
      <x:c r="G77" s="1"/>
    </x:row>
    <x:row r="78">
      <x:c r="A78" s="1"/>
      <x:c r="B78" s="1"/>
      <x:c r="C78" s="1"/>
      <x:c r="D78" s="1"/>
      <x:c r="E78" s="1"/>
      <x:c r="F78" s="1"/>
      <x:c r="G78" s="1"/>
    </x:row>
    <x:row r="79">
      <x:c r="A79" s="1"/>
      <x:c r="B79" s="1"/>
      <x:c r="C79" s="1"/>
      <x:c r="D79" s="1"/>
      <x:c r="E79" s="1"/>
      <x:c r="F79" s="1"/>
      <x:c r="G79" s="1"/>
    </x:row>
    <x:row r="80">
      <x:c r="A80" s="1"/>
      <x:c r="B80" s="1"/>
      <x:c r="C80" s="1"/>
      <x:c r="D80" s="1"/>
      <x:c r="E80" s="1"/>
      <x:c r="F80" s="1"/>
      <x:c r="G80" s="1"/>
    </x:row>
  </x:sheetData>
  <x:conditionalFormatting sqref="G7:G24">
    <x:cfRule type="containsText" dxfId="1" priority="1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8" hidden="0" customWidth="1"/>
    <x:col min="4" max="4" width="18" hidden="0" customWidth="1"/>
    <x:col min="5" max="5" width="1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Independent terminal audits</x:v>
      </x:c>
      <x:c r="B2" s="1"/>
      <x:c r="C2" s="1"/>
      <x:c r="D2" s="1"/>
      <x:c r="E2" s="1"/>
    </x:row>
    <x:row r="3">
      <x:c r="A3" s="3" t="str">
        <x:v>Checks read the governing sheets; no output depends on this terminal tab.</x:v>
      </x:c>
      <x:c r="B3" s="3"/>
      <x:c r="C3" s="3"/>
      <x:c r="D3" s="3"/>
      <x:c r="E3" s="3"/>
    </x:row>
    <x:row r="4">
      <x:c r="A4" s="4"/>
      <x:c r="B4" s="4"/>
      <x:c r="C4" s="4"/>
      <x:c r="D4" s="4"/>
      <x:c r="E4" s="4"/>
    </x:row>
    <x:row r="5">
      <x:c r="A5" s="1"/>
      <x:c r="B5" s="1"/>
      <x:c r="C5" s="1"/>
      <x:c r="D5" s="1"/>
      <x:c r="E5" s="1"/>
    </x:row>
    <x:row r="6" ht="30" customHeight="1">
      <x:c r="A6" s="9" t="str">
        <x:v>Audit</x:v>
      </x:c>
      <x:c r="B6" s="9" t="str">
        <x:v>Test</x:v>
      </x:c>
      <x:c r="C6" s="9" t="str">
        <x:v>Observed</x:v>
      </x:c>
      <x:c r="D6" s="9" t="str">
        <x:v>Expected</x:v>
      </x:c>
      <x:c r="E6" s="9" t="str">
        <x:v>Status</x:v>
      </x:c>
    </x:row>
    <x:row r="7">
      <x:c r="A7" s="19" t="str">
        <x:v>A01</x:v>
      </x:c>
      <x:c r="B7" s="19" t="str">
        <x:v>Invited campaign count</x:v>
      </x:c>
      <x:c r="C7" s="19" t="n">
        <x:f>Inputs!B7</x:f>
        <x:v>2</x:v>
      </x:c>
      <x:c r="D7" s="19" t="n">
        <x:v>2</x:v>
      </x:c>
      <x:c r="E7" s="19" t="str">
        <x:f>IF(ABS(C7-D7)&lt;0.000001,"PASS","FAIL")</x:f>
        <x:v>PASS</x:v>
      </x:c>
    </x:row>
    <x:row r="8">
      <x:c r="A8" s="21" t="str">
        <x:v>A02</x:v>
      </x:c>
      <x:c r="B8" s="21" t="str">
        <x:v>Campaign commitments reconcile</x:v>
      </x:c>
      <x:c r="C8" s="21" t="n">
        <x:f>SUM(Inputs!B8:B9)</x:f>
        <x:v>675</x:v>
      </x:c>
      <x:c r="D8" s="21" t="n">
        <x:v>675</x:v>
      </x:c>
      <x:c r="E8" s="21" t="str">
        <x:f>IF(ABS(C8-D8)&lt;0.000001,"PASS","FAIL")</x:f>
        <x:v>PASS</x:v>
      </x:c>
    </x:row>
    <x:row r="9">
      <x:c r="A9" s="21" t="str">
        <x:v>A03</x:v>
      </x:c>
      <x:c r="B9" s="21" t="str">
        <x:v>Domestic plus invited commitments</x:v>
      </x:c>
      <x:c r="C9" s="21" t="n">
        <x:f>SUM(Inputs!B10:B11)</x:f>
        <x:v>2420</x:v>
      </x:c>
      <x:c r="D9" s="21" t="n">
        <x:v>2420</x:v>
      </x:c>
      <x:c r="E9" s="21" t="str">
        <x:f>IF(ABS(C9-D9)&lt;0.000001,"PASS","FAIL")</x:f>
        <x:v>PASS</x:v>
      </x:c>
    </x:row>
    <x:row r="10">
      <x:c r="A10" s="21" t="str">
        <x:v>A04</x:v>
      </x:c>
      <x:c r="B10" s="21" t="str">
        <x:v>Ready inventory bridge</x:v>
      </x:c>
      <x:c r="C10" s="21" t="n">
        <x:f>SUM(Inputs!B12:B14)</x:f>
        <x:v>3667</x:v>
      </x:c>
      <x:c r="D10" s="21" t="n">
        <x:v>3667</x:v>
      </x:c>
      <x:c r="E10" s="21" t="str">
        <x:f>IF(ABS(C10-D10)&lt;0.000001,"PASS","FAIL")</x:f>
        <x:v>PASS</x:v>
      </x:c>
    </x:row>
    <x:row r="11">
      <x:c r="A11" s="21" t="str">
        <x:v>A05</x:v>
      </x:c>
      <x:c r="B11" s="21" t="str">
        <x:v>Owned inventory bridge</x:v>
      </x:c>
      <x:c r="C11" s="21" t="n">
        <x:f>SUM(Inputs!B12:B15)</x:f>
        <x:v>5251</x:v>
      </x:c>
      <x:c r="D11" s="21" t="n">
        <x:v>5251</x:v>
      </x:c>
      <x:c r="E11" s="21" t="str">
        <x:f>IF(ABS(C11-D11)&lt;0.000001,"PASS","FAIL")</x:f>
        <x:v>PASS</x:v>
      </x:c>
    </x:row>
    <x:row r="12">
      <x:c r="A12" s="21" t="str">
        <x:v>A06</x:v>
      </x:c>
      <x:c r="B12" s="21" t="str">
        <x:v>Corridors per serial</x:v>
      </x:c>
      <x:c r="C12" s="21" t="n">
        <x:f>Inputs!B19/Inputs!B10</x:f>
        <x:v>2</x:v>
      </x:c>
      <x:c r="D12" s="21" t="n">
        <x:v>2</x:v>
      </x:c>
      <x:c r="E12" s="21" t="str">
        <x:f>IF(ABS(C12-D12)&lt;0.000001,"PASS","FAIL")</x:f>
        <x:v>PASS</x:v>
      </x:c>
    </x:row>
    <x:row r="13">
      <x:c r="A13" s="21" t="str">
        <x:v>A07</x:v>
      </x:c>
      <x:c r="B13" s="21" t="str">
        <x:v>Segment reservations</x:v>
      </x:c>
      <x:c r="C13" s="21" t="n">
        <x:f>Inputs!B19*Inputs!B20</x:f>
        <x:v>9450</x:v>
      </x:c>
      <x:c r="D13" s="21" t="n">
        <x:v>9450</x:v>
      </x:c>
      <x:c r="E13" s="21" t="str">
        <x:f>IF(ABS(C13-D13)&lt;0.000001,"PASS","FAIL")</x:f>
        <x:v>PASS</x:v>
      </x:c>
    </x:row>
    <x:row r="14">
      <x:c r="A14" s="21" t="str">
        <x:v>A08</x:v>
      </x:c>
      <x:c r="B14" s="21" t="str">
        <x:v>Receiver districts</x:v>
      </x:c>
      <x:c r="C14" s="21" t="n">
        <x:f>Inputs!B23</x:f>
        <x:v>12</x:v>
      </x:c>
      <x:c r="D14" s="21" t="n">
        <x:v>12</x:v>
      </x:c>
      <x:c r="E14" s="21" t="str">
        <x:f>IF(ABS(C14-D14)&lt;0.000001,"PASS","FAIL")</x:f>
        <x:v>PASS</x:v>
      </x:c>
    </x:row>
    <x:row r="15">
      <x:c r="A15" s="21" t="str">
        <x:v>A09</x:v>
      </x:c>
      <x:c r="B15" s="21" t="str">
        <x:v>Partner roots</x:v>
      </x:c>
      <x:c r="C15" s="21" t="n">
        <x:f>Inputs!B26</x:f>
        <x:v>192</x:v>
      </x:c>
      <x:c r="D15" s="21" t="n">
        <x:v>192</x:v>
      </x:c>
      <x:c r="E15" s="21" t="str">
        <x:f>IF(ABS(C15-D15)&lt;0.000001,"PASS","FAIL")</x:f>
        <x:v>PASS</x:v>
      </x:c>
    </x:row>
    <x:row r="16">
      <x:c r="A16" s="21" t="str">
        <x:v>A10</x:v>
      </x:c>
      <x:c r="B16" s="21" t="str">
        <x:v>Assurance cells</x:v>
      </x:c>
      <x:c r="C16" s="21" t="n">
        <x:f>Inputs!B27</x:f>
        <x:v>96</x:v>
      </x:c>
      <x:c r="D16" s="21" t="n">
        <x:v>96</x:v>
      </x:c>
      <x:c r="E16" s="21" t="str">
        <x:f>IF(ABS(C16-D16)&lt;0.000001,"PASS","FAIL")</x:f>
        <x:v>PASS</x:v>
      </x:c>
    </x:row>
    <x:row r="17">
      <x:c r="A17" s="21" t="str">
        <x:v>A11</x:v>
      </x:c>
      <x:c r="B17" s="21" t="str">
        <x:v>Bridge duration</x:v>
      </x:c>
      <x:c r="C17" s="21" t="n">
        <x:f>Inputs!B29</x:f>
        <x:v>18</x:v>
      </x:c>
      <x:c r="D17" s="21" t="n">
        <x:v>18</x:v>
      </x:c>
      <x:c r="E17" s="21" t="str">
        <x:f>IF(ABS(C17-D17)&lt;0.000001,"PASS","FAIL")</x:f>
        <x:v>PASS</x:v>
      </x:c>
    </x:row>
    <x:row r="18">
      <x:c r="A18" s="21" t="str">
        <x:v>A12</x:v>
      </x:c>
      <x:c r="B18" s="21" t="str">
        <x:v>Compact clauses</x:v>
      </x:c>
      <x:c r="C18" s="21" t="n">
        <x:f>COUNTA(Compact!A7:A24)</x:f>
        <x:v>18</x:v>
      </x:c>
      <x:c r="D18" s="21" t="n">
        <x:v>18</x:v>
      </x:c>
      <x:c r="E18" s="21" t="str">
        <x:f>IF(ABS(C18-D18)&lt;0.000001,"PASS","FAIL")</x:f>
        <x:v>PASS</x:v>
      </x:c>
    </x:row>
    <x:row r="19">
      <x:c r="A19" s="21" t="str">
        <x:v>A13</x:v>
      </x:c>
      <x:c r="B19" s="21" t="str">
        <x:v>Constituted compact clauses</x:v>
      </x:c>
      <x:c r="C19" s="21" t="n">
        <x:f>COUNTIFS(Compact!H7:H24,"CONSTITUTED / SOURCE EMPTY")</x:f>
        <x:v>18</x:v>
      </x:c>
      <x:c r="D19" s="21" t="n">
        <x:v>18</x:v>
      </x:c>
      <x:c r="E19" s="21" t="str">
        <x:f>IF(ABS(C19-D19)&lt;0.000001,"PASS","FAIL")</x:f>
        <x:v>PASS</x:v>
      </x:c>
    </x:row>
    <x:row r="20">
      <x:c r="A20" s="21" t="str">
        <x:v>A14</x:v>
      </x:c>
      <x:c r="B20" s="21" t="str">
        <x:v>Authority decisions</x:v>
      </x:c>
      <x:c r="C20" s="21" t="n">
        <x:f>COUNTA(Authority!A7:A20)</x:f>
        <x:v>14</x:v>
      </x:c>
      <x:c r="D20" s="21" t="n">
        <x:v>14</x:v>
      </x:c>
      <x:c r="E20" s="21" t="str">
        <x:f>IF(ABS(C20-D20)&lt;0.000001,"PASS","FAIL")</x:f>
        <x:v>PASS</x:v>
      </x:c>
    </x:row>
    <x:row r="21">
      <x:c r="A21" s="21" t="str">
        <x:v>A15</x:v>
      </x:c>
      <x:c r="B21" s="21" t="str">
        <x:v>Authority gates pass</x:v>
      </x:c>
      <x:c r="C21" s="21" t="n">
        <x:f>COUNTIFS(Authority!H7:H20,"PASS")</x:f>
        <x:v>14</x:v>
      </x:c>
      <x:c r="D21" s="21" t="n">
        <x:v>14</x:v>
      </x:c>
      <x:c r="E21" s="21" t="str">
        <x:f>IF(ABS(C21-D21)&lt;0.000001,"PASS","FAIL")</x:f>
        <x:v>PASS</x:v>
      </x:c>
    </x:row>
    <x:row r="22">
      <x:c r="A22" s="21" t="str">
        <x:v>A16</x:v>
      </x:c>
      <x:c r="B22" s="21" t="str">
        <x:v>Mission contract records</x:v>
      </x:c>
      <x:c r="C22" s="21" t="n">
        <x:f>COUNTA('Mission Contract'!A7:A24)</x:f>
        <x:v>18</x:v>
      </x:c>
      <x:c r="D22" s="21" t="n">
        <x:v>18</x:v>
      </x:c>
      <x:c r="E22" s="21" t="str">
        <x:f>IF(ABS(C22-D22)&lt;0.000001,"PASS","FAIL")</x:f>
        <x:v>PASS</x:v>
      </x:c>
    </x:row>
    <x:row r="23">
      <x:c r="A23" s="21" t="str">
        <x:v>A17</x:v>
      </x:c>
      <x:c r="B23" s="21" t="str">
        <x:v>Effects per campaign</x:v>
      </x:c>
      <x:c r="C23" s="21" t="n">
        <x:f>COUNTA('Mission Contract'!A7:A15)</x:f>
        <x:v>9</x:v>
      </x:c>
      <x:c r="D23" s="21" t="n">
        <x:v>9</x:v>
      </x:c>
      <x:c r="E23" s="21" t="str">
        <x:f>IF(ABS(C23-D23)&lt;0.000001,"PASS","FAIL")</x:f>
        <x:v>PASS</x:v>
      </x:c>
    </x:row>
    <x:row r="24">
      <x:c r="A24" s="21" t="str">
        <x:v>A18</x:v>
      </x:c>
      <x:c r="B24" s="21" t="str">
        <x:v>Evidence planes per record</x:v>
      </x:c>
      <x:c r="C24" s="21" t="n">
        <x:f>MIN('Mission Contract'!H7:H24)</x:f>
        <x:v>5</x:v>
      </x:c>
      <x:c r="D24" s="21" t="n">
        <x:v>5</x:v>
      </x:c>
      <x:c r="E24" s="21" t="str">
        <x:f>IF(ABS(C24-D24)&lt;0.000001,"PASS","FAIL")</x:f>
        <x:v>PASS</x:v>
      </x:c>
    </x:row>
    <x:row r="25">
      <x:c r="A25" s="21" t="str">
        <x:v>A19</x:v>
      </x:c>
      <x:c r="B25" s="21" t="str">
        <x:v>Mission credit held</x:v>
      </x:c>
      <x:c r="C25" s="21" t="n">
        <x:f>COUNTIFS('Mission Contract'!J7:J24,"HOLD")</x:f>
        <x:v>18</x:v>
      </x:c>
      <x:c r="D25" s="21" t="n">
        <x:v>18</x:v>
      </x:c>
      <x:c r="E25" s="21" t="str">
        <x:f>IF(ABS(C25-D25)&lt;0.000001,"PASS","FAIL")</x:f>
        <x:v>PASS</x:v>
      </x:c>
    </x:row>
    <x:row r="26">
      <x:c r="A26" s="21" t="str">
        <x:v>A20</x:v>
      </x:c>
      <x:c r="B26" s="21" t="str">
        <x:v>Non-recall scenarios</x:v>
      </x:c>
      <x:c r="C26" s="21" t="n">
        <x:f>COUNTA('Non-Recall'!A7:A18)</x:f>
        <x:v>12</x:v>
      </x:c>
      <x:c r="D26" s="21" t="n">
        <x:v>12</x:v>
      </x:c>
      <x:c r="E26" s="21" t="str">
        <x:f>IF(ABS(C26-D26)&lt;0.000001,"PASS","FAIL")</x:f>
        <x:v>PASS</x:v>
      </x:c>
    </x:row>
    <x:row r="27">
      <x:c r="A27" s="21" t="str">
        <x:v>A21</x:v>
      </x:c>
      <x:c r="B27" s="21" t="str">
        <x:v>Non-recall checks pass</x:v>
      </x:c>
      <x:c r="C27" s="21" t="n">
        <x:f>COUNTIFS('Non-Recall'!H7:H18,"PASS")</x:f>
        <x:v>12</x:v>
      </x:c>
      <x:c r="D27" s="21" t="n">
        <x:v>12</x:v>
      </x:c>
      <x:c r="E27" s="21" t="str">
        <x:f>IF(ABS(C27-D27)&lt;0.000001,"PASS","FAIL")</x:f>
        <x:v>PASS</x:v>
      </x:c>
    </x:row>
    <x:row r="28">
      <x:c r="A28" s="21" t="str">
        <x:v>A22</x:v>
      </x:c>
      <x:c r="B28" s="21" t="str">
        <x:v>Accepted unreleased states deny recall</x:v>
      </x:c>
      <x:c r="C28" s="21" t="n">
        <x:f>COUNTIFS('Non-Recall'!C7:C18,1,'Non-Recall'!D7:D18,0,'Non-Recall'!F7:F18,"NO — SERVICE OBLIGATION PERSISTS")</x:f>
        <x:v>8</x:v>
      </x:c>
      <x:c r="D28" s="21" t="n">
        <x:v>8</x:v>
      </x:c>
      <x:c r="E28" s="21" t="str">
        <x:f>IF(ABS(C28-D28)&lt;0.000001,"PASS","FAIL")</x:f>
        <x:v>PASS</x:v>
      </x:c>
    </x:row>
    <x:row r="29">
      <x:c r="A29" s="21" t="str">
        <x:v>A23</x:v>
      </x:c>
      <x:c r="B29" s="21" t="str">
        <x:v>Finance rows</x:v>
      </x:c>
      <x:c r="C29" s="21" t="n">
        <x:f>COUNTA(Finance!A7:A17)</x:f>
        <x:v>11</x:v>
      </x:c>
      <x:c r="D29" s="21" t="n">
        <x:v>11</x:v>
      </x:c>
      <x:c r="E29" s="21" t="str">
        <x:f>IF(ABS(C29-D29)&lt;0.000001,"PASS","FAIL")</x:f>
        <x:v>PASS</x:v>
      </x:c>
    </x:row>
    <x:row r="30">
      <x:c r="A30" s="21" t="str">
        <x:v>A24</x:v>
      </x:c>
      <x:c r="B30" s="21" t="str">
        <x:v>Finance grants no readiness</x:v>
      </x:c>
      <x:c r="C30" s="21" t="n">
        <x:f>COUNTIFS(Finance!H7:H17,0)</x:f>
        <x:v>11</x:v>
      </x:c>
      <x:c r="D30" s="21" t="n">
        <x:v>11</x:v>
      </x:c>
      <x:c r="E30" s="21" t="str">
        <x:f>IF(ABS(C30-D30)&lt;0.000001,"PASS","FAIL")</x:f>
        <x:v>PASS</x:v>
      </x:c>
    </x:row>
    <x:row r="31">
      <x:c r="A31" s="21" t="str">
        <x:v>A25</x:v>
      </x:c>
      <x:c r="B31" s="21" t="str">
        <x:v>Activation capital nested</x:v>
      </x:c>
      <x:c r="C31" s="21" t="n">
        <x:f>IF(Finance!B13&lt;Finance!B11,1,0)</x:f>
        <x:v>1</x:v>
      </x:c>
      <x:c r="D31" s="21" t="n">
        <x:v>1</x:v>
      </x:c>
      <x:c r="E31" s="21" t="str">
        <x:f>IF(ABS(C31-D31)&lt;0.000001,"PASS","FAIL")</x:f>
        <x:v>PASS</x:v>
      </x:c>
    </x:row>
    <x:row r="32">
      <x:c r="A32" s="21" t="str">
        <x:v>A26</x:v>
      </x:c>
      <x:c r="B32" s="21" t="str">
        <x:v>Evidence capital nested</x:v>
      </x:c>
      <x:c r="C32" s="21" t="n">
        <x:f>IF(Finance!B15&lt;Finance!B13,1,0)</x:f>
        <x:v>1</x:v>
      </x:c>
      <x:c r="D32" s="21" t="n">
        <x:v>1</x:v>
      </x:c>
      <x:c r="E32" s="21" t="str">
        <x:f>IF(ABS(C32-D32)&lt;0.000001,"PASS","FAIL")</x:f>
        <x:v>PASS</x:v>
      </x:c>
    </x:row>
    <x:row r="33">
      <x:c r="A33" s="21" t="str">
        <x:v>A27</x:v>
      </x:c>
      <x:c r="B33" s="21" t="str">
        <x:v>Partner gate records</x:v>
      </x:c>
      <x:c r="C33" s="21" t="n">
        <x:f>COUNTA('Partner Industry'!A7:A26)</x:f>
        <x:v>20</x:v>
      </x:c>
      <x:c r="D33" s="21" t="n">
        <x:v>20</x:v>
      </x:c>
      <x:c r="E33" s="21" t="str">
        <x:f>IF(ABS(C33-D33)&lt;0.000001,"PASS","FAIL")</x:f>
        <x:v>PASS</x:v>
      </x:c>
    </x:row>
    <x:row r="34">
      <x:c r="A34" s="21" t="str">
        <x:v>A28</x:v>
      </x:c>
      <x:c r="B34" s="21" t="str">
        <x:v>Partner records held</x:v>
      </x:c>
      <x:c r="C34" s="21" t="n">
        <x:f>COUNTIFS('Partner Industry'!I7:I26,"HOLD")</x:f>
        <x:v>20</x:v>
      </x:c>
      <x:c r="D34" s="21" t="n">
        <x:v>20</x:v>
      </x:c>
      <x:c r="E34" s="21" t="str">
        <x:f>IF(ABS(C34-D34)&lt;0.000001,"PASS","FAIL")</x:f>
        <x:v>PASS</x:v>
      </x:c>
    </x:row>
    <x:row r="35">
      <x:c r="A35" s="21" t="str">
        <x:v>A29</x:v>
      </x:c>
      <x:c r="B35" s="21" t="str">
        <x:v>Partner readiness credit zero</x:v>
      </x:c>
      <x:c r="C35" s="21" t="n">
        <x:f>SUM('Partner Industry'!H7:H26)</x:f>
        <x:v>0</x:v>
      </x:c>
      <x:c r="D35" s="21" t="n">
        <x:v>0</x:v>
      </x:c>
      <x:c r="E35" s="21" t="str">
        <x:f>IF(ABS(C35-D35)&lt;0.000001,"PASS","FAIL")</x:f>
        <x:v>PASS</x:v>
      </x:c>
    </x:row>
    <x:row r="36">
      <x:c r="A36" s="21" t="str">
        <x:v>A30</x:v>
      </x:c>
      <x:c r="B36" s="21" t="str">
        <x:v>Data planes</x:v>
      </x:c>
      <x:c r="C36" s="21" t="n">
        <x:f>COUNTA('Data &amp; Rights'!A7:A10)</x:f>
        <x:v>4</x:v>
      </x:c>
      <x:c r="D36" s="21" t="n">
        <x:v>4</x:v>
      </x:c>
      <x:c r="E36" s="21" t="str">
        <x:f>IF(ABS(C36-D36)&lt;0.000001,"PASS","FAIL")</x:f>
        <x:v>PASS</x:v>
      </x:c>
    </x:row>
    <x:row r="37">
      <x:c r="A37" s="21" t="str">
        <x:v>A31</x:v>
      </x:c>
      <x:c r="B37" s="21" t="str">
        <x:v>Civil rights</x:v>
      </x:c>
      <x:c r="C37" s="21" t="n">
        <x:f>COUNTA('Data &amp; Rights'!A14:A27)</x:f>
        <x:v>14</x:v>
      </x:c>
      <x:c r="D37" s="21" t="n">
        <x:v>14</x:v>
      </x:c>
      <x:c r="E37" s="21" t="str">
        <x:f>IF(ABS(C37-D37)&lt;0.000001,"PASS","FAIL")</x:f>
        <x:v>PASS</x:v>
      </x:c>
    </x:row>
    <x:row r="38">
      <x:c r="A38" s="21" t="str">
        <x:v>A32</x:v>
      </x:c>
      <x:c r="B38" s="21" t="str">
        <x:v>Rights evidence held</x:v>
      </x:c>
      <x:c r="C38" s="21" t="n">
        <x:f>COUNTIFS('Data &amp; Rights'!F14:F27,"SOURCE EMPTY / HOLD")</x:f>
        <x:v>14</x:v>
      </x:c>
      <x:c r="D38" s="21" t="n">
        <x:v>14</x:v>
      </x:c>
      <x:c r="E38" s="21" t="str">
        <x:f>IF(ABS(C38-D38)&lt;0.000001,"PASS","FAIL")</x:f>
        <x:v>PASS</x:v>
      </x:c>
    </x:row>
    <x:row r="39">
      <x:c r="A39" s="21" t="str">
        <x:v>A33</x:v>
      </x:c>
      <x:c r="B39" s="21" t="str">
        <x:v>Campaign states</x:v>
      </x:c>
      <x:c r="C39" s="21" t="n">
        <x:f>COUNTA('Transfer &amp; Exit'!A7:A17)</x:f>
        <x:v>11</x:v>
      </x:c>
      <x:c r="D39" s="21" t="n">
        <x:v>11</x:v>
      </x:c>
      <x:c r="E39" s="21" t="str">
        <x:f>IF(ABS(C39-D39)&lt;0.000001,"PASS","FAIL")</x:f>
        <x:v>PASS</x:v>
      </x:c>
    </x:row>
    <x:row r="40">
      <x:c r="A40" s="21" t="str">
        <x:v>A34</x:v>
      </x:c>
      <x:c r="B40" s="21" t="str">
        <x:v>Exit gates</x:v>
      </x:c>
      <x:c r="C40" s="21" t="n">
        <x:f>COUNTA('Transfer &amp; Exit'!A22:A30)</x:f>
        <x:v>9</x:v>
      </x:c>
      <x:c r="D40" s="21" t="n">
        <x:v>9</x:v>
      </x:c>
      <x:c r="E40" s="21" t="str">
        <x:f>IF(ABS(C40-D40)&lt;0.000001,"PASS","FAIL")</x:f>
        <x:v>PASS</x:v>
      </x:c>
    </x:row>
    <x:row r="41">
      <x:c r="A41" s="21" t="str">
        <x:v>A35</x:v>
      </x:c>
      <x:c r="B41" s="21" t="str">
        <x:v>Exit gates open</x:v>
      </x:c>
      <x:c r="C41" s="21" t="n">
        <x:f>COUNTIFS('Transfer &amp; Exit'!E22:E30,"OPEN")</x:f>
        <x:v>9</x:v>
      </x:c>
      <x:c r="D41" s="21" t="n">
        <x:v>9</x:v>
      </x:c>
      <x:c r="E41" s="21" t="str">
        <x:f>IF(ABS(C41-D41)&lt;0.000001,"PASS","FAIL")</x:f>
        <x:v>PASS</x:v>
      </x:c>
    </x:row>
    <x:row r="42">
      <x:c r="A42" s="21" t="str">
        <x:v>A36</x:v>
      </x:c>
      <x:c r="B42" s="21" t="str">
        <x:v>Gate closures this pass</x:v>
      </x:c>
      <x:c r="C42" s="21" t="n">
        <x:f>COUNTA('Gate Delta'!A7:A8)</x:f>
        <x:v>2</x:v>
      </x:c>
      <x:c r="D42" s="21" t="n">
        <x:v>2</x:v>
      </x:c>
      <x:c r="E42" s="21" t="str">
        <x:f>IF(ABS(C42-D42)&lt;0.000001,"PASS","FAIL")</x:f>
        <x:v>PASS</x:v>
      </x:c>
    </x:row>
    <x:row r="43">
      <x:c r="A43" s="21" t="str">
        <x:v>A37</x:v>
      </x:c>
      <x:c r="B43" s="21" t="str">
        <x:v>Publication gates reconcile</x:v>
      </x:c>
      <x:c r="C43" s="21" t="n">
        <x:f>Inputs!B42+Inputs!B43</x:f>
        <x:v>70</x:v>
      </x:c>
      <x:c r="D43" s="21" t="n">
        <x:v>70</x:v>
      </x:c>
      <x:c r="E43" s="21" t="str">
        <x:f>IF(ABS(C43-D43)&lt;0.000001,"PASS","FAIL")</x:f>
        <x:v>PASS</x:v>
      </x:c>
    </x:row>
    <x:row r="44">
      <x:c r="A44" s="21" t="str">
        <x:v>A38</x:v>
      </x:c>
      <x:c r="B44" s="21" t="str">
        <x:v>Completion numerator</x:v>
      </x:c>
      <x:c r="C44" s="21" t="n">
        <x:f>Inputs!B44*Inputs!B39</x:f>
        <x:v>59</x:v>
      </x:c>
      <x:c r="D44" s="21" t="n">
        <x:v>59</x:v>
      </x:c>
      <x:c r="E44" s="21" t="str">
        <x:f>IF(ABS(C44-D44)&lt;0.000001,"PASS","FAIL")</x:f>
        <x:v>PASS</x:v>
      </x:c>
    </x:row>
    <x:row r="45">
      <x:c r="A45" s="21" t="str">
        <x:v>A39</x:v>
      </x:c>
      <x:c r="B45" s="21" t="str">
        <x:v>Mutation detections</x:v>
      </x:c>
      <x:c r="C45" s="21" t="n">
        <x:f>COUNTIFS(Mutations!G7:G24,"PASS")</x:f>
        <x:v>18</x:v>
      </x:c>
      <x:c r="D45" s="21" t="n">
        <x:v>18</x:v>
      </x:c>
      <x:c r="E45" s="21" t="str">
        <x:f>IF(ABS(C45-D45)&lt;0.000001,"PASS","FAIL")</x:f>
        <x:v>PASS</x:v>
      </x:c>
    </x:row>
    <x:row r="46">
      <x:c r="A46" s="21" t="str">
        <x:v>A40</x:v>
      </x:c>
      <x:c r="B46" s="21" t="str">
        <x:v>Publication and rendering authority</x:v>
      </x:c>
      <x:c r="C46" s="21" t="n">
        <x:f>SUM(Inputs!B52:B53)</x:f>
        <x:v>0</x:v>
      </x:c>
      <x:c r="D46" s="21" t="n">
        <x:v>0</x:v>
      </x:c>
      <x:c r="E46" s="21" t="str">
        <x:f>IF(ABS(C46-D46)&lt;0.000001,"PASS","FAIL")</x:f>
        <x:v>PASS</x:v>
      </x:c>
    </x:row>
    <x:row r="47">
      <x:c r="A47" s="1"/>
      <x:c r="B47" s="1"/>
      <x:c r="C47" s="1"/>
      <x:c r="D47" s="1"/>
      <x:c r="E47" s="1"/>
    </x:row>
    <x:row r="48">
      <x:c r="A48" s="1"/>
      <x:c r="B48" s="1"/>
      <x:c r="C48" s="1"/>
      <x:c r="D48" s="1"/>
      <x:c r="E48" s="1"/>
    </x:row>
    <x:row r="49">
      <x:c r="A49" s="1"/>
      <x:c r="B49" s="1"/>
      <x:c r="C49" s="1"/>
      <x:c r="D49" s="1"/>
      <x:c r="E49" s="1"/>
    </x:row>
    <x:row r="50">
      <x:c r="A50" s="1"/>
      <x:c r="B50" s="1"/>
      <x:c r="C50" s="1"/>
      <x:c r="D50" s="1"/>
      <x:c r="E50" s="1"/>
    </x:row>
    <x:row r="51">
      <x:c r="A51" s="1"/>
      <x:c r="B51" s="1"/>
      <x:c r="C51" s="1"/>
      <x:c r="D51" s="1"/>
      <x:c r="E51" s="1"/>
    </x:row>
    <x:row r="52">
      <x:c r="A52" s="1"/>
      <x:c r="B52" s="1"/>
      <x:c r="C52" s="1"/>
      <x:c r="D52" s="1"/>
      <x:c r="E52" s="1"/>
    </x:row>
    <x:row r="53">
      <x:c r="A53" s="1"/>
      <x:c r="B53" s="1"/>
      <x:c r="C53" s="1"/>
      <x:c r="D53" s="1"/>
      <x:c r="E53" s="1"/>
    </x:row>
    <x:row r="54">
      <x:c r="A54" s="1"/>
      <x:c r="B54" s="1"/>
      <x:c r="C54" s="1"/>
      <x:c r="D54" s="1"/>
      <x:c r="E54" s="1"/>
    </x:row>
    <x:row r="55">
      <x:c r="A55" s="1"/>
      <x:c r="B55" s="1"/>
      <x:c r="C55" s="1"/>
      <x:c r="D55" s="1"/>
      <x:c r="E55" s="1"/>
    </x:row>
    <x:row r="56">
      <x:c r="A56" s="1"/>
      <x:c r="B56" s="1"/>
      <x:c r="C56" s="1"/>
      <x:c r="D56" s="1"/>
      <x:c r="E56" s="1"/>
    </x:row>
    <x:row r="57">
      <x:c r="A57" s="1"/>
      <x:c r="B57" s="1"/>
      <x:c r="C57" s="1"/>
      <x:c r="D57" s="1"/>
      <x:c r="E57" s="1"/>
    </x:row>
    <x:row r="58">
      <x:c r="A58" s="1"/>
      <x:c r="B58" s="1"/>
      <x:c r="C58" s="1"/>
      <x:c r="D58" s="1"/>
      <x:c r="E58" s="1"/>
    </x:row>
    <x:row r="59">
      <x:c r="A59" s="1"/>
      <x:c r="B59" s="1"/>
      <x:c r="C59" s="1"/>
      <x:c r="D59" s="1"/>
      <x:c r="E59" s="1"/>
    </x:row>
    <x:row r="60">
      <x:c r="A60" s="1"/>
      <x:c r="B60" s="1"/>
      <x:c r="C60" s="1"/>
      <x:c r="D60" s="1"/>
      <x:c r="E60" s="1"/>
    </x:row>
    <x:row r="61">
      <x:c r="A61" s="1"/>
      <x:c r="B61" s="1"/>
      <x:c r="C61" s="1"/>
      <x:c r="D61" s="1"/>
      <x:c r="E61" s="1"/>
    </x:row>
    <x:row r="62">
      <x:c r="A62" s="1"/>
      <x:c r="B62" s="1"/>
      <x:c r="C62" s="1"/>
      <x:c r="D62" s="1"/>
      <x:c r="E62" s="1"/>
    </x:row>
    <x:row r="63">
      <x:c r="A63" s="1"/>
      <x:c r="B63" s="1"/>
      <x:c r="C63" s="1"/>
      <x:c r="D63" s="1"/>
      <x:c r="E63" s="1"/>
    </x:row>
    <x:row r="64">
      <x:c r="A64" s="1"/>
      <x:c r="B64" s="1"/>
      <x:c r="C64" s="1"/>
      <x:c r="D64" s="1"/>
      <x:c r="E64" s="1"/>
    </x:row>
    <x:row r="65">
      <x:c r="A65" s="1"/>
      <x:c r="B65" s="1"/>
      <x:c r="C65" s="1"/>
      <x:c r="D65" s="1"/>
      <x:c r="E65" s="1"/>
    </x:row>
    <x:row r="66">
      <x:c r="A66" s="1"/>
      <x:c r="B66" s="1"/>
      <x:c r="C66" s="1"/>
      <x:c r="D66" s="1"/>
      <x:c r="E66" s="1"/>
    </x:row>
    <x:row r="67">
      <x:c r="A67" s="1"/>
      <x:c r="B67" s="1"/>
      <x:c r="C67" s="1"/>
      <x:c r="D67" s="1"/>
      <x:c r="E67" s="1"/>
    </x:row>
    <x:row r="68">
      <x:c r="A68" s="1"/>
      <x:c r="B68" s="1"/>
      <x:c r="C68" s="1"/>
      <x:c r="D68" s="1"/>
      <x:c r="E68" s="1"/>
    </x:row>
    <x:row r="69">
      <x:c r="A69" s="1"/>
      <x:c r="B69" s="1"/>
      <x:c r="C69" s="1"/>
      <x:c r="D69" s="1"/>
      <x:c r="E69" s="1"/>
    </x:row>
    <x:row r="70">
      <x:c r="A70" s="1"/>
      <x:c r="B70" s="1"/>
      <x:c r="C70" s="1"/>
      <x:c r="D70" s="1"/>
      <x:c r="E70" s="1"/>
    </x:row>
    <x:row r="71">
      <x:c r="A71" s="1"/>
      <x:c r="B71" s="1"/>
      <x:c r="C71" s="1"/>
      <x:c r="D71" s="1"/>
      <x:c r="E71" s="1"/>
    </x:row>
    <x:row r="72">
      <x:c r="A72" s="1"/>
      <x:c r="B72" s="1"/>
      <x:c r="C72" s="1"/>
      <x:c r="D72" s="1"/>
      <x:c r="E72" s="1"/>
    </x:row>
    <x:row r="73">
      <x:c r="A73" s="1"/>
      <x:c r="B73" s="1"/>
      <x:c r="C73" s="1"/>
      <x:c r="D73" s="1"/>
      <x:c r="E73" s="1"/>
    </x:row>
    <x:row r="74">
      <x:c r="A74" s="1"/>
      <x:c r="B74" s="1"/>
      <x:c r="C74" s="1"/>
      <x:c r="D74" s="1"/>
      <x:c r="E74" s="1"/>
    </x:row>
    <x:row r="75">
      <x:c r="A75" s="1"/>
      <x:c r="B75" s="1"/>
      <x:c r="C75" s="1"/>
      <x:c r="D75" s="1"/>
      <x:c r="E75" s="1"/>
    </x:row>
    <x:row r="76">
      <x:c r="A76" s="1"/>
      <x:c r="B76" s="1"/>
      <x:c r="C76" s="1"/>
      <x:c r="D76" s="1"/>
      <x:c r="E76" s="1"/>
    </x:row>
    <x:row r="77">
      <x:c r="A77" s="1"/>
      <x:c r="B77" s="1"/>
      <x:c r="C77" s="1"/>
      <x:c r="D77" s="1"/>
      <x:c r="E77" s="1"/>
    </x:row>
    <x:row r="78">
      <x:c r="A78" s="1"/>
      <x:c r="B78" s="1"/>
      <x:c r="C78" s="1"/>
      <x:c r="D78" s="1"/>
      <x:c r="E78" s="1"/>
    </x:row>
    <x:row r="79">
      <x:c r="A79" s="1"/>
      <x:c r="B79" s="1"/>
      <x:c r="C79" s="1"/>
      <x:c r="D79" s="1"/>
      <x:c r="E79" s="1"/>
    </x:row>
    <x:row r="80">
      <x:c r="A80" s="1"/>
      <x:c r="B80" s="1"/>
      <x:c r="C80" s="1"/>
      <x:c r="D80" s="1"/>
      <x:c r="E80" s="1"/>
    </x:row>
  </x:sheetData>
  <x:conditionalFormatting sqref="E7:E46">
    <x:cfRule type="containsText" dxfId="0" priority="1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05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Model method and limits</x:v>
      </x:c>
      <x:c r="B2" s="1"/>
      <x:c r="C2" s="1"/>
      <x:c r="D2" s="1"/>
      <x:c r="E2" s="1"/>
      <x:c r="F2" s="1"/>
    </x:row>
    <x:row r="3">
      <x:c r="A3" s="3" t="str">
        <x:v>IRPC-1 is a planning constitution built only from internal research sources.</x:v>
      </x:c>
      <x:c r="B3" s="3"/>
      <x:c r="C3" s="3"/>
      <x:c r="D3" s="3"/>
      <x:c r="E3" s="3"/>
      <x:c r="F3" s="3"/>
    </x:row>
    <x:row r="4">
      <x:c r="A4" s="4"/>
      <x:c r="B4" s="4"/>
      <x:c r="C4" s="4"/>
      <x:c r="D4" s="4"/>
      <x:c r="E4" s="4"/>
      <x:c r="F4" s="4"/>
    </x:row>
    <x:row r="5">
      <x:c r="A5" s="1"/>
      <x:c r="B5" s="1"/>
      <x:c r="C5" s="1"/>
      <x:c r="D5" s="1"/>
      <x:c r="E5" s="1"/>
      <x:c r="F5" s="1"/>
    </x:row>
    <x:row r="6" ht="30" customHeight="1">
      <x:c r="A6" s="9" t="str">
        <x:v>Topic</x:v>
      </x:c>
      <x:c r="B6" s="9" t="str">
        <x:v>Method</x:v>
      </x:c>
      <x:c r="C6" s="1"/>
      <x:c r="D6" s="1"/>
      <x:c r="E6" s="1"/>
      <x:c r="F6" s="1"/>
    </x:row>
    <x:row r="7">
      <x:c r="A7" s="19" t="str">
        <x:v>Purpose</x:v>
      </x:c>
      <x:c r="B7" s="19" t="str">
        <x:v>Test whether invited resilience power can remain sovereign, non-recallable, financially noncoercive and independently transferable.</x:v>
      </x:c>
      <x:c r="C7" s="1"/>
      <x:c r="D7" s="1"/>
      <x:c r="E7" s="1"/>
      <x:c r="F7" s="1"/>
    </x:row>
    <x:row r="8">
      <x:c r="A8" s="21" t="str">
        <x:v>Decision unit</x:v>
      </x:c>
      <x:c r="B8" s="21" t="str">
        <x:v>One accepted campaign service contract and its exact serials, corridors, effect records and exit gates.</x:v>
      </x:c>
      <x:c r="C8" s="1"/>
      <x:c r="D8" s="1"/>
      <x:c r="E8" s="1"/>
      <x:c r="F8" s="1"/>
    </x:row>
    <x:row r="9">
      <x:c r="A9" s="21" t="str">
        <x:v>Formula flow</x:v>
      </x:c>
      <x:c r="B9" s="21" t="str">
        <x:v>Inputs feed summaries and quantitative ledgers. Audit reads the model and never feeds an output.</x:v>
      </x:c>
      <x:c r="C9" s="1"/>
      <x:c r="D9" s="1"/>
      <x:c r="E9" s="1"/>
      <x:c r="F9" s="1"/>
    </x:row>
    <x:row r="10">
      <x:c r="A10" s="21" t="str">
        <x:v>Evidence state</x:v>
      </x:c>
      <x:c r="B10" s="21" t="str">
        <x:v>All host identities, treaties, observations, partner roots, effects and production qualifications are source-empty.</x:v>
      </x:c>
      <x:c r="C10" s="1"/>
      <x:c r="D10" s="1"/>
      <x:c r="E10" s="1"/>
      <x:c r="F10" s="1"/>
    </x:row>
    <x:row r="11">
      <x:c r="A11" s="21" t="str">
        <x:v>Financial meaning</x:v>
      </x:c>
      <x:c r="B11" s="21" t="str">
        <x:v>Constant-2026-dollar planning screens inherited from prior constitutions. Nested amounts are not additive.</x:v>
      </x:c>
      <x:c r="C11" s="1"/>
      <x:c r="D11" s="1"/>
      <x:c r="E11" s="1"/>
      <x:c r="F11" s="1"/>
    </x:row>
    <x:row r="12">
      <x:c r="A12" s="21" t="str">
        <x:v>Precision</x:v>
      </x:c>
      <x:c r="B12" s="21" t="str">
        <x:v>No display exceeds three significant figures unless direct arithmetic preserves a source figure.</x:v>
      </x:c>
      <x:c r="C12" s="1"/>
      <x:c r="D12" s="1"/>
      <x:c r="E12" s="1"/>
      <x:c r="F12" s="1"/>
    </x:row>
    <x:row r="13">
      <x:c r="A13" s="21" t="str">
        <x:v>Mutation method</x:v>
      </x:c>
      <x:c r="B13" s="21" t="str">
        <x:v>Eighteen altered values test non-recall, sovereignty, nesting, rights, publication and rendering boundaries.</x:v>
      </x:c>
      <x:c r="C13" s="1"/>
      <x:c r="D13" s="1"/>
      <x:c r="E13" s="1"/>
      <x:c r="F13" s="1"/>
    </x:row>
    <x:row r="14">
      <x:c r="A14" s="21" t="str">
        <x:v>No authority</x:v>
      </x:c>
      <x:c r="B14" s="21" t="str">
        <x:v>No treaty, country, appropriation, readiness, effect or rendering is authorized.</x:v>
      </x:c>
      <x:c r="C14" s="1"/>
      <x:c r="D14" s="1"/>
      <x:c r="E14" s="1"/>
      <x:c r="F14" s="1"/>
    </x:row>
    <x:row r="15">
      <x:c r="A15" s="21" t="str">
        <x:v>Internal sources</x:v>
      </x:c>
      <x:c r="B15" s="21" t="str">
        <x:v>SPC-1 through SPC-5; NIFS-1; MPC-1; DCA-4; SYN-1 and SYN-2.</x:v>
      </x:c>
      <x:c r="C15" s="1"/>
      <x:c r="D15" s="1"/>
      <x:c r="E15" s="1"/>
      <x:c r="F15" s="1"/>
    </x:row>
    <x:row r="16">
      <x:c r="A16" s="21" t="str">
        <x:v>Publication effect</x:v>
      </x:c>
      <x:c r="B16" s="21" t="str">
        <x:v>Two reader-asset gates close. Editorial completion becomes 59 of 70, or 84.3 percent.</x:v>
      </x:c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</x:sheetData>
  <x:pageMargins left="0.7" right="0.7" top="0.75" bottom="0.75" header="0.3" footer="0.3"/>
</x:worksheet>
</file>