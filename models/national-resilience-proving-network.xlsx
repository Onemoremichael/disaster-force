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12015635f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5e020f489f1451b"/>
    <x:sheet xmlns:r="http://schemas.openxmlformats.org/officeDocument/2006/relationships" name="Controls" sheetId="2" r:id="Rdc7a247372e04016"/>
    <x:sheet xmlns:r="http://schemas.openxmlformats.org/officeDocument/2006/relationships" name="Network Portfolio" sheetId="3" r:id="Rf9b0e54207c74845"/>
    <x:sheet xmlns:r="http://schemas.openxmlformats.org/officeDocument/2006/relationships" name="Site Register" sheetId="4" r:id="R98981dbc3731406a"/>
    <x:sheet xmlns:r="http://schemas.openxmlformats.org/officeDocument/2006/relationships" name="Flagship Requirements" sheetId="5" r:id="R088f4dc9dd384c50"/>
    <x:sheet xmlns:r="http://schemas.openxmlformats.org/officeDocument/2006/relationships" name="Utility Loads" sheetId="6" r:id="R7faaa07e8f5c48c7"/>
    <x:sheet xmlns:r="http://schemas.openxmlformats.org/officeDocument/2006/relationships" name="Capacity Demand" sheetId="7" r:id="Re0a5d93f7a15417d"/>
    <x:sheet xmlns:r="http://schemas.openxmlformats.org/officeDocument/2006/relationships" name="Experiment Ladder" sheetId="8" r:id="Rb212505bf481412f"/>
    <x:sheet xmlns:r="http://schemas.openxmlformats.org/officeDocument/2006/relationships" name="Statistical Power" sheetId="9" r:id="Rfda0a8c7aa61448f"/>
    <x:sheet xmlns:r="http://schemas.openxmlformats.org/officeDocument/2006/relationships" name="Measurement System" sheetId="10" r:id="Rb6eb36c1c7a7459d"/>
    <x:sheet xmlns:r="http://schemas.openxmlformats.org/officeDocument/2006/relationships" name="Safety Cases" sheetId="11" r:id="R67763766a49f4842"/>
    <x:sheet xmlns:r="http://schemas.openxmlformats.org/officeDocument/2006/relationships" name="Environmental Control" sheetId="12" r:id="R8d97e0fd5ad44ab8"/>
    <x:sheet xmlns:r="http://schemas.openxmlformats.org/officeDocument/2006/relationships" name="Campaign Protocols" sheetId="13" r:id="R722a80d1bc8a4285"/>
    <x:sheet xmlns:r="http://schemas.openxmlformats.org/officeDocument/2006/relationships" name="Mobile Test Assets" sheetId="14" r:id="R80bbb5a5c2714f62"/>
    <x:sheet xmlns:r="http://schemas.openxmlformats.org/officeDocument/2006/relationships" name="Workforce" sheetId="15" r:id="R82b00987478f4e04"/>
    <x:sheet xmlns:r="http://schemas.openxmlformats.org/officeDocument/2006/relationships" name="Annual Funding" sheetId="16" r:id="Rf0feb989e2bf4be5"/>
    <x:sheet xmlns:r="http://schemas.openxmlformats.org/officeDocument/2006/relationships" name="Construction Sequence" sheetId="17" r:id="R28dd52935d4547cf"/>
    <x:sheet xmlns:r="http://schemas.openxmlformats.org/officeDocument/2006/relationships" name="Risk Sensitivity" sheetId="18" r:id="Rae45358ec1ec442a"/>
    <x:sheet xmlns:r="http://schemas.openxmlformats.org/officeDocument/2006/relationships" name="Checks" sheetId="19" r:id="R5cfa1c192ca74d24"/>
    <x:sheet xmlns:r="http://schemas.openxmlformats.org/officeDocument/2006/relationships" name="Sources" sheetId="20" r:id="Re66add890559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$0.0&quot;B&quot;"/>
    <x:numFmt numFmtId="202" formatCode="0.00"/>
    <x:numFmt numFmtId="203" formatCode="0.0"/>
    <x:numFmt numFmtId="204" formatCode="$0.00&quot;B&quot;"/>
    <x:numFmt numFmtId="205" formatCode="#,##0.0"/>
    <x:numFmt numFmtId="206" formatCode="$#,##0.0&quot;M&quot;"/>
    <x:numFmt numFmtId="207" formatCode="#,##0"/>
    <x:numFmt numFmtId="208" formatCode="#,##0.00"/>
  </x:numFmts>
  <x:fonts count="7">
    <x:font>
      <x:sz val="11"/>
      <x:name val="Carlito"/>
    </x:font>
    <x:font>
      <x:b/>
      <x:sz val="15"/>
      <x:color rgb="FF17212B"/>
      <x:name val="Arial"/>
    </x:font>
    <x:font>
      <x:i/>
      <x:sz val="9"/>
      <x:color rgb="FF4A5968"/>
      <x:name val="Arial"/>
    </x:font>
    <x:font>
      <x:b/>
      <x:sz val="9"/>
      <x:color rgb="FF17212B"/>
      <x:name val="Arial"/>
    </x:font>
    <x:font>
      <x:i/>
      <x:sz val="9"/>
      <x:color rgb="FF17212B"/>
      <x:name val="Arial"/>
    </x:font>
    <x:font>
      <x:sz val="9"/>
      <x:color rgb="FF17212B"/>
      <x:name val="Arial"/>
    </x:font>
    <x:font>
      <x:b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AF1F5"/>
      </x:patternFill>
    </x:fill>
    <x:fill>
      <x:patternFill patternType="solid">
        <x:fgColor rgb="FFFFF0C2"/>
      </x:patternFill>
    </x:fill>
    <x:fill>
      <x:patternFill patternType="solid">
        <x:fgColor rgb="FF17324D"/>
      </x:patternFill>
    </x:fill>
    <x:fill>
      <x:patternFill patternType="solid">
        <x:fgColor rgb="FFE7EBEE"/>
      </x:patternFill>
    </x:fill>
    <x:fill>
      <x:patternFill patternType="solid">
        <x:fgColor rgb="FFF4CCCC"/>
      </x:patternFill>
    </x:fill>
  </x:fills>
  <x:borders count="2">
    <x:border/>
    <x:border>
      <x:bottom style="thin">
        <x:color rgb="FF2C6684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200" fontId="0" fillId="3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1" fontId="0" fillId="3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201" fontId="0" fillId="5" borderId="0" xfId="0" applyNumberFormat="1" applyFont="1" applyFill="1" applyBorder="1" applyAlignment="1">
      <x:alignment vertical="top"/>
    </x:xf>
    <x:xf numFmtId="201" fontId="0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3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2" fontId="0" fillId="3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5" fontId="0" fillId="3" borderId="0" xfId="0" applyNumberFormat="1" applyFont="1" applyFill="1" applyBorder="1"/>
    <x:xf numFmtId="205" fontId="0" fillId="0" borderId="0" xfId="0" applyNumberFormat="1" applyFont="1" applyFill="1" applyBorder="1"/>
    <x:xf numFmtId="205" fontId="0" fillId="3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205" fontId="0" fillId="3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206" fontId="0" fillId="3" borderId="0" xfId="0" applyNumberFormat="1" applyFont="1" applyFill="1" applyBorder="1"/>
    <x:xf numFmtId="206" fontId="0" fillId="3" borderId="0" xfId="0" applyNumberFormat="1" applyFont="1" applyFill="1" applyBorder="1" applyAlignment="1">
      <x:alignment vertical="top"/>
    </x:xf>
    <x:xf numFmtId="206" fontId="0" fillId="3" borderId="0" xfId="0" applyNumberFormat="1" applyFont="1" applyFill="1" applyBorder="1" applyAlignment="1">
      <x:alignment vertical="top" wrapText="1"/>
    </x:xf>
    <x:xf numFmtId="207" fontId="0" fillId="3" borderId="0" xfId="0" applyNumberFormat="1" applyFont="1" applyFill="1" applyBorder="1"/>
    <x:xf numFmtId="207" fontId="0" fillId="0" borderId="0" xfId="0" applyNumberFormat="1" applyFont="1" applyFill="1" applyBorder="1"/>
    <x:xf numFmtId="207" fontId="0" fillId="5" borderId="0" xfId="0" applyNumberFormat="1" applyFont="1" applyFill="1" applyBorder="1"/>
    <x:xf numFmtId="207" fontId="0" fillId="3" borderId="0" xfId="0" applyNumberFormat="1" applyFont="1" applyFill="1" applyBorder="1" applyAlignment="1">
      <x:alignment vertical="top"/>
    </x:xf>
    <x:xf numFmtId="207" fontId="0" fillId="0" borderId="0" xfId="0" applyNumberFormat="1" applyFont="1" applyFill="1" applyBorder="1" applyAlignment="1">
      <x:alignment vertical="top"/>
    </x:xf>
    <x:xf numFmtId="207" fontId="0" fillId="5" borderId="0" xfId="0" applyNumberFormat="1" applyFont="1" applyFill="1" applyBorder="1" applyAlignment="1">
      <x:alignment vertical="top"/>
    </x:xf>
    <x:xf numFmtId="207" fontId="0" fillId="3" borderId="0" xfId="0" applyNumberFormat="1" applyFont="1" applyFill="1" applyBorder="1" applyAlignment="1">
      <x:alignment vertical="top" wrapText="1"/>
    </x:xf>
    <x:xf numFmtId="207" fontId="0" fillId="0" borderId="0" xfId="0" applyNumberFormat="1" applyFont="1" applyFill="1" applyBorder="1" applyAlignment="1">
      <x:alignment vertical="top" wrapText="1"/>
    </x:xf>
    <x:xf numFmtId="207" fontId="0" fillId="5" borderId="0" xfId="0" applyNumberFormat="1" applyFont="1" applyFill="1" applyBorder="1" applyAlignment="1">
      <x:alignment vertical="top" wrapText="1"/>
    </x:xf>
    <x:xf numFmtId="208" fontId="0" fillId="0" borderId="0" xfId="0" applyNumberFormat="1" applyFont="1" applyFill="1" applyBorder="1"/>
    <x:xf numFmtId="208" fontId="0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1e8c1ec664804" /><Relationship Type="http://schemas.openxmlformats.org/officeDocument/2006/relationships/theme" Target="/xl/theme/theme1.xml" Id="R0103124720064d50" /><Relationship Type="http://schemas.openxmlformats.org/officeDocument/2006/relationships/sharedStrings" Target="/xl/sharedStrings.xml" Id="R28b8566c4848433a" /><Relationship Type="http://schemas.openxmlformats.org/officeDocument/2006/relationships/worksheet" Target="/xl/worksheets/sheet1.xml" Id="Re5e020f489f1451b" /><Relationship Type="http://schemas.openxmlformats.org/officeDocument/2006/relationships/worksheet" Target="/xl/worksheets/sheet2.xml" Id="Rdc7a247372e04016" /><Relationship Type="http://schemas.openxmlformats.org/officeDocument/2006/relationships/worksheet" Target="/xl/worksheets/sheet3.xml" Id="Rf9b0e54207c74845" /><Relationship Type="http://schemas.openxmlformats.org/officeDocument/2006/relationships/worksheet" Target="/xl/worksheets/sheet4.xml" Id="R98981dbc3731406a" /><Relationship Type="http://schemas.openxmlformats.org/officeDocument/2006/relationships/worksheet" Target="/xl/worksheets/sheet5.xml" Id="R088f4dc9dd384c50" /><Relationship Type="http://schemas.openxmlformats.org/officeDocument/2006/relationships/worksheet" Target="/xl/worksheets/sheet6.xml" Id="R7faaa07e8f5c48c7" /><Relationship Type="http://schemas.openxmlformats.org/officeDocument/2006/relationships/worksheet" Target="/xl/worksheets/sheet7.xml" Id="Re0a5d93f7a15417d" /><Relationship Type="http://schemas.openxmlformats.org/officeDocument/2006/relationships/worksheet" Target="/xl/worksheets/sheet8.xml" Id="Rb212505bf481412f" /><Relationship Type="http://schemas.openxmlformats.org/officeDocument/2006/relationships/worksheet" Target="/xl/worksheets/sheet9.xml" Id="Rfda0a8c7aa61448f" /><Relationship Type="http://schemas.openxmlformats.org/officeDocument/2006/relationships/worksheet" Target="/xl/worksheets/sheet10.xml" Id="Rb6eb36c1c7a7459d" /><Relationship Type="http://schemas.openxmlformats.org/officeDocument/2006/relationships/worksheet" Target="/xl/worksheets/sheet11.xml" Id="R67763766a49f4842" /><Relationship Type="http://schemas.openxmlformats.org/officeDocument/2006/relationships/worksheet" Target="/xl/worksheets/sheet12.xml" Id="R8d97e0fd5ad44ab8" /><Relationship Type="http://schemas.openxmlformats.org/officeDocument/2006/relationships/worksheet" Target="/xl/worksheets/sheet13.xml" Id="R722a80d1bc8a4285" /><Relationship Type="http://schemas.openxmlformats.org/officeDocument/2006/relationships/worksheet" Target="/xl/worksheets/sheet14.xml" Id="R80bbb5a5c2714f62" /><Relationship Type="http://schemas.openxmlformats.org/officeDocument/2006/relationships/worksheet" Target="/xl/worksheets/sheet15.xml" Id="R82b00987478f4e04" /><Relationship Type="http://schemas.openxmlformats.org/officeDocument/2006/relationships/worksheet" Target="/xl/worksheets/sheet16.xml" Id="Rf0feb989e2bf4be5" /><Relationship Type="http://schemas.openxmlformats.org/officeDocument/2006/relationships/worksheet" Target="/xl/worksheets/sheet17.xml" Id="R28dd52935d4547cf" /><Relationship Type="http://schemas.openxmlformats.org/officeDocument/2006/relationships/worksheet" Target="/xl/worksheets/sheet18.xml" Id="Rae45358ec1ec442a" /><Relationship Type="http://schemas.openxmlformats.org/officeDocument/2006/relationships/worksheet" Target="/xl/worksheets/sheet19.xml" Id="R5cfa1c192ca74d24" /><Relationship Type="http://schemas.openxmlformats.org/officeDocument/2006/relationships/worksheet" Target="/xl/worksheets/sheet20.xml" Id="Re66add89055947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6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</x:cols>
  <x:sheetData>
    <x:row r="1">
      <x:c r="A1" s="75" t="str">
        <x:v>National Resilience Proving Network</x:v>
      </x:c>
      <x:c r="B1" s="75"/>
      <x:c r="C1" s="75"/>
      <x:c r="D1" s="75"/>
      <x:c r="E1" s="75"/>
      <x:c r="F1" s="75"/>
      <x:c r="G1" s="75"/>
      <x:c r="H1" s="75"/>
    </x:row>
    <x:row r="2">
      <x:c r="A2" s="76" t="str">
        <x:v>Facility-scale design study for a sovereign disaster research, test and evaluation system. All capacities and costs are hypotheses.</x:v>
      </x:c>
      <x:c r="B2" s="76"/>
      <x:c r="C2" s="76"/>
      <x:c r="D2" s="76"/>
      <x:c r="E2" s="76"/>
      <x:c r="F2" s="76"/>
      <x:c r="G2" s="76"/>
      <x:c r="H2" s="76"/>
    </x:row>
    <x:row r="3">
      <x:c r="A3" s="77"/>
      <x:c r="B3" s="77"/>
      <x:c r="C3" s="77"/>
      <x:c r="D3" s="77"/>
      <x:c r="E3" s="77"/>
      <x:c r="F3" s="77"/>
      <x:c r="G3" s="77"/>
      <x:c r="H3" s="77"/>
    </x:row>
    <x:row r="4">
      <x:c r="A4" s="22"/>
      <x:c r="B4" s="22"/>
      <x:c r="C4" s="22"/>
      <x:c r="D4" s="22"/>
      <x:c r="E4" s="22"/>
      <x:c r="F4" s="22"/>
      <x:c r="G4" s="22"/>
      <x:c r="H4" s="22"/>
    </x:row>
    <x:row r="5">
      <x:c r="A5" s="11" t="str">
        <x:v>Purpose</x:v>
      </x:c>
      <x:c r="B5" s="12" t="str">
        <x:v>Translate the Department-wide $320B proving-network allocation into facility families, sites, utilities, test capacity, evidence power, safety and twenty-five-year construction.</x:v>
      </x:c>
      <x:c r="C5" s="22"/>
      <x:c r="D5" s="22"/>
      <x:c r="E5" s="22"/>
      <x:c r="F5" s="22"/>
      <x:c r="G5" s="22"/>
      <x:c r="H5" s="22"/>
    </x:row>
    <x:row r="6">
      <x:c r="A6" s="11" t="str">
        <x:v>Decision use</x:v>
      </x:c>
      <x:c r="B6" s="12" t="str">
        <x:v>Identify which physical environments and evidence services must exist before novel resilience systems can earn readiness or rendering credit.</x:v>
      </x:c>
      <x:c r="C6" s="22"/>
      <x:c r="D6" s="22"/>
      <x:c r="E6" s="22"/>
      <x:c r="F6" s="22"/>
      <x:c r="G6" s="22"/>
      <x:c r="H6" s="22"/>
    </x:row>
    <x:row r="7">
      <x:c r="A7" s="11" t="str">
        <x:v>Selected case</x:v>
      </x:c>
      <x:c r="B7" s="12" t="str">
        <x:v>58 sites across ten families: ten national flagships, twenty-one regional ranges and twenty-seven satellite/conformance nodes.</x:v>
      </x:c>
      <x:c r="C7" s="22"/>
      <x:c r="D7" s="22"/>
      <x:c r="E7" s="22"/>
      <x:c r="F7" s="22"/>
      <x:c r="G7" s="22"/>
      <x:c r="H7" s="22"/>
    </x:row>
    <x:row r="8">
      <x:c r="A8" s="11" t="str">
        <x:v>Budget treatment</x:v>
      </x:c>
      <x:c r="B8" s="12" t="str">
        <x:v>$320B is the Pass 16 strategic-case proving-network envelope. It includes facilities, instruments, mobile assets, commissioning, trials, renewal and contingency; it is not additive to the $2T technology case.</x:v>
      </x:c>
      <x:c r="C8" s="22"/>
      <x:c r="D8" s="22"/>
      <x:c r="E8" s="22"/>
      <x:c r="F8" s="22"/>
      <x:c r="G8" s="22"/>
      <x:c r="H8" s="22"/>
    </x:row>
    <x:row r="9">
      <x:c r="A9" s="11" t="str">
        <x:v>Capacity unit</x:v>
      </x:c>
      <x:c r="B9" s="12" t="str">
        <x:v>Equivalent test campaign per year, defined separately within each family. Capacity is comparable only inside a family.</x:v>
      </x:c>
      <x:c r="C9" s="22"/>
      <x:c r="D9" s="22"/>
      <x:c r="E9" s="22"/>
      <x:c r="F9" s="22"/>
      <x:c r="G9" s="22"/>
      <x:c r="H9" s="22"/>
    </x:row>
    <x:row r="10">
      <x:c r="A10" s="11" t="str">
        <x:v>Evidence rule</x:v>
      </x:c>
      <x:c r="B10" s="12" t="str">
        <x:v>Simulation, elemental, subsystem, full-system, formation and operational evidence remain separate. Expensive full-scale trials do not excuse weak statistical design.</x:v>
      </x:c>
      <x:c r="C10" s="22"/>
      <x:c r="D10" s="22"/>
      <x:c r="E10" s="22"/>
      <x:c r="F10" s="22"/>
      <x:c r="G10" s="22"/>
      <x:c r="H10" s="22"/>
    </x:row>
    <x:row r="11">
      <x:c r="A11" s="11" t="str">
        <x:v>Safety rule</x:v>
      </x:c>
      <x:c r="B11" s="12" t="str">
        <x:v>Every facility requires a configuration-specific safety case, independent stop authority, environmental mass balance, emergency response and restoration plan.</x:v>
      </x:c>
      <x:c r="C11" s="22"/>
      <x:c r="D11" s="22"/>
      <x:c r="E11" s="22"/>
      <x:c r="F11" s="22"/>
      <x:c r="G11" s="22"/>
      <x:c r="H11" s="22"/>
    </x:row>
    <x:row r="12">
      <x:c r="A12" s="11" t="str">
        <x:v>Siting rule</x:v>
      </x:c>
      <x:c r="B12" s="12" t="str">
        <x:v>No city or parcel is selected. Geographic roles and constraints are requirements for a later open siting analysis.</x:v>
      </x:c>
      <x:c r="C12" s="22"/>
      <x:c r="D12" s="22"/>
      <x:c r="E12" s="22"/>
      <x:c r="F12" s="22"/>
      <x:c r="G12" s="22"/>
      <x:c r="H12" s="22"/>
    </x:row>
    <x:row r="13">
      <x:c r="A13" s="11" t="str">
        <x:v>Rendering gate</x:v>
      </x:c>
      <x:c r="B13" s="12" t="str">
        <x:v>This workbook authorizes architecture diagrams of facilities only after design maturity. It authorizes no vehicle, ship, aircraft or ground-system rendering.</x:v>
      </x:c>
      <x:c r="C13" s="22"/>
      <x:c r="D13" s="22"/>
      <x:c r="E13" s="22"/>
      <x:c r="F13" s="22"/>
      <x:c r="G13" s="22"/>
      <x:c r="H13" s="22"/>
    </x:row>
    <x:row r="14">
      <x:c r="A14" s="11" t="str">
        <x:v>Limitation</x:v>
      </x:c>
      <x:c r="B14" s="12" t="str">
        <x:v>Not an independent cost estimate, construction design, environmental review, biosafety determination, airspace authorization, human-subjects protocol or statistical analysis plan.</x:v>
      </x:c>
      <x:c r="C14" s="22"/>
      <x:c r="D14" s="22"/>
      <x:c r="E14" s="22"/>
      <x:c r="F14" s="22"/>
      <x:c r="G14" s="22"/>
      <x:c r="H14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20" hidden="0" customWidth="1"/>
    <x:col min="4" max="4" width="15" hidden="0" customWidth="1"/>
    <x:col min="5" max="5" width="74" hidden="0" customWidth="1"/>
  </x:cols>
  <x:sheetData>
    <x:row r="1">
      <x:c r="A1" s="75" t="str">
        <x:v>Controls</x:v>
      </x:c>
      <x:c r="B1" s="75"/>
      <x:c r="C1" s="75"/>
      <x:c r="D1" s="75"/>
      <x:c r="E1" s="75"/>
    </x:row>
    <x:row r="2">
      <x:c r="A2" s="76" t="str">
        <x:v>Editable planning controls. Yellow cells are assumptions; formulas elsewhere reference this sheet.</x:v>
      </x:c>
      <x:c r="B2" s="76"/>
      <x:c r="C2" s="76"/>
      <x:c r="D2" s="76"/>
      <x:c r="E2" s="76"/>
    </x:row>
    <x:row r="3">
      <x:c r="A3" s="77"/>
      <x:c r="B3" s="77"/>
      <x:c r="C3" s="77"/>
      <x:c r="D3" s="77"/>
      <x:c r="E3" s="77"/>
    </x:row>
    <x:row r="4">
      <x:c r="A4" s="22"/>
      <x:c r="B4" s="22"/>
      <x:c r="C4" s="22"/>
      <x:c r="D4" s="22"/>
      <x:c r="E4" s="22"/>
    </x:row>
    <x:row r="5" ht="30" customHeight="1">
      <x:c r="A5" s="21" t="str">
        <x:v>Control</x:v>
      </x:c>
      <x:c r="B5" s="21" t="str">
        <x:v>Value</x:v>
      </x:c>
      <x:c r="C5" s="21" t="str">
        <x:v>Unit</x:v>
      </x:c>
      <x:c r="D5" s="21" t="str">
        <x:v>Type</x:v>
      </x:c>
      <x:c r="E5" s="21" t="str">
        <x:v>Meaning</x:v>
      </x:c>
    </x:row>
    <x:row r="6">
      <x:c r="A6" s="26" t="str">
        <x:v>Technology envelope</x:v>
      </x:c>
      <x:c r="B6" s="27" t="n">
        <x:v>2000</x:v>
      </x:c>
      <x:c r="C6" s="26" t="str">
        <x:v>$B real 2026</x:v>
      </x:c>
      <x:c r="D6" s="26" t="str">
        <x:v>Input</x:v>
      </x:c>
      <x:c r="E6" s="26" t="str">
        <x:v>Selected Department-wide strategic technology case</x:v>
      </x:c>
    </x:row>
    <x:row r="7">
      <x:c r="A7" s="26" t="str">
        <x:v>Proving network share</x:v>
      </x:c>
      <x:c r="B7" s="28" t="n">
        <x:v>0.16</x:v>
      </x:c>
      <x:c r="C7" s="26" t="str">
        <x:v>share</x:v>
      </x:c>
      <x:c r="D7" s="26" t="str">
        <x:v>Input</x:v>
      </x:c>
      <x:c r="E7" s="26" t="str">
        <x:v>Cross-classification within technology envelope</x:v>
      </x:c>
    </x:row>
    <x:row r="8">
      <x:c r="A8" s="26" t="str">
        <x:v>Proving network envelope</x:v>
      </x:c>
      <x:c r="B8" s="29" t="n">
        <x:f>B6*B7</x:f>
        <x:v>320</x:v>
      </x:c>
      <x:c r="C8" s="26" t="str">
        <x:v>$B real 2026</x:v>
      </x:c>
      <x:c r="D8" s="26" t="str">
        <x:v>Formula</x:v>
      </x:c>
      <x:c r="E8" s="26" t="str">
        <x:v>Technology envelope × proving-network share</x:v>
      </x:c>
    </x:row>
    <x:row r="9">
      <x:c r="A9" s="26" t="str">
        <x:v>Flagship allocation share</x:v>
      </x:c>
      <x:c r="B9" s="28" t="n">
        <x:v>0.45</x:v>
      </x:c>
      <x:c r="C9" s="26" t="str">
        <x:v>share of family</x:v>
      </x:c>
      <x:c r="D9" s="26" t="str">
        <x:v>Input</x:v>
      </x:c>
      <x:c r="E9" s="26" t="str">
        <x:v>National-scale unique facilities</x:v>
      </x:c>
    </x:row>
    <x:row r="10">
      <x:c r="A10" s="26" t="str">
        <x:v>Regional allocation share</x:v>
      </x:c>
      <x:c r="B10" s="28" t="n">
        <x:v>0.35</x:v>
      </x:c>
      <x:c r="C10" s="26" t="str">
        <x:v>share of family</x:v>
      </x:c>
      <x:c r="D10" s="26" t="str">
        <x:v>Input</x:v>
      </x:c>
      <x:c r="E10" s="26" t="str">
        <x:v>Climate/geography and replication ranges</x:v>
      </x:c>
    </x:row>
    <x:row r="11">
      <x:c r="A11" s="26" t="str">
        <x:v>Node allocation share</x:v>
      </x:c>
      <x:c r="B11" s="28" t="n">
        <x:v>0.2</x:v>
      </x:c>
      <x:c r="C11" s="26" t="str">
        <x:v>share of family</x:v>
      </x:c>
      <x:c r="D11" s="26" t="str">
        <x:v>Input</x:v>
      </x:c>
      <x:c r="E11" s="26" t="str">
        <x:v>Satellite, conformance and event-response nodes</x:v>
      </x:c>
    </x:row>
    <x:row r="12">
      <x:c r="A12" s="26" t="str">
        <x:v>Planning utilization ceiling</x:v>
      </x:c>
      <x:c r="B12" s="27" t="n">
        <x:v>0.8</x:v>
      </x:c>
      <x:c r="C12" s="26" t="str">
        <x:v>share</x:v>
      </x:c>
      <x:c r="D12" s="26" t="str">
        <x:v>Input</x:v>
      </x:c>
      <x:c r="E12" s="26" t="str">
        <x:v>Above this queue and schedule fragility require added capacity</x:v>
      </x:c>
    </x:row>
    <x:row r="13">
      <x:c r="A13" s="26" t="str">
        <x:v>Isolated utility duration</x:v>
      </x:c>
      <x:c r="B13" s="28" t="n">
        <x:v>72</x:v>
      </x:c>
      <x:c r="C13" s="26" t="str">
        <x:v>hours</x:v>
      </x:c>
      <x:c r="D13" s="26" t="str">
        <x:v>Input</x:v>
      </x:c>
      <x:c r="E13" s="26" t="str">
        <x:v>Minimum critical site operation without external utility</x:v>
      </x:c>
    </x:row>
    <x:row r="14">
      <x:c r="A14" s="26" t="str">
        <x:v>Binary confidence</x:v>
      </x:c>
      <x:c r="B14" s="28" t="n">
        <x:v>0.95</x:v>
      </x:c>
      <x:c r="C14" s="26" t="str">
        <x:v>share</x:v>
      </x:c>
      <x:c r="D14" s="26" t="str">
        <x:v>Input</x:v>
      </x:c>
      <x:c r="E14" s="26" t="str">
        <x:v>One-sided confidence for zero-failure demonstration screen</x:v>
      </x:c>
    </x:row>
    <x:row r="15">
      <x:c r="A15" s="26" t="str">
        <x:v>Two-sided alpha</x:v>
      </x:c>
      <x:c r="B15" s="27" t="n">
        <x:v>0.05</x:v>
      </x:c>
      <x:c r="C15" s="26" t="str">
        <x:v>share</x:v>
      </x:c>
      <x:c r="D15" s="26" t="str">
        <x:v>Input</x:v>
      </x:c>
      <x:c r="E15" s="26" t="str">
        <x:v>Mean-comparison planning screen</x:v>
      </x:c>
    </x:row>
    <x:row r="16">
      <x:c r="A16" s="26" t="str">
        <x:v>Target power</x:v>
      </x:c>
      <x:c r="B16" s="27" t="n">
        <x:v>0.8</x:v>
      </x:c>
      <x:c r="C16" s="26" t="str">
        <x:v>share</x:v>
      </x:c>
      <x:c r="D16" s="26" t="str">
        <x:v>Input</x:v>
      </x:c>
      <x:c r="E16" s="26" t="str">
        <x:v>Mean-comparison planning screen</x:v>
      </x:c>
    </x:row>
    <x:row r="17">
      <x:c r="A17" s="26" t="str">
        <x:v>Z alpha/2</x:v>
      </x:c>
      <x:c r="B17" s="27" t="n">
        <x:v>1.96</x:v>
      </x:c>
      <x:c r="C17" s="26" t="str">
        <x:v>z</x:v>
      </x:c>
      <x:c r="D17" s="26" t="str">
        <x:v>Input</x:v>
      </x:c>
      <x:c r="E17" s="26" t="str">
        <x:v>Normal approximation for alpha 0.05</x:v>
      </x:c>
    </x:row>
    <x:row r="18">
      <x:c r="A18" s="26" t="str">
        <x:v>Z beta</x:v>
      </x:c>
      <x:c r="B18" s="27" t="n">
        <x:v>0.84</x:v>
      </x:c>
      <x:c r="C18" s="26" t="str">
        <x:v>z</x:v>
      </x:c>
      <x:c r="D18" s="26" t="str">
        <x:v>Input</x:v>
      </x:c>
      <x:c r="E18" s="26" t="str">
        <x:v>Normal approximation for 80% power</x:v>
      </x:c>
    </x:row>
    <x:row r="19">
      <x:c r="A19" s="26" t="str">
        <x:v>Independent slot reserve</x:v>
      </x:c>
      <x:c r="B19" s="28" t="n">
        <x:v>0.2</x:v>
      </x:c>
      <x:c r="C19" s="26" t="str">
        <x:v>share</x:v>
      </x:c>
      <x:c r="D19" s="26" t="str">
        <x:v>Input</x:v>
      </x:c>
      <x:c r="E19" s="26" t="str">
        <x:v>RTEA replication and adversarial testing</x:v>
      </x:c>
    </x:row>
    <x:row r="20">
      <x:c r="A20" s="26" t="str">
        <x:v>Event-response slot reserve</x:v>
      </x:c>
      <x:c r="B20" s="28" t="n">
        <x:v>0.15</x:v>
      </x:c>
      <x:c r="C20" s="26" t="str">
        <x:v>share</x:v>
      </x:c>
      <x:c r="D20" s="26" t="str">
        <x:v>Input</x:v>
      </x:c>
      <x:c r="E20" s="26" t="str">
        <x:v>Perishable evidence and rapid post-event work</x:v>
      </x:c>
    </x:row>
    <x:row r="21">
      <x:c r="A21" s="26" t="str">
        <x:v>Open-competition slot reserve</x:v>
      </x:c>
      <x:c r="B21" s="28" t="n">
        <x:v>0.1</x:v>
      </x:c>
      <x:c r="C21" s="26" t="str">
        <x:v>share</x:v>
      </x:c>
      <x:c r="D21" s="26" t="str">
        <x:v>Input</x:v>
      </x:c>
      <x:c r="E21" s="26" t="str">
        <x:v>Small firms, universities, partners and challengers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16" hidden="0" customWidth="1"/>
    <x:col min="3" max="3" width="13" hidden="0" customWidth="1"/>
    <x:col min="4" max="4" width="18" hidden="0" customWidth="1"/>
    <x:col min="5" max="5" width="12" hidden="0" customWidth="1"/>
    <x:col min="6" max="6" width="14" hidden="0" customWidth="1"/>
    <x:col min="7" max="7" width="51" hidden="0" customWidth="1"/>
    <x:col min="8" max="8" width="56" hidden="0" customWidth="1"/>
    <x:col min="9" max="9" width="43" hidden="0" customWidth="1"/>
    <x:col min="10" max="10" width="58" hidden="0" customWidth="1"/>
  </x:cols>
  <x:sheetData>
    <x:row r="1">
      <x:c r="A1" s="75" t="str">
        <x:v>Network portfolio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>
      <x:c r="A2" s="76" t="str">
        <x:v>Ten facility families reconcile to the selected $320B envelope and 58-site architecture.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 ht="30" customHeight="1">
      <x:c r="A5" s="21" t="str">
        <x:v>Family</x:v>
      </x:c>
      <x:c r="B5" s="21" t="str">
        <x:v>25-year $B</x:v>
      </x:c>
      <x:c r="C5" s="21" t="str">
        <x:v>Flagships</x:v>
      </x:c>
      <x:c r="D5" s="21" t="str">
        <x:v>Regional ranges</x:v>
      </x:c>
      <x:c r="E5" s="21" t="str">
        <x:v>Nodes</x:v>
      </x:c>
      <x:c r="F5" s="21" t="str">
        <x:v>Total sites</x:v>
      </x:c>
      <x:c r="G5" s="21" t="str">
        <x:v>Mission</x:v>
      </x:c>
      <x:c r="H5" s="21" t="str">
        <x:v>Full-scale target</x:v>
      </x:c>
      <x:c r="I5" s="21" t="str">
        <x:v>Dominant hazard</x:v>
      </x:c>
      <x:c r="J5" s="21" t="str">
        <x:v>Siting requirement</x:v>
      </x:c>
    </x:row>
    <x:row r="6">
      <x:c r="A6" s="26" t="str">
        <x:v>Earth intelligence and decision</x:v>
      </x:c>
      <x:c r="B6" s="36" t="n">
        <x:v>22</x:v>
      </x:c>
      <x:c r="C6" s="27" t="n">
        <x:v>1</x:v>
      </x:c>
      <x:c r="D6" s="27" t="n">
        <x:v>1</x:v>
      </x:c>
      <x:c r="E6" s="27" t="n">
        <x:v>2</x:v>
      </x:c>
      <x:c r="F6" s="26" t="n">
        <x:f>SUM(C6:E6)</x:f>
        <x:v>4</x:v>
      </x:c>
      <x:c r="G6" s="26" t="str">
        <x:v>Observe, reconstruct and test decisions across real and synthetic events</x:v>
      </x:c>
      <x:c r="H6" s="26" t="str">
        <x:v>100 PB/day ingest; 10,000 concurrent intervention branches</x:v>
      </x:c>
      <x:c r="I6" s="26" t="str">
        <x:v>Bad state or model propagates across every service</x:v>
      </x:c>
      <x:c r="J6" s="26" t="str">
        <x:v>Diverse data, sensor and hazard access; sovereign compute and public audit</x:v>
      </x:c>
    </x:row>
    <x:row r="7">
      <x:c r="A7" s="26" t="str">
        <x:v>Fire and atmospheric</x:v>
      </x:c>
      <x:c r="B7" s="36" t="n">
        <x:v>38</x:v>
      </x:c>
      <x:c r="C7" s="27" t="n">
        <x:v>1</x:v>
      </x:c>
      <x:c r="D7" s="27" t="n">
        <x:v>3</x:v>
      </x:c>
      <x:c r="E7" s="27" t="n">
        <x:v>3</x:v>
      </x:c>
      <x:c r="F7" s="26" t="n">
        <x:f>SUM(C7:E7)</x:f>
        <x:v>7</x:v>
      </x:c>
      <x:c r="G7" s="26" t="str">
        <x:v>Measure combustion, smoke, ember, structure and air-ground control</x:v>
      </x:c>
      <x:c r="H7" s="26" t="str">
        <x:v>250 MW controlled heat release; 100 km2 outdoor mission range</x:v>
      </x:c>
      <x:c r="I7" s="26" t="str">
        <x:v>Uncontrolled fire, toxic emissions, aviation collision</x:v>
      </x:c>
      <x:c r="J7" s="26" t="str">
        <x:v>Large exclusion area, controlled airspace, emissions capture and prescribed-fire ecology</x:v>
      </x:c>
    </x:row>
    <x:row r="8">
      <x:c r="A8" s="26" t="str">
        <x:v>Hydraulics and coast</x:v>
      </x:c>
      <x:c r="B8" s="36" t="n">
        <x:v>42</x:v>
      </x:c>
      <x:c r="C8" s="27" t="n">
        <x:v>1</x:v>
      </x:c>
      <x:c r="D8" s="27" t="n">
        <x:v>3</x:v>
      </x:c>
      <x:c r="E8" s="27" t="n">
        <x:v>3</x:v>
      </x:c>
      <x:c r="F8" s="26" t="n">
        <x:f>SUM(C8:E8)</x:f>
        <x:v>7</x:v>
      </x:c>
      <x:c r="G8" s="26" t="str">
        <x:v>Test megaflow, breach, surge, sediment, barriers and receiving water</x:v>
      </x:c>
      <x:c r="H8" s="26" t="str">
        <x:v>250 m3/s at 12 m head; 5 million m3 recirculating inventory</x:v>
      </x:c>
      <x:c r="I8" s="26" t="str">
        <x:v>Uncontrolled release, drowning, scour and downstream harm</x:v>
      </x:c>
      <x:c r="J8" s="26" t="str">
        <x:v>Closed water balance, geotechnical control, coast/river access and no populated downstream path</x:v>
      </x:c>
    </x:row>
    <x:row r="9">
      <x:c r="A9" s="26" t="str">
        <x:v>Water and environmental process</x:v>
      </x:c>
      <x:c r="B9" s="36" t="n">
        <x:v>28</x:v>
      </x:c>
      <x:c r="C9" s="27" t="n">
        <x:v>1</x:v>
      </x:c>
      <x:c r="D9" s="27" t="n">
        <x:v>2</x:v>
      </x:c>
      <x:c r="E9" s="27" t="n">
        <x:v>3</x:v>
      </x:c>
      <x:c r="F9" s="26" t="n">
        <x:f>SUM(C9:E9)</x:f>
        <x:v>6</x:v>
      </x:c>
      <x:c r="G9" s="26" t="str">
        <x:v>Challenge treatment, separations, residuals and temporary networks</x:v>
      </x:c>
      <x:c r="H9" s="26" t="str">
        <x:v>100,000 m3/day closed-loop process; mixed chemical, biological and radiological surrogates</x:v>
      </x:c>
      <x:c r="I9" s="26" t="str">
        <x:v>Unsafe product, aerosol, residual or environmental release</x:v>
      </x:c>
      <x:c r="J9" s="26" t="str">
        <x:v>Contained influent/effluent, analytical labs, lawful residual treatment and varied source waters</x:v>
      </x:c>
    </x:row>
    <x:row r="10">
      <x:c r="A10" s="26" t="str">
        <x:v>Grid and thermal</x:v>
      </x:c>
      <x:c r="B10" s="36" t="n">
        <x:v>36</x:v>
      </x:c>
      <x:c r="C10" s="27" t="n">
        <x:v>1</x:v>
      </x:c>
      <x:c r="D10" s="27" t="n">
        <x:v>2</x:v>
      </x:c>
      <x:c r="E10" s="27" t="n">
        <x:v>3</x:v>
      </x:c>
      <x:c r="F10" s="26" t="n">
        <x:f>SUM(C10:E10)</x:f>
        <x:v>6</x:v>
      </x:c>
      <x:c r="G10" s="26" t="str">
        <x:v>Fault, island, black-start and federate mobile power and thermal systems</x:v>
      </x:c>
      <x:c r="H10" s="26" t="str">
        <x:v>300 MW bidirectional, 115 kV boundary; 1 GWh storage/thermal equivalent</x:v>
      </x:c>
      <x:c r="I10" s="26" t="str">
        <x:v>Arc, fire, electrocution, unstable grid or thermal release</x:v>
      </x:c>
      <x:c r="J10" s="26" t="str">
        <x:v>Utility intertie, islandable campus, physical separation and multiple climate zones</x:v>
      </x:c>
    </x:row>
    <x:row r="11">
      <x:c r="A11" s="26" t="str">
        <x:v>Health and bioresponse</x:v>
      </x:c>
      <x:c r="B11" s="36" t="n">
        <x:v>34</x:v>
      </x:c>
      <x:c r="C11" s="27" t="n">
        <x:v>1</x:v>
      </x:c>
      <x:c r="D11" s="27" t="n">
        <x:v>2</x:v>
      </x:c>
      <x:c r="E11" s="27" t="n">
        <x:v>3</x:v>
      </x:c>
      <x:c r="F11" s="26" t="n">
        <x:f>SUM(C11:E11)</x:f>
        <x:v>6</x:v>
      </x:c>
      <x:c r="G11" s="26" t="str">
        <x:v>Test deployable care, clinical flow, containment and distributed manufacturing</x:v>
      </x:c>
      <x:c r="H11" s="26" t="str">
        <x:v>1,000 simulated beds; BSL-2/3 production suites; isolated BSL-4 reference capacity</x:v>
      </x:c>
      <x:c r="I11" s="26" t="str">
        <x:v>Infection, product error, privacy breach and workforce exposure</x:v>
      </x:c>
      <x:c r="J11" s="26" t="str">
        <x:v>Academic health access, separate containment, waste treatment and protected participant governance</x:v>
      </x:c>
    </x:row>
    <x:row r="12">
      <x:c r="A12" s="26" t="str">
        <x:v>Built environment and ground</x:v>
      </x:c>
      <x:c r="B12" s="36" t="n">
        <x:v>36</x:v>
      </x:c>
      <x:c r="C12" s="27" t="n">
        <x:v>1</x:v>
      </x:c>
      <x:c r="D12" s="27" t="n">
        <x:v>2</x:v>
      </x:c>
      <x:c r="E12" s="27" t="n">
        <x:v>3</x:v>
      </x:c>
      <x:c r="F12" s="26" t="n">
        <x:f>SUM(C12:E12)</x:f>
        <x:v>6</x:v>
      </x:c>
      <x:c r="G12" s="26" t="str">
        <x:v>Destroy and stabilize full-scale structures, lifelines and ground systems</x:v>
      </x:c>
      <x:c r="H12" s="26" t="str">
        <x:v>50 m x 50 m multi-axis platform; 10,000 t payload; 100 MN hybrid actuation</x:v>
      </x:c>
      <x:c r="I12" s="26" t="str">
        <x:v>Collapse, projectile, ground failure and uncontrolled stored energy</x:v>
      </x:c>
      <x:c r="J12" s="26" t="str">
        <x:v>Deep foundations, exclusion zones, reusable debris/material loops and geologic diversity</x:v>
      </x:c>
    </x:row>
    <x:row r="13">
      <x:c r="A13" s="26" t="str">
        <x:v>Mobility, access and autonomy</x:v>
      </x:c>
      <x:c r="B13" s="36" t="n">
        <x:v>32</x:v>
      </x:c>
      <x:c r="C13" s="27" t="n">
        <x:v>1</x:v>
      </x:c>
      <x:c r="D13" s="27" t="n">
        <x:v>2</x:v>
      </x:c>
      <x:c r="E13" s="27" t="n">
        <x:v>3</x:v>
      </x:c>
      <x:c r="F13" s="26" t="n">
        <x:f>SUM(C13:E13)</x:f>
        <x:v>6</x:v>
      </x:c>
      <x:c r="G13" s="26" t="str">
        <x:v>Open broken routes and test autonomous air, land and water operations</x:v>
      </x:c>
      <x:c r="H13" s="26" t="str">
        <x:v>50 km instrumented damaged corridor; flooded district, short strip and degraded port</x:v>
      </x:c>
      <x:c r="I13" s="26" t="str">
        <x:v>Collision with people, entrapment, aviation/marine accident</x:v>
      </x:c>
      <x:c r="J13" s="26" t="str">
        <x:v>Mixed terrain, controlled air/water space, realistic infrastructure and public-interface simulation</x:v>
      </x:c>
    </x:row>
    <x:row r="14">
      <x:c r="A14" s="26" t="str">
        <x:v>Manufacturing and mobilization</x:v>
      </x:c>
      <x:c r="B14" s="36" t="n">
        <x:v>24</x:v>
      </x:c>
      <x:c r="C14" s="27" t="n">
        <x:v>1</x:v>
      </x:c>
      <x:c r="D14" s="27" t="n">
        <x:v>2</x:v>
      </x:c>
      <x:c r="E14" s="27" t="n">
        <x:v>3</x:v>
      </x:c>
      <x:c r="F14" s="26" t="n">
        <x:f>SUM(C14:E14)</x:f>
        <x:v>6</x:v>
      </x:c>
      <x:c r="G14" s="26" t="str">
        <x:v>Cold-start alternate suppliers and reproduce qualified systems</x:v>
      </x:c>
      <x:c r="H14" s="26" t="str">
        <x:v>Ten reconfigurable pilot lines; 30-day supplier cold-start campaigns</x:v>
      </x:c>
      <x:c r="I14" s="26" t="str">
        <x:v>Latent common defect and uncontrolled configuration substitution</x:v>
      </x:c>
      <x:c r="J14" s="26" t="str">
        <x:v>Supplier clusters, rail/port access, metrology, secure data and workforce pipelines</x:v>
      </x:c>
    </x:row>
    <x:row r="15">
      <x:c r="A15" s="26" t="str">
        <x:v>Joint mission and public effect</x:v>
      </x:c>
      <x:c r="B15" s="36" t="n">
        <x:v>28</x:v>
      </x:c>
      <x:c r="C15" s="27" t="n">
        <x:v>1</x:v>
      </x:c>
      <x:c r="D15" s="27" t="n">
        <x:v>2</x:v>
      </x:c>
      <x:c r="E15" s="27" t="n">
        <x:v>1</x:v>
      </x:c>
      <x:c r="F15" s="26" t="n">
        <x:f>SUM(C15:E15)</x:f>
        <x:v>4</x:v>
      </x:c>
      <x:c r="G15" s="26" t="str">
        <x:v>Run long-duration, cross-service civil campaigns and measure public effect</x:v>
      </x:c>
      <x:c r="H15" s="26" t="str">
        <x:v>100,000-person-equivalent synthetic municipality; 90-day, three-theater federation</x:v>
      </x:c>
      <x:c r="I15" s="26" t="str">
        <x:v>Exercise-created public harm, authority failure and false readiness credit</x:v>
      </x:c>
      <x:c r="J15" s="26" t="str">
        <x:v>Large controllable infrastructure, civil partners, representative communities and independent observation</x:v>
      </x:c>
    </x:row>
    <x:row r="16">
      <x:c r="A16" s="26"/>
      <x:c r="B16" s="29"/>
      <x:c r="C16" s="26"/>
      <x:c r="D16" s="26"/>
      <x:c r="E16" s="26"/>
      <x:c r="F16" s="26"/>
      <x:c r="G16" s="26"/>
      <x:c r="H16" s="26"/>
      <x:c r="I16" s="26"/>
      <x:c r="J16" s="26"/>
    </x:row>
    <x:row r="17">
      <x:c r="A17" s="37" t="str">
        <x:v>TOTAL</x:v>
      </x:c>
      <x:c r="B17" s="38" t="n">
        <x:f>SUM(B6:B15)</x:f>
        <x:v>320</x:v>
      </x:c>
      <x:c r="C17" s="37" t="n">
        <x:f>SUM(C6:C15)</x:f>
        <x:v>10</x:v>
      </x:c>
      <x:c r="D17" s="37" t="n">
        <x:f>SUM(D6:D15)</x:f>
        <x:v>21</x:v>
      </x:c>
      <x:c r="E17" s="37" t="n">
        <x:f>SUM(E6:E15)</x:f>
        <x:v>27</x:v>
      </x:c>
      <x:c r="F17" s="37" t="n">
        <x:f>SUM(F6:F15)</x:f>
        <x:v>58</x:v>
      </x:c>
      <x:c r="G17" s="37" t="str"/>
      <x:c r="H17" s="37" t="str"/>
      <x:c r="I17" s="37" t="str"/>
      <x:c r="J17" s="3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7" hidden="0" customWidth="1"/>
    <x:col min="4" max="4" width="26" hidden="0" customWidth="1"/>
    <x:col min="5" max="5" width="62" hidden="0" customWidth="1"/>
    <x:col min="6" max="6" width="14" hidden="0" customWidth="1"/>
    <x:col min="7" max="7" width="19" hidden="0" customWidth="1"/>
    <x:col min="8" max="8" width="15" hidden="0" customWidth="1"/>
    <x:col min="9" max="9" width="27" hidden="0" customWidth="1"/>
    <x:col min="10" max="10" width="17" hidden="0" customWidth="1"/>
    <x:col min="11" max="11" width="27" hidden="0" customWidth="1"/>
  </x:cols>
  <x:sheetData>
    <x:row r="1">
      <x:c r="A1" s="75" t="str">
        <x:v>Site register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2">
      <x:c r="A2" s="76" t="str">
        <x:v>Requirement sites only. Siting follows hazard, utility, community, environmental and sovereignty analysis.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0" customHeight="1">
      <x:c r="A5" s="21" t="str">
        <x:v>Site ID</x:v>
      </x:c>
      <x:c r="B5" s="21" t="str">
        <x:v>Family</x:v>
      </x:c>
      <x:c r="C5" s="21" t="str">
        <x:v>Class</x:v>
      </x:c>
      <x:c r="D5" s="21" t="str">
        <x:v>Geographic role</x:v>
      </x:c>
      <x:c r="E5" s="21" t="str">
        <x:v>Primary capability</x:v>
      </x:c>
      <x:c r="F5" s="21" t="str">
        <x:v>Test cells</x:v>
      </x:c>
      <x:c r="G5" s="21" t="str">
        <x:v>Turns/cell/year</x:v>
      </x:c>
      <x:c r="H5" s="21" t="str">
        <x:v>Availability</x:v>
      </x:c>
      <x:c r="I5" s="21" t="str">
        <x:v>Equivalent campaigns/year</x:v>
      </x:c>
      <x:c r="J5" s="21" t="str">
        <x:v>25-year $B</x:v>
      </x:c>
      <x:c r="K5" s="21" t="str">
        <x:v>Siting state</x:v>
      </x:c>
    </x:row>
    <x:row r="6">
      <x:c r="A6" s="26" t="str">
        <x:v>EID-01</x:v>
      </x:c>
      <x:c r="B6" s="26" t="str">
        <x:v>Earth intelligence and decision</x:v>
      </x:c>
      <x:c r="C6" s="26" t="str">
        <x:v>National flagship</x:v>
      </x:c>
      <x:c r="D6" s="26" t="str">
        <x:v>National controlled extreme</x:v>
      </x:c>
      <x:c r="E6" s="26" t="str">
        <x:v>100 PB/day ingest; 10,000 concurrent intervention branches</x:v>
      </x:c>
      <x:c r="F6" s="27" t="n">
        <x:v>8</x:v>
      </x:c>
      <x:c r="G6" s="27" t="n">
        <x:v>12</x:v>
      </x:c>
      <x:c r="H6" s="45" t="n">
        <x:v>0.75</x:v>
      </x:c>
      <x:c r="I6" s="46" t="n">
        <x:f>F6*G6*H6</x:f>
        <x:v>72</x:v>
      </x:c>
      <x:c r="J6" s="47" t="n">
        <x:f>INDEX('Network Portfolio'!$B$6:$B$15,MATCH(B6,'Network Portfolio'!$A$6:$A$15,0))*IF(C6="National flagship",Controls!$B$9,IF(C6="Regional range",Controls!$B$10,Controls!$B$11))/COUNTIFS($B$6:$B$63,B6,$C$6:$C$63,C6)</x:f>
        <x:v>9.9</x:v>
      </x:c>
      <x:c r="K6" s="26" t="str">
        <x:v>Requirement site; location open</x:v>
      </x:c>
    </x:row>
    <x:row r="7">
      <x:c r="A7" s="26" t="str">
        <x:v>EID-02</x:v>
      </x:c>
      <x:c r="B7" s="26" t="str">
        <x:v>Earth intelligence and decision</x:v>
      </x:c>
      <x:c r="C7" s="26" t="str">
        <x:v>Regional range</x:v>
      </x:c>
      <x:c r="D7" s="26" t="str">
        <x:v>Atlantic/Gulf</x:v>
      </x:c>
      <x:c r="E7" s="26" t="str">
        <x:v>Replicate observe, reconstruct and test decisions across real and synthetic events</x:v>
      </x:c>
      <x:c r="F7" s="27" t="n">
        <x:v>4</x:v>
      </x:c>
      <x:c r="G7" s="27" t="n">
        <x:v>12</x:v>
      </x:c>
      <x:c r="H7" s="45" t="n">
        <x:v>0.78</x:v>
      </x:c>
      <x:c r="I7" s="46" t="n">
        <x:f>F7*G7*H7</x:f>
        <x:v>37.44</x:v>
      </x:c>
      <x:c r="J7" s="47" t="n">
        <x:f>INDEX('Network Portfolio'!$B$6:$B$15,MATCH(B7,'Network Portfolio'!$A$6:$A$15,0))*IF(C7="National flagship",Controls!$B$9,IF(C7="Regional range",Controls!$B$10,Controls!$B$11))/COUNTIFS($B$6:$B$63,B7,$C$6:$C$63,C7)</x:f>
        <x:v>7.699999999999999</x:v>
      </x:c>
      <x:c r="K7" s="26" t="str">
        <x:v>Requirement site; location open</x:v>
      </x:c>
    </x:row>
    <x:row r="8">
      <x:c r="A8" s="26" t="str">
        <x:v>EID-03</x:v>
      </x:c>
      <x:c r="B8" s="26" t="str">
        <x:v>Earth intelligence and decision</x:v>
      </x:c>
      <x:c r="C8" s="26" t="str">
        <x:v>Satellite/conformance node</x:v>
      </x:c>
      <x:c r="D8" s="26" t="str">
        <x:v>Atlantic/Gulf</x:v>
      </x:c>
      <x:c r="E8" s="26" t="str">
        <x:v>Replicate observe, reconstruct and test decisions across real and synthetic events</x:v>
      </x:c>
      <x:c r="F8" s="27" t="n">
        <x:v>2</x:v>
      </x:c>
      <x:c r="G8" s="27" t="n">
        <x:v>12</x:v>
      </x:c>
      <x:c r="H8" s="45" t="n">
        <x:v>0.82</x:v>
      </x:c>
      <x:c r="I8" s="46" t="n">
        <x:f>F8*G8*H8</x:f>
        <x:v>19.68</x:v>
      </x:c>
      <x:c r="J8" s="47" t="n">
        <x:f>INDEX('Network Portfolio'!$B$6:$B$15,MATCH(B8,'Network Portfolio'!$A$6:$A$15,0))*IF(C8="National flagship",Controls!$B$9,IF(C8="Regional range",Controls!$B$10,Controls!$B$11))/COUNTIFS($B$6:$B$63,B8,$C$6:$C$63,C8)</x:f>
        <x:v>2.2</x:v>
      </x:c>
      <x:c r="K8" s="26" t="str">
        <x:v>Requirement site; location open</x:v>
      </x:c>
    </x:row>
    <x:row r="9">
      <x:c r="A9" s="26" t="str">
        <x:v>EID-04</x:v>
      </x:c>
      <x:c r="B9" s="26" t="str">
        <x:v>Earth intelligence and decision</x:v>
      </x:c>
      <x:c r="C9" s="26" t="str">
        <x:v>Satellite/conformance node</x:v>
      </x:c>
      <x:c r="D9" s="26" t="str">
        <x:v>Pacific</x:v>
      </x:c>
      <x:c r="E9" s="26" t="str">
        <x:v>Replicate observe, reconstruct and test decisions across real and synthetic events</x:v>
      </x:c>
      <x:c r="F9" s="27" t="n">
        <x:v>2</x:v>
      </x:c>
      <x:c r="G9" s="27" t="n">
        <x:v>12</x:v>
      </x:c>
      <x:c r="H9" s="45" t="n">
        <x:v>0.82</x:v>
      </x:c>
      <x:c r="I9" s="46" t="n">
        <x:f>F9*G9*H9</x:f>
        <x:v>19.68</x:v>
      </x:c>
      <x:c r="J9" s="47" t="n">
        <x:f>INDEX('Network Portfolio'!$B$6:$B$15,MATCH(B9,'Network Portfolio'!$A$6:$A$15,0))*IF(C9="National flagship",Controls!$B$9,IF(C9="Regional range",Controls!$B$10,Controls!$B$11))/COUNTIFS($B$6:$B$63,B9,$C$6:$C$63,C9)</x:f>
        <x:v>2.2</x:v>
      </x:c>
      <x:c r="K9" s="26" t="str">
        <x:v>Requirement site; location open</x:v>
      </x:c>
    </x:row>
    <x:row r="10">
      <x:c r="A10" s="26" t="str">
        <x:v>FAR-01</x:v>
      </x:c>
      <x:c r="B10" s="26" t="str">
        <x:v>Fire and atmospheric</x:v>
      </x:c>
      <x:c r="C10" s="26" t="str">
        <x:v>National flagship</x:v>
      </x:c>
      <x:c r="D10" s="26" t="str">
        <x:v>National controlled extreme</x:v>
      </x:c>
      <x:c r="E10" s="26" t="str">
        <x:v>250 MW controlled heat release; 100 km2 outdoor mission range</x:v>
      </x:c>
      <x:c r="F10" s="27" t="n">
        <x:v>8</x:v>
      </x:c>
      <x:c r="G10" s="27" t="n">
        <x:v>5</x:v>
      </x:c>
      <x:c r="H10" s="45" t="n">
        <x:v>0.75</x:v>
      </x:c>
      <x:c r="I10" s="46" t="n">
        <x:f>F10*G10*H10</x:f>
        <x:v>30</x:v>
      </x:c>
      <x:c r="J10" s="47" t="n">
        <x:f>INDEX('Network Portfolio'!$B$6:$B$15,MATCH(B10,'Network Portfolio'!$A$6:$A$15,0))*IF(C10="National flagship",Controls!$B$9,IF(C10="Regional range",Controls!$B$10,Controls!$B$11))/COUNTIFS($B$6:$B$63,B10,$C$6:$C$63,C10)</x:f>
        <x:v>17.1</x:v>
      </x:c>
      <x:c r="K10" s="26" t="str">
        <x:v>Requirement site; location open</x:v>
      </x:c>
    </x:row>
    <x:row r="11">
      <x:c r="A11" s="26" t="str">
        <x:v>FAR-02</x:v>
      </x:c>
      <x:c r="B11" s="26" t="str">
        <x:v>Fire and atmospheric</x:v>
      </x:c>
      <x:c r="C11" s="26" t="str">
        <x:v>Regional range</x:v>
      </x:c>
      <x:c r="D11" s="26" t="str">
        <x:v>Pacific</x:v>
      </x:c>
      <x:c r="E11" s="26" t="str">
        <x:v>Replicate measure combustion, smoke, ember, structure and air-ground control</x:v>
      </x:c>
      <x:c r="F11" s="27" t="n">
        <x:v>4</x:v>
      </x:c>
      <x:c r="G11" s="27" t="n">
        <x:v>5</x:v>
      </x:c>
      <x:c r="H11" s="45" t="n">
        <x:v>0.78</x:v>
      </x:c>
      <x:c r="I11" s="46" t="n">
        <x:f>F11*G11*H11</x:f>
        <x:v>15.600000000000001</x:v>
      </x:c>
      <x:c r="J11" s="47" t="n">
        <x:f>INDEX('Network Portfolio'!$B$6:$B$15,MATCH(B11,'Network Portfolio'!$A$6:$A$15,0))*IF(C11="National flagship",Controls!$B$9,IF(C11="Regional range",Controls!$B$10,Controls!$B$11))/COUNTIFS($B$6:$B$63,B11,$C$6:$C$63,C11)</x:f>
        <x:v>4.433333333333333</x:v>
      </x:c>
      <x:c r="K11" s="26" t="str">
        <x:v>Requirement site; location open</x:v>
      </x:c>
    </x:row>
    <x:row r="12">
      <x:c r="A12" s="26" t="str">
        <x:v>FAR-03</x:v>
      </x:c>
      <x:c r="B12" s="26" t="str">
        <x:v>Fire and atmospheric</x:v>
      </x:c>
      <x:c r="C12" s="26" t="str">
        <x:v>Regional range</x:v>
      </x:c>
      <x:c r="D12" s="26" t="str">
        <x:v>Interior/Great Lakes</x:v>
      </x:c>
      <x:c r="E12" s="26" t="str">
        <x:v>Replicate measure combustion, smoke, ember, structure and air-ground control</x:v>
      </x:c>
      <x:c r="F12" s="27" t="n">
        <x:v>4</x:v>
      </x:c>
      <x:c r="G12" s="27" t="n">
        <x:v>5</x:v>
      </x:c>
      <x:c r="H12" s="45" t="n">
        <x:v>0.78</x:v>
      </x:c>
      <x:c r="I12" s="46" t="n">
        <x:f>F12*G12*H12</x:f>
        <x:v>15.600000000000001</x:v>
      </x:c>
      <x:c r="J12" s="47" t="n">
        <x:f>INDEX('Network Portfolio'!$B$6:$B$15,MATCH(B12,'Network Portfolio'!$A$6:$A$15,0))*IF(C12="National flagship",Controls!$B$9,IF(C12="Regional range",Controls!$B$10,Controls!$B$11))/COUNTIFS($B$6:$B$63,B12,$C$6:$C$63,C12)</x:f>
        <x:v>4.433333333333333</x:v>
      </x:c>
      <x:c r="K12" s="26" t="str">
        <x:v>Requirement site; location open</x:v>
      </x:c>
    </x:row>
    <x:row r="13">
      <x:c r="A13" s="26" t="str">
        <x:v>FAR-04</x:v>
      </x:c>
      <x:c r="B13" s="26" t="str">
        <x:v>Fire and atmospheric</x:v>
      </x:c>
      <x:c r="C13" s="26" t="str">
        <x:v>Regional range</x:v>
      </x:c>
      <x:c r="D13" s="26" t="str">
        <x:v>Arctic/Alaska</x:v>
      </x:c>
      <x:c r="E13" s="26" t="str">
        <x:v>Replicate measure combustion, smoke, ember, structure and air-ground control</x:v>
      </x:c>
      <x:c r="F13" s="27" t="n">
        <x:v>4</x:v>
      </x:c>
      <x:c r="G13" s="27" t="n">
        <x:v>5</x:v>
      </x:c>
      <x:c r="H13" s="45" t="n">
        <x:v>0.78</x:v>
      </x:c>
      <x:c r="I13" s="46" t="n">
        <x:f>F13*G13*H13</x:f>
        <x:v>15.600000000000001</x:v>
      </x:c>
      <x:c r="J13" s="47" t="n">
        <x:f>INDEX('Network Portfolio'!$B$6:$B$15,MATCH(B13,'Network Portfolio'!$A$6:$A$15,0))*IF(C13="National flagship",Controls!$B$9,IF(C13="Regional range",Controls!$B$10,Controls!$B$11))/COUNTIFS($B$6:$B$63,B13,$C$6:$C$63,C13)</x:f>
        <x:v>4.433333333333333</x:v>
      </x:c>
      <x:c r="K13" s="26" t="str">
        <x:v>Requirement site; location open</x:v>
      </x:c>
    </x:row>
    <x:row r="14">
      <x:c r="A14" s="26" t="str">
        <x:v>FAR-05</x:v>
      </x:c>
      <x:c r="B14" s="26" t="str">
        <x:v>Fire and atmospheric</x:v>
      </x:c>
      <x:c r="C14" s="26" t="str">
        <x:v>Satellite/conformance node</x:v>
      </x:c>
      <x:c r="D14" s="26" t="str">
        <x:v>Pacific</x:v>
      </x:c>
      <x:c r="E14" s="26" t="str">
        <x:v>Replicate measure combustion, smoke, ember, structure and air-ground control</x:v>
      </x:c>
      <x:c r="F14" s="27" t="n">
        <x:v>2</x:v>
      </x:c>
      <x:c r="G14" s="27" t="n">
        <x:v>5</x:v>
      </x:c>
      <x:c r="H14" s="45" t="n">
        <x:v>0.82</x:v>
      </x:c>
      <x:c r="I14" s="46" t="n">
        <x:f>F14*G14*H14</x:f>
        <x:v>8.2</x:v>
      </x:c>
      <x:c r="J14" s="47" t="n">
        <x:f>INDEX('Network Portfolio'!$B$6:$B$15,MATCH(B14,'Network Portfolio'!$A$6:$A$15,0))*IF(C14="National flagship",Controls!$B$9,IF(C14="Regional range",Controls!$B$10,Controls!$B$11))/COUNTIFS($B$6:$B$63,B14,$C$6:$C$63,C14)</x:f>
        <x:v>2.5333333333333337</x:v>
      </x:c>
      <x:c r="K14" s="26" t="str">
        <x:v>Requirement site; location open</x:v>
      </x:c>
    </x:row>
    <x:row r="15">
      <x:c r="A15" s="26" t="str">
        <x:v>FAR-06</x:v>
      </x:c>
      <x:c r="B15" s="26" t="str">
        <x:v>Fire and atmospheric</x:v>
      </x:c>
      <x:c r="C15" s="26" t="str">
        <x:v>Satellite/conformance node</x:v>
      </x:c>
      <x:c r="D15" s="26" t="str">
        <x:v>Interior/Great Lakes</x:v>
      </x:c>
      <x:c r="E15" s="26" t="str">
        <x:v>Replicate measure combustion, smoke, ember, structure and air-ground control</x:v>
      </x:c>
      <x:c r="F15" s="27" t="n">
        <x:v>2</x:v>
      </x:c>
      <x:c r="G15" s="27" t="n">
        <x:v>5</x:v>
      </x:c>
      <x:c r="H15" s="45" t="n">
        <x:v>0.82</x:v>
      </x:c>
      <x:c r="I15" s="46" t="n">
        <x:f>F15*G15*H15</x:f>
        <x:v>8.2</x:v>
      </x:c>
      <x:c r="J15" s="47" t="n">
        <x:f>INDEX('Network Portfolio'!$B$6:$B$15,MATCH(B15,'Network Portfolio'!$A$6:$A$15,0))*IF(C15="National flagship",Controls!$B$9,IF(C15="Regional range",Controls!$B$10,Controls!$B$11))/COUNTIFS($B$6:$B$63,B15,$C$6:$C$63,C15)</x:f>
        <x:v>2.5333333333333337</x:v>
      </x:c>
      <x:c r="K15" s="26" t="str">
        <x:v>Requirement site; location open</x:v>
      </x:c>
    </x:row>
    <x:row r="16">
      <x:c r="A16" s="26" t="str">
        <x:v>FAR-07</x:v>
      </x:c>
      <x:c r="B16" s="26" t="str">
        <x:v>Fire and atmospheric</x:v>
      </x:c>
      <x:c r="C16" s="26" t="str">
        <x:v>Satellite/conformance node</x:v>
      </x:c>
      <x:c r="D16" s="26" t="str">
        <x:v>Arctic/Alaska</x:v>
      </x:c>
      <x:c r="E16" s="26" t="str">
        <x:v>Replicate measure combustion, smoke, ember, structure and air-ground control</x:v>
      </x:c>
      <x:c r="F16" s="27" t="n">
        <x:v>2</x:v>
      </x:c>
      <x:c r="G16" s="27" t="n">
        <x:v>5</x:v>
      </x:c>
      <x:c r="H16" s="45" t="n">
        <x:v>0.82</x:v>
      </x:c>
      <x:c r="I16" s="46" t="n">
        <x:f>F16*G16*H16</x:f>
        <x:v>8.2</x:v>
      </x:c>
      <x:c r="J16" s="47" t="n">
        <x:f>INDEX('Network Portfolio'!$B$6:$B$15,MATCH(B16,'Network Portfolio'!$A$6:$A$15,0))*IF(C16="National flagship",Controls!$B$9,IF(C16="Regional range",Controls!$B$10,Controls!$B$11))/COUNTIFS($B$6:$B$63,B16,$C$6:$C$63,C16)</x:f>
        <x:v>2.5333333333333337</x:v>
      </x:c>
      <x:c r="K16" s="26" t="str">
        <x:v>Requirement site; location open</x:v>
      </x:c>
    </x:row>
    <x:row r="17">
      <x:c r="A17" s="26" t="str">
        <x:v>HCR-01</x:v>
      </x:c>
      <x:c r="B17" s="26" t="str">
        <x:v>Hydraulics and coast</x:v>
      </x:c>
      <x:c r="C17" s="26" t="str">
        <x:v>National flagship</x:v>
      </x:c>
      <x:c r="D17" s="26" t="str">
        <x:v>National controlled extreme</x:v>
      </x:c>
      <x:c r="E17" s="26" t="str">
        <x:v>250 m3/s at 12 m head; 5 million m3 recirculating inventory</x:v>
      </x:c>
      <x:c r="F17" s="27" t="n">
        <x:v>8</x:v>
      </x:c>
      <x:c r="G17" s="27" t="n">
        <x:v>4</x:v>
      </x:c>
      <x:c r="H17" s="45" t="n">
        <x:v>0.75</x:v>
      </x:c>
      <x:c r="I17" s="46" t="n">
        <x:f>F17*G17*H17</x:f>
        <x:v>24</x:v>
      </x:c>
      <x:c r="J17" s="47" t="n">
        <x:f>INDEX('Network Portfolio'!$B$6:$B$15,MATCH(B17,'Network Portfolio'!$A$6:$A$15,0))*IF(C17="National flagship",Controls!$B$9,IF(C17="Regional range",Controls!$B$10,Controls!$B$11))/COUNTIFS($B$6:$B$63,B17,$C$6:$C$63,C17)</x:f>
        <x:v>18.900000000000002</x:v>
      </x:c>
      <x:c r="K17" s="26" t="str">
        <x:v>Requirement site; location open</x:v>
      </x:c>
    </x:row>
    <x:row r="18">
      <x:c r="A18" s="26" t="str">
        <x:v>HCR-02</x:v>
      </x:c>
      <x:c r="B18" s="26" t="str">
        <x:v>Hydraulics and coast</x:v>
      </x:c>
      <x:c r="C18" s="26" t="str">
        <x:v>Regional range</x:v>
      </x:c>
      <x:c r="D18" s="26" t="str">
        <x:v>Interior/Great Lakes</x:v>
      </x:c>
      <x:c r="E18" s="26" t="str">
        <x:v>Replicate test megaflow, breach, surge, sediment, barriers and receiving water</x:v>
      </x:c>
      <x:c r="F18" s="27" t="n">
        <x:v>4</x:v>
      </x:c>
      <x:c r="G18" s="27" t="n">
        <x:v>4</x:v>
      </x:c>
      <x:c r="H18" s="45" t="n">
        <x:v>0.78</x:v>
      </x:c>
      <x:c r="I18" s="46" t="n">
        <x:f>F18*G18*H18</x:f>
        <x:v>12.48</x:v>
      </x:c>
      <x:c r="J18" s="47" t="n">
        <x:f>INDEX('Network Portfolio'!$B$6:$B$15,MATCH(B18,'Network Portfolio'!$A$6:$A$15,0))*IF(C18="National flagship",Controls!$B$9,IF(C18="Regional range",Controls!$B$10,Controls!$B$11))/COUNTIFS($B$6:$B$63,B18,$C$6:$C$63,C18)</x:f>
        <x:v>4.8999999999999995</x:v>
      </x:c>
      <x:c r="K18" s="26" t="str">
        <x:v>Requirement site; location open</x:v>
      </x:c>
    </x:row>
    <x:row r="19">
      <x:c r="A19" s="26" t="str">
        <x:v>HCR-03</x:v>
      </x:c>
      <x:c r="B19" s="26" t="str">
        <x:v>Hydraulics and coast</x:v>
      </x:c>
      <x:c r="C19" s="26" t="str">
        <x:v>Regional range</x:v>
      </x:c>
      <x:c r="D19" s="26" t="str">
        <x:v>Arctic/Alaska</x:v>
      </x:c>
      <x:c r="E19" s="26" t="str">
        <x:v>Replicate test megaflow, breach, surge, sediment, barriers and receiving water</x:v>
      </x:c>
      <x:c r="F19" s="27" t="n">
        <x:v>4</x:v>
      </x:c>
      <x:c r="G19" s="27" t="n">
        <x:v>4</x:v>
      </x:c>
      <x:c r="H19" s="45" t="n">
        <x:v>0.78</x:v>
      </x:c>
      <x:c r="I19" s="46" t="n">
        <x:f>F19*G19*H19</x:f>
        <x:v>12.48</x:v>
      </x:c>
      <x:c r="J19" s="47" t="n">
        <x:f>INDEX('Network Portfolio'!$B$6:$B$15,MATCH(B19,'Network Portfolio'!$A$6:$A$15,0))*IF(C19="National flagship",Controls!$B$9,IF(C19="Regional range",Controls!$B$10,Controls!$B$11))/COUNTIFS($B$6:$B$63,B19,$C$6:$C$63,C19)</x:f>
        <x:v>4.8999999999999995</x:v>
      </x:c>
      <x:c r="K19" s="26" t="str">
        <x:v>Requirement site; location open</x:v>
      </x:c>
    </x:row>
    <x:row r="20">
      <x:c r="A20" s="26" t="str">
        <x:v>HCR-04</x:v>
      </x:c>
      <x:c r="B20" s="26" t="str">
        <x:v>Hydraulics and coast</x:v>
      </x:c>
      <x:c r="C20" s="26" t="str">
        <x:v>Regional range</x:v>
      </x:c>
      <x:c r="D20" s="26" t="str">
        <x:v>Caribbean/Territorial</x:v>
      </x:c>
      <x:c r="E20" s="26" t="str">
        <x:v>Replicate test megaflow, breach, surge, sediment, barriers and receiving water</x:v>
      </x:c>
      <x:c r="F20" s="27" t="n">
        <x:v>4</x:v>
      </x:c>
      <x:c r="G20" s="27" t="n">
        <x:v>4</x:v>
      </x:c>
      <x:c r="H20" s="45" t="n">
        <x:v>0.78</x:v>
      </x:c>
      <x:c r="I20" s="46" t="n">
        <x:f>F20*G20*H20</x:f>
        <x:v>12.48</x:v>
      </x:c>
      <x:c r="J20" s="47" t="n">
        <x:f>INDEX('Network Portfolio'!$B$6:$B$15,MATCH(B20,'Network Portfolio'!$A$6:$A$15,0))*IF(C20="National flagship",Controls!$B$9,IF(C20="Regional range",Controls!$B$10,Controls!$B$11))/COUNTIFS($B$6:$B$63,B20,$C$6:$C$63,C20)</x:f>
        <x:v>4.8999999999999995</x:v>
      </x:c>
      <x:c r="K20" s="26" t="str">
        <x:v>Requirement site; location open</x:v>
      </x:c>
    </x:row>
    <x:row r="21">
      <x:c r="A21" s="26" t="str">
        <x:v>HCR-05</x:v>
      </x:c>
      <x:c r="B21" s="26" t="str">
        <x:v>Hydraulics and coast</x:v>
      </x:c>
      <x:c r="C21" s="26" t="str">
        <x:v>Satellite/conformance node</x:v>
      </x:c>
      <x:c r="D21" s="26" t="str">
        <x:v>Interior/Great Lakes</x:v>
      </x:c>
      <x:c r="E21" s="26" t="str">
        <x:v>Replicate test megaflow, breach, surge, sediment, barriers and receiving water</x:v>
      </x:c>
      <x:c r="F21" s="27" t="n">
        <x:v>2</x:v>
      </x:c>
      <x:c r="G21" s="27" t="n">
        <x:v>4</x:v>
      </x:c>
      <x:c r="H21" s="45" t="n">
        <x:v>0.82</x:v>
      </x:c>
      <x:c r="I21" s="46" t="n">
        <x:f>F21*G21*H21</x:f>
        <x:v>6.56</x:v>
      </x:c>
      <x:c r="J21" s="47" t="n">
        <x:f>INDEX('Network Portfolio'!$B$6:$B$15,MATCH(B21,'Network Portfolio'!$A$6:$A$15,0))*IF(C21="National flagship",Controls!$B$9,IF(C21="Regional range",Controls!$B$10,Controls!$B$11))/COUNTIFS($B$6:$B$63,B21,$C$6:$C$63,C21)</x:f>
        <x:v>2.8000000000000003</x:v>
      </x:c>
      <x:c r="K21" s="26" t="str">
        <x:v>Requirement site; location open</x:v>
      </x:c>
    </x:row>
    <x:row r="22">
      <x:c r="A22" s="26" t="str">
        <x:v>HCR-06</x:v>
      </x:c>
      <x:c r="B22" s="26" t="str">
        <x:v>Hydraulics and coast</x:v>
      </x:c>
      <x:c r="C22" s="26" t="str">
        <x:v>Satellite/conformance node</x:v>
      </x:c>
      <x:c r="D22" s="26" t="str">
        <x:v>Arctic/Alaska</x:v>
      </x:c>
      <x:c r="E22" s="26" t="str">
        <x:v>Replicate test megaflow, breach, surge, sediment, barriers and receiving water</x:v>
      </x:c>
      <x:c r="F22" s="27" t="n">
        <x:v>2</x:v>
      </x:c>
      <x:c r="G22" s="27" t="n">
        <x:v>4</x:v>
      </x:c>
      <x:c r="H22" s="45" t="n">
        <x:v>0.82</x:v>
      </x:c>
      <x:c r="I22" s="46" t="n">
        <x:f>F22*G22*H22</x:f>
        <x:v>6.56</x:v>
      </x:c>
      <x:c r="J22" s="47" t="n">
        <x:f>INDEX('Network Portfolio'!$B$6:$B$15,MATCH(B22,'Network Portfolio'!$A$6:$A$15,0))*IF(C22="National flagship",Controls!$B$9,IF(C22="Regional range",Controls!$B$10,Controls!$B$11))/COUNTIFS($B$6:$B$63,B22,$C$6:$C$63,C22)</x:f>
        <x:v>2.8000000000000003</x:v>
      </x:c>
      <x:c r="K22" s="26" t="str">
        <x:v>Requirement site; location open</x:v>
      </x:c>
    </x:row>
    <x:row r="23">
      <x:c r="A23" s="26" t="str">
        <x:v>HCR-07</x:v>
      </x:c>
      <x:c r="B23" s="26" t="str">
        <x:v>Hydraulics and coast</x:v>
      </x:c>
      <x:c r="C23" s="26" t="str">
        <x:v>Satellite/conformance node</x:v>
      </x:c>
      <x:c r="D23" s="26" t="str">
        <x:v>Caribbean/Territorial</x:v>
      </x:c>
      <x:c r="E23" s="26" t="str">
        <x:v>Replicate test megaflow, breach, surge, sediment, barriers and receiving water</x:v>
      </x:c>
      <x:c r="F23" s="27" t="n">
        <x:v>2</x:v>
      </x:c>
      <x:c r="G23" s="27" t="n">
        <x:v>4</x:v>
      </x:c>
      <x:c r="H23" s="45" t="n">
        <x:v>0.82</x:v>
      </x:c>
      <x:c r="I23" s="46" t="n">
        <x:f>F23*G23*H23</x:f>
        <x:v>6.56</x:v>
      </x:c>
      <x:c r="J23" s="47" t="n">
        <x:f>INDEX('Network Portfolio'!$B$6:$B$15,MATCH(B23,'Network Portfolio'!$A$6:$A$15,0))*IF(C23="National flagship",Controls!$B$9,IF(C23="Regional range",Controls!$B$10,Controls!$B$11))/COUNTIFS($B$6:$B$63,B23,$C$6:$C$63,C23)</x:f>
        <x:v>2.8000000000000003</x:v>
      </x:c>
      <x:c r="K23" s="26" t="str">
        <x:v>Requirement site; location open</x:v>
      </x:c>
    </x:row>
    <x:row r="24">
      <x:c r="A24" s="26" t="str">
        <x:v>WER-01</x:v>
      </x:c>
      <x:c r="B24" s="26" t="str">
        <x:v>Water and environmental process</x:v>
      </x:c>
      <x:c r="C24" s="26" t="str">
        <x:v>National flagship</x:v>
      </x:c>
      <x:c r="D24" s="26" t="str">
        <x:v>National controlled extreme</x:v>
      </x:c>
      <x:c r="E24" s="26" t="str">
        <x:v>100,000 m3/day closed-loop process; mixed chemical, biological and radiological surrogates</x:v>
      </x:c>
      <x:c r="F24" s="27" t="n">
        <x:v>8</x:v>
      </x:c>
      <x:c r="G24" s="27" t="n">
        <x:v>8</x:v>
      </x:c>
      <x:c r="H24" s="45" t="n">
        <x:v>0.75</x:v>
      </x:c>
      <x:c r="I24" s="46" t="n">
        <x:f>F24*G24*H24</x:f>
        <x:v>48</x:v>
      </x:c>
      <x:c r="J24" s="47" t="n">
        <x:f>INDEX('Network Portfolio'!$B$6:$B$15,MATCH(B24,'Network Portfolio'!$A$6:$A$15,0))*IF(C24="National flagship",Controls!$B$9,IF(C24="Regional range",Controls!$B$10,Controls!$B$11))/COUNTIFS($B$6:$B$63,B24,$C$6:$C$63,C24)</x:f>
        <x:v>12.6</x:v>
      </x:c>
      <x:c r="K24" s="26" t="str">
        <x:v>Requirement site; location open</x:v>
      </x:c>
    </x:row>
    <x:row r="25">
      <x:c r="A25" s="26" t="str">
        <x:v>WER-02</x:v>
      </x:c>
      <x:c r="B25" s="26" t="str">
        <x:v>Water and environmental process</x:v>
      </x:c>
      <x:c r="C25" s="26" t="str">
        <x:v>Regional range</x:v>
      </x:c>
      <x:c r="D25" s="26" t="str">
        <x:v>Arctic/Alaska</x:v>
      </x:c>
      <x:c r="E25" s="26" t="str">
        <x:v>Replicate challenge treatment, separations, residuals and temporary networks</x:v>
      </x:c>
      <x:c r="F25" s="27" t="n">
        <x:v>4</x:v>
      </x:c>
      <x:c r="G25" s="27" t="n">
        <x:v>8</x:v>
      </x:c>
      <x:c r="H25" s="45" t="n">
        <x:v>0.78</x:v>
      </x:c>
      <x:c r="I25" s="46" t="n">
        <x:f>F25*G25*H25</x:f>
        <x:v>24.96</x:v>
      </x:c>
      <x:c r="J25" s="47" t="n">
        <x:f>INDEX('Network Portfolio'!$B$6:$B$15,MATCH(B25,'Network Portfolio'!$A$6:$A$15,0))*IF(C25="National flagship",Controls!$B$9,IF(C25="Regional range",Controls!$B$10,Controls!$B$11))/COUNTIFS($B$6:$B$63,B25,$C$6:$C$63,C25)</x:f>
        <x:v>4.8999999999999995</x:v>
      </x:c>
      <x:c r="K25" s="26" t="str">
        <x:v>Requirement site; location open</x:v>
      </x:c>
    </x:row>
    <x:row r="26">
      <x:c r="A26" s="26" t="str">
        <x:v>WER-03</x:v>
      </x:c>
      <x:c r="B26" s="26" t="str">
        <x:v>Water and environmental process</x:v>
      </x:c>
      <x:c r="C26" s="26" t="str">
        <x:v>Regional range</x:v>
      </x:c>
      <x:c r="D26" s="26" t="str">
        <x:v>Caribbean/Territorial</x:v>
      </x:c>
      <x:c r="E26" s="26" t="str">
        <x:v>Replicate challenge treatment, separations, residuals and temporary networks</x:v>
      </x:c>
      <x:c r="F26" s="27" t="n">
        <x:v>4</x:v>
      </x:c>
      <x:c r="G26" s="27" t="n">
        <x:v>8</x:v>
      </x:c>
      <x:c r="H26" s="45" t="n">
        <x:v>0.78</x:v>
      </x:c>
      <x:c r="I26" s="46" t="n">
        <x:f>F26*G26*H26</x:f>
        <x:v>24.96</x:v>
      </x:c>
      <x:c r="J26" s="47" t="n">
        <x:f>INDEX('Network Portfolio'!$B$6:$B$15,MATCH(B26,'Network Portfolio'!$A$6:$A$15,0))*IF(C26="National flagship",Controls!$B$9,IF(C26="Regional range",Controls!$B$10,Controls!$B$11))/COUNTIFS($B$6:$B$63,B26,$C$6:$C$63,C26)</x:f>
        <x:v>4.8999999999999995</x:v>
      </x:c>
      <x:c r="K26" s="26" t="str">
        <x:v>Requirement site; location open</x:v>
      </x:c>
    </x:row>
    <x:row r="27">
      <x:c r="A27" s="26" t="str">
        <x:v>WER-04</x:v>
      </x:c>
      <x:c r="B27" s="26" t="str">
        <x:v>Water and environmental process</x:v>
      </x:c>
      <x:c r="C27" s="26" t="str">
        <x:v>Satellite/conformance node</x:v>
      </x:c>
      <x:c r="D27" s="26" t="str">
        <x:v>Arctic/Alaska</x:v>
      </x:c>
      <x:c r="E27" s="26" t="str">
        <x:v>Replicate challenge treatment, separations, residuals and temporary networks</x:v>
      </x:c>
      <x:c r="F27" s="27" t="n">
        <x:v>2</x:v>
      </x:c>
      <x:c r="G27" s="27" t="n">
        <x:v>8</x:v>
      </x:c>
      <x:c r="H27" s="45" t="n">
        <x:v>0.82</x:v>
      </x:c>
      <x:c r="I27" s="46" t="n">
        <x:f>F27*G27*H27</x:f>
        <x:v>13.12</x:v>
      </x:c>
      <x:c r="J27" s="47" t="n">
        <x:f>INDEX('Network Portfolio'!$B$6:$B$15,MATCH(B27,'Network Portfolio'!$A$6:$A$15,0))*IF(C27="National flagship",Controls!$B$9,IF(C27="Regional range",Controls!$B$10,Controls!$B$11))/COUNTIFS($B$6:$B$63,B27,$C$6:$C$63,C27)</x:f>
        <x:v>1.866666666666667</x:v>
      </x:c>
      <x:c r="K27" s="26" t="str">
        <x:v>Requirement site; location open</x:v>
      </x:c>
    </x:row>
    <x:row r="28">
      <x:c r="A28" s="26" t="str">
        <x:v>WER-05</x:v>
      </x:c>
      <x:c r="B28" s="26" t="str">
        <x:v>Water and environmental process</x:v>
      </x:c>
      <x:c r="C28" s="26" t="str">
        <x:v>Satellite/conformance node</x:v>
      </x:c>
      <x:c r="D28" s="26" t="str">
        <x:v>Caribbean/Territorial</x:v>
      </x:c>
      <x:c r="E28" s="26" t="str">
        <x:v>Replicate challenge treatment, separations, residuals and temporary networks</x:v>
      </x:c>
      <x:c r="F28" s="27" t="n">
        <x:v>2</x:v>
      </x:c>
      <x:c r="G28" s="27" t="n">
        <x:v>8</x:v>
      </x:c>
      <x:c r="H28" s="45" t="n">
        <x:v>0.82</x:v>
      </x:c>
      <x:c r="I28" s="46" t="n">
        <x:f>F28*G28*H28</x:f>
        <x:v>13.12</x:v>
      </x:c>
      <x:c r="J28" s="47" t="n">
        <x:f>INDEX('Network Portfolio'!$B$6:$B$15,MATCH(B28,'Network Portfolio'!$A$6:$A$15,0))*IF(C28="National flagship",Controls!$B$9,IF(C28="Regional range",Controls!$B$10,Controls!$B$11))/COUNTIFS($B$6:$B$63,B28,$C$6:$C$63,C28)</x:f>
        <x:v>1.866666666666667</x:v>
      </x:c>
      <x:c r="K28" s="26" t="str">
        <x:v>Requirement site; location open</x:v>
      </x:c>
    </x:row>
    <x:row r="29">
      <x:c r="A29" s="26" t="str">
        <x:v>WER-06</x:v>
      </x:c>
      <x:c r="B29" s="26" t="str">
        <x:v>Water and environmental process</x:v>
      </x:c>
      <x:c r="C29" s="26" t="str">
        <x:v>Satellite/conformance node</x:v>
      </x:c>
      <x:c r="D29" s="26" t="str">
        <x:v>Mountain/Drylands</x:v>
      </x:c>
      <x:c r="E29" s="26" t="str">
        <x:v>Replicate challenge treatment, separations, residuals and temporary networks</x:v>
      </x:c>
      <x:c r="F29" s="27" t="n">
        <x:v>2</x:v>
      </x:c>
      <x:c r="G29" s="27" t="n">
        <x:v>8</x:v>
      </x:c>
      <x:c r="H29" s="45" t="n">
        <x:v>0.82</x:v>
      </x:c>
      <x:c r="I29" s="46" t="n">
        <x:f>F29*G29*H29</x:f>
        <x:v>13.12</x:v>
      </x:c>
      <x:c r="J29" s="47" t="n">
        <x:f>INDEX('Network Portfolio'!$B$6:$B$15,MATCH(B29,'Network Portfolio'!$A$6:$A$15,0))*IF(C29="National flagship",Controls!$B$9,IF(C29="Regional range",Controls!$B$10,Controls!$B$11))/COUNTIFS($B$6:$B$63,B29,$C$6:$C$63,C29)</x:f>
        <x:v>1.866666666666667</x:v>
      </x:c>
      <x:c r="K29" s="26" t="str">
        <x:v>Requirement site; location open</x:v>
      </x:c>
    </x:row>
    <x:row r="30">
      <x:c r="A30" s="26" t="str">
        <x:v>GTR-01</x:v>
      </x:c>
      <x:c r="B30" s="26" t="str">
        <x:v>Grid and thermal</x:v>
      </x:c>
      <x:c r="C30" s="26" t="str">
        <x:v>National flagship</x:v>
      </x:c>
      <x:c r="D30" s="26" t="str">
        <x:v>National controlled extreme</x:v>
      </x:c>
      <x:c r="E30" s="26" t="str">
        <x:v>300 MW bidirectional, 115 kV boundary; 1 GWh storage/thermal equivalent</x:v>
      </x:c>
      <x:c r="F30" s="27" t="n">
        <x:v>8</x:v>
      </x:c>
      <x:c r="G30" s="27" t="n">
        <x:v>8</x:v>
      </x:c>
      <x:c r="H30" s="45" t="n">
        <x:v>0.75</x:v>
      </x:c>
      <x:c r="I30" s="46" t="n">
        <x:f>F30*G30*H30</x:f>
        <x:v>48</x:v>
      </x:c>
      <x:c r="J30" s="47" t="n">
        <x:f>INDEX('Network Portfolio'!$B$6:$B$15,MATCH(B30,'Network Portfolio'!$A$6:$A$15,0))*IF(C30="National flagship",Controls!$B$9,IF(C30="Regional range",Controls!$B$10,Controls!$B$11))/COUNTIFS($B$6:$B$63,B30,$C$6:$C$63,C30)</x:f>
        <x:v>16.2</x:v>
      </x:c>
      <x:c r="K30" s="26" t="str">
        <x:v>Requirement site; location open</x:v>
      </x:c>
    </x:row>
    <x:row r="31">
      <x:c r="A31" s="26" t="str">
        <x:v>GTR-02</x:v>
      </x:c>
      <x:c r="B31" s="26" t="str">
        <x:v>Grid and thermal</x:v>
      </x:c>
      <x:c r="C31" s="26" t="str">
        <x:v>Regional range</x:v>
      </x:c>
      <x:c r="D31" s="26" t="str">
        <x:v>Caribbean/Territorial</x:v>
      </x:c>
      <x:c r="E31" s="26" t="str">
        <x:v>Replicate fault, island, black-start and federate mobile power and thermal systems</x:v>
      </x:c>
      <x:c r="F31" s="27" t="n">
        <x:v>4</x:v>
      </x:c>
      <x:c r="G31" s="27" t="n">
        <x:v>8</x:v>
      </x:c>
      <x:c r="H31" s="45" t="n">
        <x:v>0.78</x:v>
      </x:c>
      <x:c r="I31" s="46" t="n">
        <x:f>F31*G31*H31</x:f>
        <x:v>24.96</x:v>
      </x:c>
      <x:c r="J31" s="47" t="n">
        <x:f>INDEX('Network Portfolio'!$B$6:$B$15,MATCH(B31,'Network Portfolio'!$A$6:$A$15,0))*IF(C31="National flagship",Controls!$B$9,IF(C31="Regional range",Controls!$B$10,Controls!$B$11))/COUNTIFS($B$6:$B$63,B31,$C$6:$C$63,C31)</x:f>
        <x:v>6.3</x:v>
      </x:c>
      <x:c r="K31" s="26" t="str">
        <x:v>Requirement site; location open</x:v>
      </x:c>
    </x:row>
    <x:row r="32">
      <x:c r="A32" s="26" t="str">
        <x:v>GTR-03</x:v>
      </x:c>
      <x:c r="B32" s="26" t="str">
        <x:v>Grid and thermal</x:v>
      </x:c>
      <x:c r="C32" s="26" t="str">
        <x:v>Regional range</x:v>
      </x:c>
      <x:c r="D32" s="26" t="str">
        <x:v>Mountain/Drylands</x:v>
      </x:c>
      <x:c r="E32" s="26" t="str">
        <x:v>Replicate fault, island, black-start and federate mobile power and thermal systems</x:v>
      </x:c>
      <x:c r="F32" s="27" t="n">
        <x:v>4</x:v>
      </x:c>
      <x:c r="G32" s="27" t="n">
        <x:v>8</x:v>
      </x:c>
      <x:c r="H32" s="45" t="n">
        <x:v>0.78</x:v>
      </x:c>
      <x:c r="I32" s="46" t="n">
        <x:f>F32*G32*H32</x:f>
        <x:v>24.96</x:v>
      </x:c>
      <x:c r="J32" s="47" t="n">
        <x:f>INDEX('Network Portfolio'!$B$6:$B$15,MATCH(B32,'Network Portfolio'!$A$6:$A$15,0))*IF(C32="National flagship",Controls!$B$9,IF(C32="Regional range",Controls!$B$10,Controls!$B$11))/COUNTIFS($B$6:$B$63,B32,$C$6:$C$63,C32)</x:f>
        <x:v>6.3</x:v>
      </x:c>
      <x:c r="K32" s="26" t="str">
        <x:v>Requirement site; location open</x:v>
      </x:c>
    </x:row>
    <x:row r="33">
      <x:c r="A33" s="26" t="str">
        <x:v>GTR-04</x:v>
      </x:c>
      <x:c r="B33" s="26" t="str">
        <x:v>Grid and thermal</x:v>
      </x:c>
      <x:c r="C33" s="26" t="str">
        <x:v>Satellite/conformance node</x:v>
      </x:c>
      <x:c r="D33" s="26" t="str">
        <x:v>Caribbean/Territorial</x:v>
      </x:c>
      <x:c r="E33" s="26" t="str">
        <x:v>Replicate fault, island, black-start and federate mobile power and thermal systems</x:v>
      </x:c>
      <x:c r="F33" s="27" t="n">
        <x:v>2</x:v>
      </x:c>
      <x:c r="G33" s="27" t="n">
        <x:v>8</x:v>
      </x:c>
      <x:c r="H33" s="45" t="n">
        <x:v>0.82</x:v>
      </x:c>
      <x:c r="I33" s="46" t="n">
        <x:f>F33*G33*H33</x:f>
        <x:v>13.12</x:v>
      </x:c>
      <x:c r="J33" s="47" t="n">
        <x:f>INDEX('Network Portfolio'!$B$6:$B$15,MATCH(B33,'Network Portfolio'!$A$6:$A$15,0))*IF(C33="National flagship",Controls!$B$9,IF(C33="Regional range",Controls!$B$10,Controls!$B$11))/COUNTIFS($B$6:$B$63,B33,$C$6:$C$63,C33)</x:f>
        <x:v>2.4</x:v>
      </x:c>
      <x:c r="K33" s="26" t="str">
        <x:v>Requirement site; location open</x:v>
      </x:c>
    </x:row>
    <x:row r="34">
      <x:c r="A34" s="26" t="str">
        <x:v>GTR-05</x:v>
      </x:c>
      <x:c r="B34" s="26" t="str">
        <x:v>Grid and thermal</x:v>
      </x:c>
      <x:c r="C34" s="26" t="str">
        <x:v>Satellite/conformance node</x:v>
      </x:c>
      <x:c r="D34" s="26" t="str">
        <x:v>Mountain/Drylands</x:v>
      </x:c>
      <x:c r="E34" s="26" t="str">
        <x:v>Replicate fault, island, black-start and federate mobile power and thermal systems</x:v>
      </x:c>
      <x:c r="F34" s="27" t="n">
        <x:v>2</x:v>
      </x:c>
      <x:c r="G34" s="27" t="n">
        <x:v>8</x:v>
      </x:c>
      <x:c r="H34" s="45" t="n">
        <x:v>0.82</x:v>
      </x:c>
      <x:c r="I34" s="46" t="n">
        <x:f>F34*G34*H34</x:f>
        <x:v>13.12</x:v>
      </x:c>
      <x:c r="J34" s="47" t="n">
        <x:f>INDEX('Network Portfolio'!$B$6:$B$15,MATCH(B34,'Network Portfolio'!$A$6:$A$15,0))*IF(C34="National flagship",Controls!$B$9,IF(C34="Regional range",Controls!$B$10,Controls!$B$11))/COUNTIFS($B$6:$B$63,B34,$C$6:$C$63,C34)</x:f>
        <x:v>2.4</x:v>
      </x:c>
      <x:c r="K34" s="26" t="str">
        <x:v>Requirement site; location open</x:v>
      </x:c>
    </x:row>
    <x:row r="35">
      <x:c r="A35" s="26" t="str">
        <x:v>GTR-06</x:v>
      </x:c>
      <x:c r="B35" s="26" t="str">
        <x:v>Grid and thermal</x:v>
      </x:c>
      <x:c r="C35" s="26" t="str">
        <x:v>Satellite/conformance node</x:v>
      </x:c>
      <x:c r="D35" s="26" t="str">
        <x:v>Atlantic/Gulf</x:v>
      </x:c>
      <x:c r="E35" s="26" t="str">
        <x:v>Replicate fault, island, black-start and federate mobile power and thermal systems</x:v>
      </x:c>
      <x:c r="F35" s="27" t="n">
        <x:v>2</x:v>
      </x:c>
      <x:c r="G35" s="27" t="n">
        <x:v>8</x:v>
      </x:c>
      <x:c r="H35" s="45" t="n">
        <x:v>0.82</x:v>
      </x:c>
      <x:c r="I35" s="46" t="n">
        <x:f>F35*G35*H35</x:f>
        <x:v>13.12</x:v>
      </x:c>
      <x:c r="J35" s="47" t="n">
        <x:f>INDEX('Network Portfolio'!$B$6:$B$15,MATCH(B35,'Network Portfolio'!$A$6:$A$15,0))*IF(C35="National flagship",Controls!$B$9,IF(C35="Regional range",Controls!$B$10,Controls!$B$11))/COUNTIFS($B$6:$B$63,B35,$C$6:$C$63,C35)</x:f>
        <x:v>2.4</x:v>
      </x:c>
      <x:c r="K35" s="26" t="str">
        <x:v>Requirement site; location open</x:v>
      </x:c>
    </x:row>
    <x:row r="36">
      <x:c r="A36" s="26" t="str">
        <x:v>HBR-01</x:v>
      </x:c>
      <x:c r="B36" s="26" t="str">
        <x:v>Health and bioresponse</x:v>
      </x:c>
      <x:c r="C36" s="26" t="str">
        <x:v>National flagship</x:v>
      </x:c>
      <x:c r="D36" s="26" t="str">
        <x:v>National controlled extreme</x:v>
      </x:c>
      <x:c r="E36" s="26" t="str">
        <x:v>1,000 simulated beds; BSL-2/3 production suites; isolated BSL-4 reference capacity</x:v>
      </x:c>
      <x:c r="F36" s="27" t="n">
        <x:v>8</x:v>
      </x:c>
      <x:c r="G36" s="27" t="n">
        <x:v>6</x:v>
      </x:c>
      <x:c r="H36" s="45" t="n">
        <x:v>0.75</x:v>
      </x:c>
      <x:c r="I36" s="46" t="n">
        <x:f>F36*G36*H36</x:f>
        <x:v>36</x:v>
      </x:c>
      <x:c r="J36" s="47" t="n">
        <x:f>INDEX('Network Portfolio'!$B$6:$B$15,MATCH(B36,'Network Portfolio'!$A$6:$A$15,0))*IF(C36="National flagship",Controls!$B$9,IF(C36="Regional range",Controls!$B$10,Controls!$B$11))/COUNTIFS($B$6:$B$63,B36,$C$6:$C$63,C36)</x:f>
        <x:v>15.3</x:v>
      </x:c>
      <x:c r="K36" s="26" t="str">
        <x:v>Requirement site; location open</x:v>
      </x:c>
    </x:row>
    <x:row r="37">
      <x:c r="A37" s="26" t="str">
        <x:v>HBR-02</x:v>
      </x:c>
      <x:c r="B37" s="26" t="str">
        <x:v>Health and bioresponse</x:v>
      </x:c>
      <x:c r="C37" s="26" t="str">
        <x:v>Regional range</x:v>
      </x:c>
      <x:c r="D37" s="26" t="str">
        <x:v>Mountain/Drylands</x:v>
      </x:c>
      <x:c r="E37" s="26" t="str">
        <x:v>Replicate test deployable care, clinical flow, containment and distributed manufacturing</x:v>
      </x:c>
      <x:c r="F37" s="27" t="n">
        <x:v>4</x:v>
      </x:c>
      <x:c r="G37" s="27" t="n">
        <x:v>6</x:v>
      </x:c>
      <x:c r="H37" s="45" t="n">
        <x:v>0.78</x:v>
      </x:c>
      <x:c r="I37" s="46" t="n">
        <x:f>F37*G37*H37</x:f>
        <x:v>18.72</x:v>
      </x:c>
      <x:c r="J37" s="47" t="n">
        <x:f>INDEX('Network Portfolio'!$B$6:$B$15,MATCH(B37,'Network Portfolio'!$A$6:$A$15,0))*IF(C37="National flagship",Controls!$B$9,IF(C37="Regional range",Controls!$B$10,Controls!$B$11))/COUNTIFS($B$6:$B$63,B37,$C$6:$C$63,C37)</x:f>
        <x:v>5.949999999999999</x:v>
      </x:c>
      <x:c r="K37" s="26" t="str">
        <x:v>Requirement site; location open</x:v>
      </x:c>
    </x:row>
    <x:row r="38">
      <x:c r="A38" s="26" t="str">
        <x:v>HBR-03</x:v>
      </x:c>
      <x:c r="B38" s="26" t="str">
        <x:v>Health and bioresponse</x:v>
      </x:c>
      <x:c r="C38" s="26" t="str">
        <x:v>Regional range</x:v>
      </x:c>
      <x:c r="D38" s="26" t="str">
        <x:v>Atlantic/Gulf</x:v>
      </x:c>
      <x:c r="E38" s="26" t="str">
        <x:v>Replicate test deployable care, clinical flow, containment and distributed manufacturing</x:v>
      </x:c>
      <x:c r="F38" s="27" t="n">
        <x:v>4</x:v>
      </x:c>
      <x:c r="G38" s="27" t="n">
        <x:v>6</x:v>
      </x:c>
      <x:c r="H38" s="45" t="n">
        <x:v>0.78</x:v>
      </x:c>
      <x:c r="I38" s="46" t="n">
        <x:f>F38*G38*H38</x:f>
        <x:v>18.72</x:v>
      </x:c>
      <x:c r="J38" s="47" t="n">
        <x:f>INDEX('Network Portfolio'!$B$6:$B$15,MATCH(B38,'Network Portfolio'!$A$6:$A$15,0))*IF(C38="National flagship",Controls!$B$9,IF(C38="Regional range",Controls!$B$10,Controls!$B$11))/COUNTIFS($B$6:$B$63,B38,$C$6:$C$63,C38)</x:f>
        <x:v>5.949999999999999</x:v>
      </x:c>
      <x:c r="K38" s="26" t="str">
        <x:v>Requirement site; location open</x:v>
      </x:c>
    </x:row>
    <x:row r="39">
      <x:c r="A39" s="26" t="str">
        <x:v>HBR-04</x:v>
      </x:c>
      <x:c r="B39" s="26" t="str">
        <x:v>Health and bioresponse</x:v>
      </x:c>
      <x:c r="C39" s="26" t="str">
        <x:v>Satellite/conformance node</x:v>
      </x:c>
      <x:c r="D39" s="26" t="str">
        <x:v>Mountain/Drylands</x:v>
      </x:c>
      <x:c r="E39" s="26" t="str">
        <x:v>Replicate test deployable care, clinical flow, containment and distributed manufacturing</x:v>
      </x:c>
      <x:c r="F39" s="27" t="n">
        <x:v>2</x:v>
      </x:c>
      <x:c r="G39" s="27" t="n">
        <x:v>6</x:v>
      </x:c>
      <x:c r="H39" s="45" t="n">
        <x:v>0.82</x:v>
      </x:c>
      <x:c r="I39" s="46" t="n">
        <x:f>F39*G39*H39</x:f>
        <x:v>9.84</x:v>
      </x:c>
      <x:c r="J39" s="47" t="n">
        <x:f>INDEX('Network Portfolio'!$B$6:$B$15,MATCH(B39,'Network Portfolio'!$A$6:$A$15,0))*IF(C39="National flagship",Controls!$B$9,IF(C39="Regional range",Controls!$B$10,Controls!$B$11))/COUNTIFS($B$6:$B$63,B39,$C$6:$C$63,C39)</x:f>
        <x:v>2.266666666666667</x:v>
      </x:c>
      <x:c r="K39" s="26" t="str">
        <x:v>Requirement site; location open</x:v>
      </x:c>
    </x:row>
    <x:row r="40">
      <x:c r="A40" s="26" t="str">
        <x:v>HBR-05</x:v>
      </x:c>
      <x:c r="B40" s="26" t="str">
        <x:v>Health and bioresponse</x:v>
      </x:c>
      <x:c r="C40" s="26" t="str">
        <x:v>Satellite/conformance node</x:v>
      </x:c>
      <x:c r="D40" s="26" t="str">
        <x:v>Atlantic/Gulf</x:v>
      </x:c>
      <x:c r="E40" s="26" t="str">
        <x:v>Replicate test deployable care, clinical flow, containment and distributed manufacturing</x:v>
      </x:c>
      <x:c r="F40" s="27" t="n">
        <x:v>2</x:v>
      </x:c>
      <x:c r="G40" s="27" t="n">
        <x:v>6</x:v>
      </x:c>
      <x:c r="H40" s="45" t="n">
        <x:v>0.82</x:v>
      </x:c>
      <x:c r="I40" s="46" t="n">
        <x:f>F40*G40*H40</x:f>
        <x:v>9.84</x:v>
      </x:c>
      <x:c r="J40" s="47" t="n">
        <x:f>INDEX('Network Portfolio'!$B$6:$B$15,MATCH(B40,'Network Portfolio'!$A$6:$A$15,0))*IF(C40="National flagship",Controls!$B$9,IF(C40="Regional range",Controls!$B$10,Controls!$B$11))/COUNTIFS($B$6:$B$63,B40,$C$6:$C$63,C40)</x:f>
        <x:v>2.266666666666667</x:v>
      </x:c>
      <x:c r="K40" s="26" t="str">
        <x:v>Requirement site; location open</x:v>
      </x:c>
    </x:row>
    <x:row r="41">
      <x:c r="A41" s="26" t="str">
        <x:v>HBR-06</x:v>
      </x:c>
      <x:c r="B41" s="26" t="str">
        <x:v>Health and bioresponse</x:v>
      </x:c>
      <x:c r="C41" s="26" t="str">
        <x:v>Satellite/conformance node</x:v>
      </x:c>
      <x:c r="D41" s="26" t="str">
        <x:v>Pacific</x:v>
      </x:c>
      <x:c r="E41" s="26" t="str">
        <x:v>Replicate test deployable care, clinical flow, containment and distributed manufacturing</x:v>
      </x:c>
      <x:c r="F41" s="27" t="n">
        <x:v>2</x:v>
      </x:c>
      <x:c r="G41" s="27" t="n">
        <x:v>6</x:v>
      </x:c>
      <x:c r="H41" s="45" t="n">
        <x:v>0.82</x:v>
      </x:c>
      <x:c r="I41" s="46" t="n">
        <x:f>F41*G41*H41</x:f>
        <x:v>9.84</x:v>
      </x:c>
      <x:c r="J41" s="47" t="n">
        <x:f>INDEX('Network Portfolio'!$B$6:$B$15,MATCH(B41,'Network Portfolio'!$A$6:$A$15,0))*IF(C41="National flagship",Controls!$B$9,IF(C41="Regional range",Controls!$B$10,Controls!$B$11))/COUNTIFS($B$6:$B$63,B41,$C$6:$C$63,C41)</x:f>
        <x:v>2.266666666666667</x:v>
      </x:c>
      <x:c r="K41" s="26" t="str">
        <x:v>Requirement site; location open</x:v>
      </x:c>
    </x:row>
    <x:row r="42">
      <x:c r="A42" s="26" t="str">
        <x:v>BGR-01</x:v>
      </x:c>
      <x:c r="B42" s="26" t="str">
        <x:v>Built environment and ground</x:v>
      </x:c>
      <x:c r="C42" s="26" t="str">
        <x:v>National flagship</x:v>
      </x:c>
      <x:c r="D42" s="26" t="str">
        <x:v>National controlled extreme</x:v>
      </x:c>
      <x:c r="E42" s="26" t="str">
        <x:v>50 m x 50 m multi-axis platform; 10,000 t payload; 100 MN hybrid actuation</x:v>
      </x:c>
      <x:c r="F42" s="27" t="n">
        <x:v>8</x:v>
      </x:c>
      <x:c r="G42" s="27" t="n">
        <x:v>5</x:v>
      </x:c>
      <x:c r="H42" s="45" t="n">
        <x:v>0.75</x:v>
      </x:c>
      <x:c r="I42" s="46" t="n">
        <x:f>F42*G42*H42</x:f>
        <x:v>30</x:v>
      </x:c>
      <x:c r="J42" s="47" t="n">
        <x:f>INDEX('Network Portfolio'!$B$6:$B$15,MATCH(B42,'Network Portfolio'!$A$6:$A$15,0))*IF(C42="National flagship",Controls!$B$9,IF(C42="Regional range",Controls!$B$10,Controls!$B$11))/COUNTIFS($B$6:$B$63,B42,$C$6:$C$63,C42)</x:f>
        <x:v>16.2</x:v>
      </x:c>
      <x:c r="K42" s="26" t="str">
        <x:v>Requirement site; location open</x:v>
      </x:c>
    </x:row>
    <x:row r="43">
      <x:c r="A43" s="26" t="str">
        <x:v>BGR-02</x:v>
      </x:c>
      <x:c r="B43" s="26" t="str">
        <x:v>Built environment and ground</x:v>
      </x:c>
      <x:c r="C43" s="26" t="str">
        <x:v>Regional range</x:v>
      </x:c>
      <x:c r="D43" s="26" t="str">
        <x:v>Atlantic/Gulf</x:v>
      </x:c>
      <x:c r="E43" s="26" t="str">
        <x:v>Replicate destroy and stabilize full-scale structures, lifelines and ground systems</x:v>
      </x:c>
      <x:c r="F43" s="27" t="n">
        <x:v>4</x:v>
      </x:c>
      <x:c r="G43" s="27" t="n">
        <x:v>5</x:v>
      </x:c>
      <x:c r="H43" s="45" t="n">
        <x:v>0.78</x:v>
      </x:c>
      <x:c r="I43" s="46" t="n">
        <x:f>F43*G43*H43</x:f>
        <x:v>15.600000000000001</x:v>
      </x:c>
      <x:c r="J43" s="47" t="n">
        <x:f>INDEX('Network Portfolio'!$B$6:$B$15,MATCH(B43,'Network Portfolio'!$A$6:$A$15,0))*IF(C43="National flagship",Controls!$B$9,IF(C43="Regional range",Controls!$B$10,Controls!$B$11))/COUNTIFS($B$6:$B$63,B43,$C$6:$C$63,C43)</x:f>
        <x:v>6.3</x:v>
      </x:c>
      <x:c r="K43" s="26" t="str">
        <x:v>Requirement site; location open</x:v>
      </x:c>
    </x:row>
    <x:row r="44">
      <x:c r="A44" s="26" t="str">
        <x:v>BGR-03</x:v>
      </x:c>
      <x:c r="B44" s="26" t="str">
        <x:v>Built environment and ground</x:v>
      </x:c>
      <x:c r="C44" s="26" t="str">
        <x:v>Regional range</x:v>
      </x:c>
      <x:c r="D44" s="26" t="str">
        <x:v>Pacific</x:v>
      </x:c>
      <x:c r="E44" s="26" t="str">
        <x:v>Replicate destroy and stabilize full-scale structures, lifelines and ground systems</x:v>
      </x:c>
      <x:c r="F44" s="27" t="n">
        <x:v>4</x:v>
      </x:c>
      <x:c r="G44" s="27" t="n">
        <x:v>5</x:v>
      </x:c>
      <x:c r="H44" s="45" t="n">
        <x:v>0.78</x:v>
      </x:c>
      <x:c r="I44" s="46" t="n">
        <x:f>F44*G44*H44</x:f>
        <x:v>15.600000000000001</x:v>
      </x:c>
      <x:c r="J44" s="47" t="n">
        <x:f>INDEX('Network Portfolio'!$B$6:$B$15,MATCH(B44,'Network Portfolio'!$A$6:$A$15,0))*IF(C44="National flagship",Controls!$B$9,IF(C44="Regional range",Controls!$B$10,Controls!$B$11))/COUNTIFS($B$6:$B$63,B44,$C$6:$C$63,C44)</x:f>
        <x:v>6.3</x:v>
      </x:c>
      <x:c r="K44" s="26" t="str">
        <x:v>Requirement site; location open</x:v>
      </x:c>
    </x:row>
    <x:row r="45">
      <x:c r="A45" s="26" t="str">
        <x:v>BGR-04</x:v>
      </x:c>
      <x:c r="B45" s="26" t="str">
        <x:v>Built environment and ground</x:v>
      </x:c>
      <x:c r="C45" s="26" t="str">
        <x:v>Satellite/conformance node</x:v>
      </x:c>
      <x:c r="D45" s="26" t="str">
        <x:v>Atlantic/Gulf</x:v>
      </x:c>
      <x:c r="E45" s="26" t="str">
        <x:v>Replicate destroy and stabilize full-scale structures, lifelines and ground systems</x:v>
      </x:c>
      <x:c r="F45" s="27" t="n">
        <x:v>2</x:v>
      </x:c>
      <x:c r="G45" s="27" t="n">
        <x:v>5</x:v>
      </x:c>
      <x:c r="H45" s="45" t="n">
        <x:v>0.82</x:v>
      </x:c>
      <x:c r="I45" s="46" t="n">
        <x:f>F45*G45*H45</x:f>
        <x:v>8.2</x:v>
      </x:c>
      <x:c r="J45" s="47" t="n">
        <x:f>INDEX('Network Portfolio'!$B$6:$B$15,MATCH(B45,'Network Portfolio'!$A$6:$A$15,0))*IF(C45="National flagship",Controls!$B$9,IF(C45="Regional range",Controls!$B$10,Controls!$B$11))/COUNTIFS($B$6:$B$63,B45,$C$6:$C$63,C45)</x:f>
        <x:v>2.4</x:v>
      </x:c>
      <x:c r="K45" s="26" t="str">
        <x:v>Requirement site; location open</x:v>
      </x:c>
    </x:row>
    <x:row r="46">
      <x:c r="A46" s="26" t="str">
        <x:v>BGR-05</x:v>
      </x:c>
      <x:c r="B46" s="26" t="str">
        <x:v>Built environment and ground</x:v>
      </x:c>
      <x:c r="C46" s="26" t="str">
        <x:v>Satellite/conformance node</x:v>
      </x:c>
      <x:c r="D46" s="26" t="str">
        <x:v>Pacific</x:v>
      </x:c>
      <x:c r="E46" s="26" t="str">
        <x:v>Replicate destroy and stabilize full-scale structures, lifelines and ground systems</x:v>
      </x:c>
      <x:c r="F46" s="27" t="n">
        <x:v>2</x:v>
      </x:c>
      <x:c r="G46" s="27" t="n">
        <x:v>5</x:v>
      </x:c>
      <x:c r="H46" s="45" t="n">
        <x:v>0.82</x:v>
      </x:c>
      <x:c r="I46" s="46" t="n">
        <x:f>F46*G46*H46</x:f>
        <x:v>8.2</x:v>
      </x:c>
      <x:c r="J46" s="47" t="n">
        <x:f>INDEX('Network Portfolio'!$B$6:$B$15,MATCH(B46,'Network Portfolio'!$A$6:$A$15,0))*IF(C46="National flagship",Controls!$B$9,IF(C46="Regional range",Controls!$B$10,Controls!$B$11))/COUNTIFS($B$6:$B$63,B46,$C$6:$C$63,C46)</x:f>
        <x:v>2.4</x:v>
      </x:c>
      <x:c r="K46" s="26" t="str">
        <x:v>Requirement site; location open</x:v>
      </x:c>
    </x:row>
    <x:row r="47">
      <x:c r="A47" s="26" t="str">
        <x:v>BGR-06</x:v>
      </x:c>
      <x:c r="B47" s="26" t="str">
        <x:v>Built environment and ground</x:v>
      </x:c>
      <x:c r="C47" s="26" t="str">
        <x:v>Satellite/conformance node</x:v>
      </x:c>
      <x:c r="D47" s="26" t="str">
        <x:v>Interior/Great Lakes</x:v>
      </x:c>
      <x:c r="E47" s="26" t="str">
        <x:v>Replicate destroy and stabilize full-scale structures, lifelines and ground systems</x:v>
      </x:c>
      <x:c r="F47" s="27" t="n">
        <x:v>2</x:v>
      </x:c>
      <x:c r="G47" s="27" t="n">
        <x:v>5</x:v>
      </x:c>
      <x:c r="H47" s="45" t="n">
        <x:v>0.82</x:v>
      </x:c>
      <x:c r="I47" s="46" t="n">
        <x:f>F47*G47*H47</x:f>
        <x:v>8.2</x:v>
      </x:c>
      <x:c r="J47" s="47" t="n">
        <x:f>INDEX('Network Portfolio'!$B$6:$B$15,MATCH(B47,'Network Portfolio'!$A$6:$A$15,0))*IF(C47="National flagship",Controls!$B$9,IF(C47="Regional range",Controls!$B$10,Controls!$B$11))/COUNTIFS($B$6:$B$63,B47,$C$6:$C$63,C47)</x:f>
        <x:v>2.4</x:v>
      </x:c>
      <x:c r="K47" s="26" t="str">
        <x:v>Requirement site; location open</x:v>
      </x:c>
    </x:row>
    <x:row r="48">
      <x:c r="A48" s="26" t="str">
        <x:v>MAR-01</x:v>
      </x:c>
      <x:c r="B48" s="26" t="str">
        <x:v>Mobility, access and autonomy</x:v>
      </x:c>
      <x:c r="C48" s="26" t="str">
        <x:v>National flagship</x:v>
      </x:c>
      <x:c r="D48" s="26" t="str">
        <x:v>National controlled extreme</x:v>
      </x:c>
      <x:c r="E48" s="26" t="str">
        <x:v>50 km instrumented damaged corridor; flooded district, short strip and degraded port</x:v>
      </x:c>
      <x:c r="F48" s="27" t="n">
        <x:v>8</x:v>
      </x:c>
      <x:c r="G48" s="27" t="n">
        <x:v>6</x:v>
      </x:c>
      <x:c r="H48" s="45" t="n">
        <x:v>0.75</x:v>
      </x:c>
      <x:c r="I48" s="46" t="n">
        <x:f>F48*G48*H48</x:f>
        <x:v>36</x:v>
      </x:c>
      <x:c r="J48" s="47" t="n">
        <x:f>INDEX('Network Portfolio'!$B$6:$B$15,MATCH(B48,'Network Portfolio'!$A$6:$A$15,0))*IF(C48="National flagship",Controls!$B$9,IF(C48="Regional range",Controls!$B$10,Controls!$B$11))/COUNTIFS($B$6:$B$63,B48,$C$6:$C$63,C48)</x:f>
        <x:v>14.4</x:v>
      </x:c>
      <x:c r="K48" s="26" t="str">
        <x:v>Requirement site; location open</x:v>
      </x:c>
    </x:row>
    <x:row r="49">
      <x:c r="A49" s="26" t="str">
        <x:v>MAR-02</x:v>
      </x:c>
      <x:c r="B49" s="26" t="str">
        <x:v>Mobility, access and autonomy</x:v>
      </x:c>
      <x:c r="C49" s="26" t="str">
        <x:v>Regional range</x:v>
      </x:c>
      <x:c r="D49" s="26" t="str">
        <x:v>Pacific</x:v>
      </x:c>
      <x:c r="E49" s="26" t="str">
        <x:v>Replicate open broken routes and test autonomous air, land and water operations</x:v>
      </x:c>
      <x:c r="F49" s="27" t="n">
        <x:v>4</x:v>
      </x:c>
      <x:c r="G49" s="27" t="n">
        <x:v>6</x:v>
      </x:c>
      <x:c r="H49" s="45" t="n">
        <x:v>0.78</x:v>
      </x:c>
      <x:c r="I49" s="46" t="n">
        <x:f>F49*G49*H49</x:f>
        <x:v>18.72</x:v>
      </x:c>
      <x:c r="J49" s="47" t="n">
        <x:f>INDEX('Network Portfolio'!$B$6:$B$15,MATCH(B49,'Network Portfolio'!$A$6:$A$15,0))*IF(C49="National flagship",Controls!$B$9,IF(C49="Regional range",Controls!$B$10,Controls!$B$11))/COUNTIFS($B$6:$B$63,B49,$C$6:$C$63,C49)</x:f>
        <x:v>5.6</x:v>
      </x:c>
      <x:c r="K49" s="26" t="str">
        <x:v>Requirement site; location open</x:v>
      </x:c>
    </x:row>
    <x:row r="50">
      <x:c r="A50" s="26" t="str">
        <x:v>MAR-03</x:v>
      </x:c>
      <x:c r="B50" s="26" t="str">
        <x:v>Mobility, access and autonomy</x:v>
      </x:c>
      <x:c r="C50" s="26" t="str">
        <x:v>Regional range</x:v>
      </x:c>
      <x:c r="D50" s="26" t="str">
        <x:v>Interior/Great Lakes</x:v>
      </x:c>
      <x:c r="E50" s="26" t="str">
        <x:v>Replicate open broken routes and test autonomous air, land and water operations</x:v>
      </x:c>
      <x:c r="F50" s="27" t="n">
        <x:v>4</x:v>
      </x:c>
      <x:c r="G50" s="27" t="n">
        <x:v>6</x:v>
      </x:c>
      <x:c r="H50" s="45" t="n">
        <x:v>0.78</x:v>
      </x:c>
      <x:c r="I50" s="46" t="n">
        <x:f>F50*G50*H50</x:f>
        <x:v>18.72</x:v>
      </x:c>
      <x:c r="J50" s="47" t="n">
        <x:f>INDEX('Network Portfolio'!$B$6:$B$15,MATCH(B50,'Network Portfolio'!$A$6:$A$15,0))*IF(C50="National flagship",Controls!$B$9,IF(C50="Regional range",Controls!$B$10,Controls!$B$11))/COUNTIFS($B$6:$B$63,B50,$C$6:$C$63,C50)</x:f>
        <x:v>5.6</x:v>
      </x:c>
      <x:c r="K50" s="26" t="str">
        <x:v>Requirement site; location open</x:v>
      </x:c>
    </x:row>
    <x:row r="51">
      <x:c r="A51" s="26" t="str">
        <x:v>MAR-04</x:v>
      </x:c>
      <x:c r="B51" s="26" t="str">
        <x:v>Mobility, access and autonomy</x:v>
      </x:c>
      <x:c r="C51" s="26" t="str">
        <x:v>Satellite/conformance node</x:v>
      </x:c>
      <x:c r="D51" s="26" t="str">
        <x:v>Pacific</x:v>
      </x:c>
      <x:c r="E51" s="26" t="str">
        <x:v>Replicate open broken routes and test autonomous air, land and water operations</x:v>
      </x:c>
      <x:c r="F51" s="27" t="n">
        <x:v>2</x:v>
      </x:c>
      <x:c r="G51" s="27" t="n">
        <x:v>6</x:v>
      </x:c>
      <x:c r="H51" s="45" t="n">
        <x:v>0.82</x:v>
      </x:c>
      <x:c r="I51" s="46" t="n">
        <x:f>F51*G51*H51</x:f>
        <x:v>9.84</x:v>
      </x:c>
      <x:c r="J51" s="47" t="n">
        <x:f>INDEX('Network Portfolio'!$B$6:$B$15,MATCH(B51,'Network Portfolio'!$A$6:$A$15,0))*IF(C51="National flagship",Controls!$B$9,IF(C51="Regional range",Controls!$B$10,Controls!$B$11))/COUNTIFS($B$6:$B$63,B51,$C$6:$C$63,C51)</x:f>
        <x:v>2.1333333333333333</x:v>
      </x:c>
      <x:c r="K51" s="26" t="str">
        <x:v>Requirement site; location open</x:v>
      </x:c>
    </x:row>
    <x:row r="52">
      <x:c r="A52" s="26" t="str">
        <x:v>MAR-05</x:v>
      </x:c>
      <x:c r="B52" s="26" t="str">
        <x:v>Mobility, access and autonomy</x:v>
      </x:c>
      <x:c r="C52" s="26" t="str">
        <x:v>Satellite/conformance node</x:v>
      </x:c>
      <x:c r="D52" s="26" t="str">
        <x:v>Interior/Great Lakes</x:v>
      </x:c>
      <x:c r="E52" s="26" t="str">
        <x:v>Replicate open broken routes and test autonomous air, land and water operations</x:v>
      </x:c>
      <x:c r="F52" s="27" t="n">
        <x:v>2</x:v>
      </x:c>
      <x:c r="G52" s="27" t="n">
        <x:v>6</x:v>
      </x:c>
      <x:c r="H52" s="45" t="n">
        <x:v>0.82</x:v>
      </x:c>
      <x:c r="I52" s="46" t="n">
        <x:f>F52*G52*H52</x:f>
        <x:v>9.84</x:v>
      </x:c>
      <x:c r="J52" s="47" t="n">
        <x:f>INDEX('Network Portfolio'!$B$6:$B$15,MATCH(B52,'Network Portfolio'!$A$6:$A$15,0))*IF(C52="National flagship",Controls!$B$9,IF(C52="Regional range",Controls!$B$10,Controls!$B$11))/COUNTIFS($B$6:$B$63,B52,$C$6:$C$63,C52)</x:f>
        <x:v>2.1333333333333333</x:v>
      </x:c>
      <x:c r="K52" s="26" t="str">
        <x:v>Requirement site; location open</x:v>
      </x:c>
    </x:row>
    <x:row r="53">
      <x:c r="A53" s="26" t="str">
        <x:v>MAR-06</x:v>
      </x:c>
      <x:c r="B53" s="26" t="str">
        <x:v>Mobility, access and autonomy</x:v>
      </x:c>
      <x:c r="C53" s="26" t="str">
        <x:v>Satellite/conformance node</x:v>
      </x:c>
      <x:c r="D53" s="26" t="str">
        <x:v>Arctic/Alaska</x:v>
      </x:c>
      <x:c r="E53" s="26" t="str">
        <x:v>Replicate open broken routes and test autonomous air, land and water operations</x:v>
      </x:c>
      <x:c r="F53" s="27" t="n">
        <x:v>2</x:v>
      </x:c>
      <x:c r="G53" s="27" t="n">
        <x:v>6</x:v>
      </x:c>
      <x:c r="H53" s="45" t="n">
        <x:v>0.82</x:v>
      </x:c>
      <x:c r="I53" s="46" t="n">
        <x:f>F53*G53*H53</x:f>
        <x:v>9.84</x:v>
      </x:c>
      <x:c r="J53" s="47" t="n">
        <x:f>INDEX('Network Portfolio'!$B$6:$B$15,MATCH(B53,'Network Portfolio'!$A$6:$A$15,0))*IF(C53="National flagship",Controls!$B$9,IF(C53="Regional range",Controls!$B$10,Controls!$B$11))/COUNTIFS($B$6:$B$63,B53,$C$6:$C$63,C53)</x:f>
        <x:v>2.1333333333333333</x:v>
      </x:c>
      <x:c r="K53" s="26" t="str">
        <x:v>Requirement site; location open</x:v>
      </x:c>
    </x:row>
    <x:row r="54">
      <x:c r="A54" s="26" t="str">
        <x:v>MMR-01</x:v>
      </x:c>
      <x:c r="B54" s="26" t="str">
        <x:v>Manufacturing and mobilization</x:v>
      </x:c>
      <x:c r="C54" s="26" t="str">
        <x:v>National flagship</x:v>
      </x:c>
      <x:c r="D54" s="26" t="str">
        <x:v>National controlled extreme</x:v>
      </x:c>
      <x:c r="E54" s="26" t="str">
        <x:v>Ten reconfigurable pilot lines; 30-day supplier cold-start campaigns</x:v>
      </x:c>
      <x:c r="F54" s="27" t="n">
        <x:v>8</x:v>
      </x:c>
      <x:c r="G54" s="27" t="n">
        <x:v>8</x:v>
      </x:c>
      <x:c r="H54" s="45" t="n">
        <x:v>0.75</x:v>
      </x:c>
      <x:c r="I54" s="46" t="n">
        <x:f>F54*G54*H54</x:f>
        <x:v>48</x:v>
      </x:c>
      <x:c r="J54" s="47" t="n">
        <x:f>INDEX('Network Portfolio'!$B$6:$B$15,MATCH(B54,'Network Portfolio'!$A$6:$A$15,0))*IF(C54="National flagship",Controls!$B$9,IF(C54="Regional range",Controls!$B$10,Controls!$B$11))/COUNTIFS($B$6:$B$63,B54,$C$6:$C$63,C54)</x:f>
        <x:v>10.8</x:v>
      </x:c>
      <x:c r="K54" s="26" t="str">
        <x:v>Requirement site; location open</x:v>
      </x:c>
    </x:row>
    <x:row r="55">
      <x:c r="A55" s="26" t="str">
        <x:v>MMR-02</x:v>
      </x:c>
      <x:c r="B55" s="26" t="str">
        <x:v>Manufacturing and mobilization</x:v>
      </x:c>
      <x:c r="C55" s="26" t="str">
        <x:v>Regional range</x:v>
      </x:c>
      <x:c r="D55" s="26" t="str">
        <x:v>Interior/Great Lakes</x:v>
      </x:c>
      <x:c r="E55" s="26" t="str">
        <x:v>Replicate cold-start alternate suppliers and reproduce qualified systems</x:v>
      </x:c>
      <x:c r="F55" s="27" t="n">
        <x:v>4</x:v>
      </x:c>
      <x:c r="G55" s="27" t="n">
        <x:v>8</x:v>
      </x:c>
      <x:c r="H55" s="45" t="n">
        <x:v>0.78</x:v>
      </x:c>
      <x:c r="I55" s="46" t="n">
        <x:f>F55*G55*H55</x:f>
        <x:v>24.96</x:v>
      </x:c>
      <x:c r="J55" s="47" t="n">
        <x:f>INDEX('Network Portfolio'!$B$6:$B$15,MATCH(B55,'Network Portfolio'!$A$6:$A$15,0))*IF(C55="National flagship",Controls!$B$9,IF(C55="Regional range",Controls!$B$10,Controls!$B$11))/COUNTIFS($B$6:$B$63,B55,$C$6:$C$63,C55)</x:f>
        <x:v>4.199999999999999</x:v>
      </x:c>
      <x:c r="K55" s="26" t="str">
        <x:v>Requirement site; location open</x:v>
      </x:c>
    </x:row>
    <x:row r="56">
      <x:c r="A56" s="26" t="str">
        <x:v>MMR-03</x:v>
      </x:c>
      <x:c r="B56" s="26" t="str">
        <x:v>Manufacturing and mobilization</x:v>
      </x:c>
      <x:c r="C56" s="26" t="str">
        <x:v>Regional range</x:v>
      </x:c>
      <x:c r="D56" s="26" t="str">
        <x:v>Arctic/Alaska</x:v>
      </x:c>
      <x:c r="E56" s="26" t="str">
        <x:v>Replicate cold-start alternate suppliers and reproduce qualified systems</x:v>
      </x:c>
      <x:c r="F56" s="27" t="n">
        <x:v>4</x:v>
      </x:c>
      <x:c r="G56" s="27" t="n">
        <x:v>8</x:v>
      </x:c>
      <x:c r="H56" s="45" t="n">
        <x:v>0.78</x:v>
      </x:c>
      <x:c r="I56" s="46" t="n">
        <x:f>F56*G56*H56</x:f>
        <x:v>24.96</x:v>
      </x:c>
      <x:c r="J56" s="47" t="n">
        <x:f>INDEX('Network Portfolio'!$B$6:$B$15,MATCH(B56,'Network Portfolio'!$A$6:$A$15,0))*IF(C56="National flagship",Controls!$B$9,IF(C56="Regional range",Controls!$B$10,Controls!$B$11))/COUNTIFS($B$6:$B$63,B56,$C$6:$C$63,C56)</x:f>
        <x:v>4.199999999999999</x:v>
      </x:c>
      <x:c r="K56" s="26" t="str">
        <x:v>Requirement site; location open</x:v>
      </x:c>
    </x:row>
    <x:row r="57">
      <x:c r="A57" s="26" t="str">
        <x:v>MMR-04</x:v>
      </x:c>
      <x:c r="B57" s="26" t="str">
        <x:v>Manufacturing and mobilization</x:v>
      </x:c>
      <x:c r="C57" s="26" t="str">
        <x:v>Satellite/conformance node</x:v>
      </x:c>
      <x:c r="D57" s="26" t="str">
        <x:v>Interior/Great Lakes</x:v>
      </x:c>
      <x:c r="E57" s="26" t="str">
        <x:v>Replicate cold-start alternate suppliers and reproduce qualified systems</x:v>
      </x:c>
      <x:c r="F57" s="27" t="n">
        <x:v>2</x:v>
      </x:c>
      <x:c r="G57" s="27" t="n">
        <x:v>8</x:v>
      </x:c>
      <x:c r="H57" s="45" t="n">
        <x:v>0.82</x:v>
      </x:c>
      <x:c r="I57" s="46" t="n">
        <x:f>F57*G57*H57</x:f>
        <x:v>13.12</x:v>
      </x:c>
      <x:c r="J57" s="47" t="n">
        <x:f>INDEX('Network Portfolio'!$B$6:$B$15,MATCH(B57,'Network Portfolio'!$A$6:$A$15,0))*IF(C57="National flagship",Controls!$B$9,IF(C57="Regional range",Controls!$B$10,Controls!$B$11))/COUNTIFS($B$6:$B$63,B57,$C$6:$C$63,C57)</x:f>
        <x:v>1.6000000000000003</x:v>
      </x:c>
      <x:c r="K57" s="26" t="str">
        <x:v>Requirement site; location open</x:v>
      </x:c>
    </x:row>
    <x:row r="58">
      <x:c r="A58" s="26" t="str">
        <x:v>MMR-05</x:v>
      </x:c>
      <x:c r="B58" s="26" t="str">
        <x:v>Manufacturing and mobilization</x:v>
      </x:c>
      <x:c r="C58" s="26" t="str">
        <x:v>Satellite/conformance node</x:v>
      </x:c>
      <x:c r="D58" s="26" t="str">
        <x:v>Arctic/Alaska</x:v>
      </x:c>
      <x:c r="E58" s="26" t="str">
        <x:v>Replicate cold-start alternate suppliers and reproduce qualified systems</x:v>
      </x:c>
      <x:c r="F58" s="27" t="n">
        <x:v>2</x:v>
      </x:c>
      <x:c r="G58" s="27" t="n">
        <x:v>8</x:v>
      </x:c>
      <x:c r="H58" s="45" t="n">
        <x:v>0.82</x:v>
      </x:c>
      <x:c r="I58" s="46" t="n">
        <x:f>F58*G58*H58</x:f>
        <x:v>13.12</x:v>
      </x:c>
      <x:c r="J58" s="47" t="n">
        <x:f>INDEX('Network Portfolio'!$B$6:$B$15,MATCH(B58,'Network Portfolio'!$A$6:$A$15,0))*IF(C58="National flagship",Controls!$B$9,IF(C58="Regional range",Controls!$B$10,Controls!$B$11))/COUNTIFS($B$6:$B$63,B58,$C$6:$C$63,C58)</x:f>
        <x:v>1.6000000000000003</x:v>
      </x:c>
      <x:c r="K58" s="26" t="str">
        <x:v>Requirement site; location open</x:v>
      </x:c>
    </x:row>
    <x:row r="59">
      <x:c r="A59" s="26" t="str">
        <x:v>MMR-06</x:v>
      </x:c>
      <x:c r="B59" s="26" t="str">
        <x:v>Manufacturing and mobilization</x:v>
      </x:c>
      <x:c r="C59" s="26" t="str">
        <x:v>Satellite/conformance node</x:v>
      </x:c>
      <x:c r="D59" s="26" t="str">
        <x:v>Caribbean/Territorial</x:v>
      </x:c>
      <x:c r="E59" s="26" t="str">
        <x:v>Replicate cold-start alternate suppliers and reproduce qualified systems</x:v>
      </x:c>
      <x:c r="F59" s="27" t="n">
        <x:v>2</x:v>
      </x:c>
      <x:c r="G59" s="27" t="n">
        <x:v>8</x:v>
      </x:c>
      <x:c r="H59" s="45" t="n">
        <x:v>0.82</x:v>
      </x:c>
      <x:c r="I59" s="46" t="n">
        <x:f>F59*G59*H59</x:f>
        <x:v>13.12</x:v>
      </x:c>
      <x:c r="J59" s="47" t="n">
        <x:f>INDEX('Network Portfolio'!$B$6:$B$15,MATCH(B59,'Network Portfolio'!$A$6:$A$15,0))*IF(C59="National flagship",Controls!$B$9,IF(C59="Regional range",Controls!$B$10,Controls!$B$11))/COUNTIFS($B$6:$B$63,B59,$C$6:$C$63,C59)</x:f>
        <x:v>1.6000000000000003</x:v>
      </x:c>
      <x:c r="K59" s="26" t="str">
        <x:v>Requirement site; location open</x:v>
      </x:c>
    </x:row>
    <x:row r="60">
      <x:c r="A60" s="26" t="str">
        <x:v>JMR-01</x:v>
      </x:c>
      <x:c r="B60" s="26" t="str">
        <x:v>Joint mission and public effect</x:v>
      </x:c>
      <x:c r="C60" s="26" t="str">
        <x:v>National flagship</x:v>
      </x:c>
      <x:c r="D60" s="26" t="str">
        <x:v>National controlled extreme</x:v>
      </x:c>
      <x:c r="E60" s="26" t="str">
        <x:v>100,000-person-equivalent synthetic municipality; 90-day, three-theater federation</x:v>
      </x:c>
      <x:c r="F60" s="27" t="n">
        <x:v>8</x:v>
      </x:c>
      <x:c r="G60" s="27" t="n">
        <x:v>3</x:v>
      </x:c>
      <x:c r="H60" s="45" t="n">
        <x:v>0.75</x:v>
      </x:c>
      <x:c r="I60" s="46" t="n">
        <x:f>F60*G60*H60</x:f>
        <x:v>18</x:v>
      </x:c>
      <x:c r="J60" s="47" t="n">
        <x:f>INDEX('Network Portfolio'!$B$6:$B$15,MATCH(B60,'Network Portfolio'!$A$6:$A$15,0))*IF(C60="National flagship",Controls!$B$9,IF(C60="Regional range",Controls!$B$10,Controls!$B$11))/COUNTIFS($B$6:$B$63,B60,$C$6:$C$63,C60)</x:f>
        <x:v>12.6</x:v>
      </x:c>
      <x:c r="K60" s="26" t="str">
        <x:v>Requirement site; location open</x:v>
      </x:c>
    </x:row>
    <x:row r="61">
      <x:c r="A61" s="26" t="str">
        <x:v>JMR-02</x:v>
      </x:c>
      <x:c r="B61" s="26" t="str">
        <x:v>Joint mission and public effect</x:v>
      </x:c>
      <x:c r="C61" s="26" t="str">
        <x:v>Regional range</x:v>
      </x:c>
      <x:c r="D61" s="26" t="str">
        <x:v>Arctic/Alaska</x:v>
      </x:c>
      <x:c r="E61" s="26" t="str">
        <x:v>Replicate run long-duration, cross-service civil campaigns and measure public effect</x:v>
      </x:c>
      <x:c r="F61" s="27" t="n">
        <x:v>4</x:v>
      </x:c>
      <x:c r="G61" s="27" t="n">
        <x:v>3</x:v>
      </x:c>
      <x:c r="H61" s="45" t="n">
        <x:v>0.78</x:v>
      </x:c>
      <x:c r="I61" s="46" t="n">
        <x:f>F61*G61*H61</x:f>
        <x:v>9.36</x:v>
      </x:c>
      <x:c r="J61" s="47" t="n">
        <x:f>INDEX('Network Portfolio'!$B$6:$B$15,MATCH(B61,'Network Portfolio'!$A$6:$A$15,0))*IF(C61="National flagship",Controls!$B$9,IF(C61="Regional range",Controls!$B$10,Controls!$B$11))/COUNTIFS($B$6:$B$63,B61,$C$6:$C$63,C61)</x:f>
        <x:v>4.8999999999999995</x:v>
      </x:c>
      <x:c r="K61" s="26" t="str">
        <x:v>Requirement site; location open</x:v>
      </x:c>
    </x:row>
    <x:row r="62">
      <x:c r="A62" s="26" t="str">
        <x:v>JMR-03</x:v>
      </x:c>
      <x:c r="B62" s="26" t="str">
        <x:v>Joint mission and public effect</x:v>
      </x:c>
      <x:c r="C62" s="26" t="str">
        <x:v>Regional range</x:v>
      </x:c>
      <x:c r="D62" s="26" t="str">
        <x:v>Caribbean/Territorial</x:v>
      </x:c>
      <x:c r="E62" s="26" t="str">
        <x:v>Replicate run long-duration, cross-service civil campaigns and measure public effect</x:v>
      </x:c>
      <x:c r="F62" s="27" t="n">
        <x:v>4</x:v>
      </x:c>
      <x:c r="G62" s="27" t="n">
        <x:v>3</x:v>
      </x:c>
      <x:c r="H62" s="45" t="n">
        <x:v>0.78</x:v>
      </x:c>
      <x:c r="I62" s="46" t="n">
        <x:f>F62*G62*H62</x:f>
        <x:v>9.36</x:v>
      </x:c>
      <x:c r="J62" s="47" t="n">
        <x:f>INDEX('Network Portfolio'!$B$6:$B$15,MATCH(B62,'Network Portfolio'!$A$6:$A$15,0))*IF(C62="National flagship",Controls!$B$9,IF(C62="Regional range",Controls!$B$10,Controls!$B$11))/COUNTIFS($B$6:$B$63,B62,$C$6:$C$63,C62)</x:f>
        <x:v>4.8999999999999995</x:v>
      </x:c>
      <x:c r="K62" s="26" t="str">
        <x:v>Requirement site; location open</x:v>
      </x:c>
    </x:row>
    <x:row r="63">
      <x:c r="A63" s="26" t="str">
        <x:v>JMR-04</x:v>
      </x:c>
      <x:c r="B63" s="26" t="str">
        <x:v>Joint mission and public effect</x:v>
      </x:c>
      <x:c r="C63" s="26" t="str">
        <x:v>Satellite/conformance node</x:v>
      </x:c>
      <x:c r="D63" s="26" t="str">
        <x:v>Arctic/Alaska</x:v>
      </x:c>
      <x:c r="E63" s="26" t="str">
        <x:v>Replicate run long-duration, cross-service civil campaigns and measure public effect</x:v>
      </x:c>
      <x:c r="F63" s="27" t="n">
        <x:v>2</x:v>
      </x:c>
      <x:c r="G63" s="27" t="n">
        <x:v>3</x:v>
      </x:c>
      <x:c r="H63" s="45" t="n">
        <x:v>0.82</x:v>
      </x:c>
      <x:c r="I63" s="46" t="n">
        <x:f>F63*G63*H63</x:f>
        <x:v>4.92</x:v>
      </x:c>
      <x:c r="J63" s="47" t="n">
        <x:f>INDEX('Network Portfolio'!$B$6:$B$15,MATCH(B63,'Network Portfolio'!$A$6:$A$15,0))*IF(C63="National flagship",Controls!$B$9,IF(C63="Regional range",Controls!$B$10,Controls!$B$11))/COUNTIFS($B$6:$B$63,B63,$C$6:$C$63,C63)</x:f>
        <x:v>5.6000000000000005</x:v>
      </x:c>
      <x:c r="K63" s="26" t="str">
        <x:v>Requirement site; location open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39" hidden="0" customWidth="1"/>
    <x:col min="3" max="3" width="53" hidden="0" customWidth="1"/>
    <x:col min="4" max="4" width="44" hidden="0" customWidth="1"/>
    <x:col min="5" max="5" width="48" hidden="0" customWidth="1"/>
    <x:col min="6" max="6" width="46" hidden="0" customWidth="1"/>
    <x:col min="7" max="7" width="48" hidden="0" customWidth="1"/>
    <x:col min="8" max="8" width="49" hidden="0" customWidth="1"/>
    <x:col min="9" max="9" width="50" hidden="0" customWidth="1"/>
    <x:col min="10" max="10" width="18" hidden="0" customWidth="1"/>
  </x:cols>
  <x:sheetData>
    <x:row r="1">
      <x:c r="A1" s="75" t="str">
        <x:v>Flagship requirements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>
      <x:c r="A2" s="76" t="str">
        <x:v>Exploration envelopes for the ten unique national facilities. They are not construction specifications.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 ht="30" customHeight="1">
      <x:c r="A5" s="21" t="str">
        <x:v>Family</x:v>
      </x:c>
      <x:c r="B5" s="21" t="str">
        <x:v>Proposed flagship</x:v>
      </x:c>
      <x:c r="C5" s="21" t="str">
        <x:v>Scale envelope</x:v>
      </x:c>
      <x:c r="D5" s="21" t="str">
        <x:v>Existing method analogue</x:v>
      </x:c>
      <x:c r="E5" s="21" t="str">
        <x:v>Deliberate scale jump</x:v>
      </x:c>
      <x:c r="F5" s="21" t="str">
        <x:v>Primary measurement</x:v>
      </x:c>
      <x:c r="G5" s="21" t="str">
        <x:v>Required containment</x:v>
      </x:c>
      <x:c r="H5" s="21" t="str">
        <x:v>Disqualifying shortcut</x:v>
      </x:c>
      <x:c r="I5" s="21" t="str">
        <x:v>First design study</x:v>
      </x:c>
      <x:c r="J5" s="21" t="str">
        <x:v>State</x:v>
      </x:c>
    </x:row>
    <x:row r="6">
      <x:c r="A6" s="26" t="str">
        <x:v>Earth intelligence and decision</x:v>
      </x:c>
      <x:c r="B6" s="26" t="str">
        <x:v>National Earth State and Decision Range</x:v>
      </x:c>
      <x:c r="C6" s="26" t="str">
        <x:v>100 PB/day ingest; 10,000 concurrent intervention branches</x:v>
      </x:c>
      <x:c r="D6" s="26" t="str">
        <x:v>NASA/NOAA/NHERI computational and observation systems</x:v>
      </x:c>
      <x:c r="E6" s="26" t="str">
        <x:v>Intervention trials across coupled national lifelines</x:v>
      </x:c>
      <x:c r="F6" s="26" t="str">
        <x:v>Decision regret, calibration, latency and subgroup service</x:v>
      </x:c>
      <x:c r="G6" s="26" t="str">
        <x:v>Sovereign partitions; immutable evidence mirrors</x:v>
      </x:c>
      <x:c r="H6" s="26" t="str">
        <x:v>One impressive digital twin with no prospective decision score</x:v>
      </x:c>
      <x:c r="I6" s="26" t="str">
        <x:v>Federated compute, data custody and observation latency</x:v>
      </x:c>
      <x:c r="J6" s="26" t="str">
        <x:v>R1 REQUIREMENT</x:v>
      </x:c>
    </x:row>
    <x:row r="7">
      <x:c r="A7" s="26" t="str">
        <x:v>Fire and atmospheric</x:v>
      </x:c>
      <x:c r="B7" s="26" t="str">
        <x:v>National Fire–Atmosphere Range</x:v>
      </x:c>
      <x:c r="C7" s="26" t="str">
        <x:v>250 MW controlled heat release; 100 km2 outdoor mission range</x:v>
      </x:c>
      <x:c r="D7" s="26" t="str">
        <x:v>NIST 20 MW calorimetry and outdoor prescribed-fire research</x:v>
      </x:c>
      <x:c r="E7" s="26" t="str">
        <x:v>Order-of-magnitude indoor heat plus full air-ground campaign</x:v>
      </x:c>
      <x:c r="F7" s="26" t="str">
        <x:v>Heat release, emissions, ember, agent placement and objective control</x:v>
      </x:c>
      <x:c r="G7" s="26" t="str">
        <x:v>Emission capture indoors; ecological and airspace controls outdoors</x:v>
      </x:c>
      <x:c r="H7" s="26" t="str">
        <x:v>A tank-drop demonstration without fire, airspace or ground hold</x:v>
      </x:c>
      <x:c r="I7" s="26" t="str">
        <x:v>250 MW exhaust/emissions mass balance and range airspace</x:v>
      </x:c>
      <x:c r="J7" s="26" t="str">
        <x:v>R1 REQUIREMENT</x:v>
      </x:c>
    </x:row>
    <x:row r="8">
      <x:c r="A8" s="26" t="str">
        <x:v>Hydraulics and coast</x:v>
      </x:c>
      <x:c r="B8" s="26" t="str">
        <x:v>National Megaflow and Coastal Range</x:v>
      </x:c>
      <x:c r="C8" s="26" t="str">
        <x:v>250 m3/s at 12 m head; 5 million m3 recirculating inventory</x:v>
      </x:c>
      <x:c r="D8" s="26" t="str">
        <x:v>ERDC breach facility and coastal/hydraulic laboratories</x:v>
      </x:c>
      <x:c r="E8" s="26" t="str">
        <x:v>Multiple simultaneous full-scale flow paths and reversible terrain</x:v>
      </x:c>
      <x:c r="F8" s="26" t="str">
        <x:v>Flow/head, transient, sediment, scour, breach and receiving state</x:v>
      </x:c>
      <x:c r="G8" s="26" t="str">
        <x:v>Closed basin, redundant gates and no uncontrolled downstream path</x:v>
      </x:c>
      <x:c r="H8" s="26" t="str">
        <x:v>Nominal pump flow without intake, route, receiving water or recovery</x:v>
      </x:c>
      <x:c r="I8" s="26" t="str">
        <x:v>Five-million-m3 water balance and 40 MW-class drive system</x:v>
      </x:c>
      <x:c r="J8" s="26" t="str">
        <x:v>R1 REQUIREMENT</x:v>
      </x:c>
    </x:row>
    <x:row r="9">
      <x:c r="A9" s="26" t="str">
        <x:v>Water and environmental process</x:v>
      </x:c>
      <x:c r="B9" s="26" t="str">
        <x:v>National Water and Residuals Range</x:v>
      </x:c>
      <x:c r="C9" s="26" t="str">
        <x:v>100,000 m3/day closed-loop process; mixed chemical, biological and radiological surrogates</x:v>
      </x:c>
      <x:c r="D9" s="26" t="str">
        <x:v>EPA emergency treatment research and INL Water Security Test Bed</x:v>
      </x:c>
      <x:c r="E9" s="26" t="str">
        <x:v>Municipal-scale mixed-feed and complete residual lifecycle</x:v>
      </x:c>
      <x:c r="F9" s="26" t="str">
        <x:v>Product toxicity, quality release, recovery and residual mass</x:v>
      </x:c>
      <x:c r="G9" s="26" t="str">
        <x:v>Segregated loops, analytical custody and terminal treatment</x:v>
      </x:c>
      <x:c r="H9" s="26" t="str">
        <x:v>Contaminant removal claimed without product toxicity or residual fate</x:v>
      </x:c>
      <x:c r="I9" s="26" t="str">
        <x:v>Challenge library, surrogate policy and closed effluent train</x:v>
      </x:c>
      <x:c r="J9" s="26" t="str">
        <x:v>R1 REQUIREMENT</x:v>
      </x:c>
    </x:row>
    <x:row r="10">
      <x:c r="A10" s="26" t="str">
        <x:v>Grid and thermal</x:v>
      </x:c>
      <x:c r="B10" s="26" t="str">
        <x:v>National Grid and Thermal Range</x:v>
      </x:c>
      <x:c r="C10" s="26" t="str">
        <x:v>300 MW bidirectional, 115 kV boundary; 1 GWh storage/thermal equivalent</x:v>
      </x:c>
      <x:c r="D10" s="26" t="str">
        <x:v>NREL ARIES up to 20 MW and hardware-in-the-loop</x:v>
      </x:c>
      <x:c r="E10" s="26" t="str">
        <x:v>15× physical power scale plus mobile MV/HV and district thermal service</x:v>
      </x:c>
      <x:c r="F10" s="26" t="str">
        <x:v>Protection, stability, black start, transfer and public load service</x:v>
      </x:c>
      <x:c r="G10" s="26" t="str">
        <x:v>Islandable buses, arc/fault containment and independent trip</x:v>
      </x:c>
      <x:c r="H10" s="26" t="str">
        <x:v>Software simulation with no representative fault energy or crews</x:v>
      </x:c>
      <x:c r="I10" s="26" t="str">
        <x:v>300 MW one-line, fault duty, utility agreement and energy sinks</x:v>
      </x:c>
      <x:c r="J10" s="26" t="str">
        <x:v>R1 REQUIREMENT</x:v>
      </x:c>
    </x:row>
    <x:row r="11">
      <x:c r="A11" s="26" t="str">
        <x:v>Health and bioresponse</x:v>
      </x:c>
      <x:c r="B11" s="26" t="str">
        <x:v>National Deployable Health Systems Range</x:v>
      </x:c>
      <x:c r="C11" s="26" t="str">
        <x:v>1,000 simulated beds; BSL-2/3 production suites; isolated BSL-4 reference capacity</x:v>
      </x:c>
      <x:c r="D11" s="26" t="str">
        <x:v>Clinical simulation centers and BMBL containment practice</x:v>
      </x:c>
      <x:c r="E11" s="26" t="str">
        <x:v>Whole deployable care network plus regulated distributed production</x:v>
      </x:c>
      <x:c r="F11" s="26" t="str">
        <x:v>Complete patient journey, infection, quality and workforce endurance</x:v>
      </x:c>
      <x:c r="G11" s="26" t="str">
        <x:v>Separated BSL suites, waste kill and independent clinical governance</x:v>
      </x:c>
      <x:c r="H11" s="26" t="str">
        <x:v>Counting beds or batches without staff, utilities, referral and release</x:v>
      </x:c>
      <x:c r="I11" s="26" t="str">
        <x:v>Participant ethics, containment zoning and simulated demand model</x:v>
      </x:c>
      <x:c r="J11" s="26" t="str">
        <x:v>R1 REQUIREMENT</x:v>
      </x:c>
    </x:row>
    <x:row r="12">
      <x:c r="A12" s="26" t="str">
        <x:v>Built environment and ground</x:v>
      </x:c>
      <x:c r="B12" s="26" t="str">
        <x:v>National Structures and Ground Range</x:v>
      </x:c>
      <x:c r="C12" s="26" t="str">
        <x:v>50 m x 50 m multi-axis platform; 10,000 t payload; 100 MN hybrid actuation</x:v>
      </x:c>
      <x:c r="D12" s="26" t="str">
        <x:v>NSF NHERI shake, wind, wave, hybrid and geotechnical facilities</x:v>
      </x:c>
      <x:c r="E12" s="26" t="str">
        <x:v>Infrastructure-system scale with rapid stabilization and repair</x:v>
      </x:c>
      <x:c r="F12" s="26" t="str">
        <x:v>Load path, ground state, damage detection, repair and recertification</x:v>
      </x:c>
      <x:c r="G12" s="26" t="str">
        <x:v>Stored-energy exclusion, debris capture and remote stop</x:v>
      </x:c>
      <x:c r="H12" s="26" t="str">
        <x:v>Small coupon extrapolated directly to full temporary infrastructure</x:v>
      </x:c>
      <x:c r="I12" s="26" t="str">
        <x:v>Actuator/storage power, reaction mass and reusable test articles</x:v>
      </x:c>
      <x:c r="J12" s="26" t="str">
        <x:v>R1 REQUIREMENT</x:v>
      </x:c>
    </x:row>
    <x:row r="13">
      <x:c r="A13" s="26" t="str">
        <x:v>Mobility, access and autonomy</x:v>
      </x:c>
      <x:c r="B13" s="26" t="str">
        <x:v>National Broken-Network Mobility Range</x:v>
      </x:c>
      <x:c r="C13" s="26" t="str">
        <x:v>50 km instrumented damaged corridor; flooded district, short strip and degraded port</x:v>
      </x:c>
      <x:c r="D13" s="26" t="str">
        <x:v>NIST response-robot methods and transport proving grounds</x:v>
      </x:c>
      <x:c r="E13" s="26" t="str">
        <x:v>Formation-scale mixed autonomous and human operations</x:v>
      </x:c>
      <x:c r="F13" s="26" t="str">
        <x:v>Throughput, exposure, near harm, recovery and field repair</x:v>
      </x:c>
      <x:c r="G13" s="26" t="str">
        <x:v>Controlled air/water/road space and independent range marshals</x:v>
      </x:c>
      <x:c r="H13" s="26" t="str">
        <x:v>Empty-course autonomy score with no public, fleet or repair burden</x:v>
      </x:c>
      <x:c r="I13" s="26" t="str">
        <x:v>50 km corridor master plan and mixed-traffic safety case</x:v>
      </x:c>
      <x:c r="J13" s="26" t="str">
        <x:v>R1 REQUIREMENT</x:v>
      </x:c>
    </x:row>
    <x:row r="14">
      <x:c r="A14" s="26" t="str">
        <x:v>Manufacturing and mobilization</x:v>
      </x:c>
      <x:c r="B14" s="26" t="str">
        <x:v>National Mobilization Factory Range</x:v>
      </x:c>
      <x:c r="C14" s="26" t="str">
        <x:v>Ten reconfigurable pilot lines; 30-day supplier cold-start campaigns</x:v>
      </x:c>
      <x:c r="D14" s="26" t="str">
        <x:v>Pilot manufacturing institutes and federal depot practice</x:v>
      </x:c>
      <x:c r="E14" s="26" t="str">
        <x:v>Cold alternate-supplier reproduction of multiple resilience product lines</x:v>
      </x:c>
      <x:c r="F14" s="26" t="str">
        <x:v>Days to qualified output, drift detection and repair yield</x:v>
      </x:c>
      <x:c r="G14" s="26" t="str">
        <x:v>Configuration partitions, material quarantine and independent metrology</x:v>
      </x:c>
      <x:c r="H14" s="26" t="str">
        <x:v>Factory tour or nominal first article from the incumbent supplier</x:v>
      </x:c>
      <x:c r="I14" s="26" t="str">
        <x:v>Ten pilot-line utility/process envelopes and secure digital thread</x:v>
      </x:c>
      <x:c r="J14" s="26" t="str">
        <x:v>R1 REQUIREMENT</x:v>
      </x:c>
    </x:row>
    <x:row r="15">
      <x:c r="A15" s="26" t="str">
        <x:v>Joint mission and public effect</x:v>
      </x:c>
      <x:c r="B15" s="26" t="str">
        <x:v>National Synthetic Municipality</x:v>
      </x:c>
      <x:c r="C15" s="26" t="str">
        <x:v>100,000-person-equivalent synthetic municipality; 90-day, three-theater federation</x:v>
      </x:c>
      <x:c r="D15" s="26" t="str">
        <x:v>FEMA HSEEP and full-scale emergency exercises</x:v>
      </x:c>
      <x:c r="E15" s="26" t="str">
        <x:v>Instrumented physical public-service system under 90-day degradation</x:v>
      </x:c>
      <x:c r="F15" s="26" t="str">
        <x:v>Population-service-time, harm, authority, sustainment and transfer</x:v>
      </x:c>
      <x:c r="G15" s="26" t="str">
        <x:v>No involuntary public exposure; independent exercise stop and welfare</x:v>
      </x:c>
      <x:c r="H15" s="26" t="str">
        <x:v>Scripted exercise success or throughput without distributional effect</x:v>
      </x:c>
      <x:c r="I15" s="26" t="str">
        <x:v>Municipal load emulator, civil governance and three-theater federation</x:v>
      </x:c>
      <x:c r="J15" s="26" t="str">
        <x:v>R1 REQUIREMENT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25" hidden="0" customWidth="1"/>
    <x:col min="3" max="3" width="21" hidden="0" customWidth="1"/>
    <x:col min="4" max="4" width="23" hidden="0" customWidth="1"/>
    <x:col min="5" max="5" width="24" hidden="0" customWidth="1"/>
    <x:col min="6" max="6" width="22" hidden="0" customWidth="1"/>
    <x:col min="7" max="7" width="24" hidden="0" customWidth="1"/>
    <x:col min="8" max="8" width="27" hidden="0" customWidth="1"/>
    <x:col min="9" max="9" width="26" hidden="0" customWidth="1"/>
    <x:col min="10" max="10" width="13" hidden="0" customWidth="1"/>
    <x:col min="11" max="11" width="18" hidden="0" customWidth="1"/>
    <x:col min="12" max="12" width="23" hidden="0" customWidth="1"/>
    <x:col min="13" max="13" width="18" hidden="0" customWidth="1"/>
    <x:col min="14" max="14" width="44" hidden="0" customWidth="1"/>
    <x:col min="15" max="15" width="53" hidden="0" customWidth="1"/>
  </x:cols>
  <x:sheetData>
    <x:row r="1">
      <x:c r="A1" s="75" t="str">
        <x:v>Flagship utility envelopes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</x:row>
    <x:row r="2">
      <x:c r="A2" s="76" t="str">
        <x:v>First-order site utility requirements. Hydraulic drive is calculated; all other loads are design-study inputs.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</x:row>
    <x:row r="5" ht="30" customHeight="1">
      <x:c r="A5" s="21" t="str">
        <x:v>Family</x:v>
      </x:c>
      <x:c r="B5" s="21" t="str">
        <x:v>Bidirectional exchange MW</x:v>
      </x:c>
      <x:c r="C5" s="21" t="str">
        <x:v>Critical electric MW</x:v>
      </x:c>
      <x:c r="D5" s="21" t="str">
        <x:v>Average electric MW</x:v>
      </x:c>
      <x:c r="E5" s="21" t="str">
        <x:v>72-hour critical MWh</x:v>
      </x:c>
      <x:c r="F5" s="21" t="str">
        <x:v>Water inventory m3</x:v>
      </x:c>
      <x:c r="G5" s="21" t="str">
        <x:v>Process water m3/day</x:v>
      </x:c>
      <x:c r="H5" s="21" t="str">
        <x:v>Heat release/thermal MW</x:v>
      </x:c>
      <x:c r="I5" s="21" t="str">
        <x:v>Recirculated flow m3/s</x:v>
      </x:c>
      <x:c r="J5" s="21" t="str">
        <x:v>Head m</x:v>
      </x:c>
      <x:c r="K5" s="21" t="str">
        <x:v>Drive efficiency</x:v>
      </x:c>
      <x:c r="L5" s="21" t="str">
        <x:v>Hydraulic drive MW</x:v>
      </x:c>
      <x:c r="M5" s="21" t="str">
        <x:v>Data PB/day</x:v>
      </x:c>
      <x:c r="N5" s="21" t="str">
        <x:v>Primary waste/output</x:v>
      </x:c>
      <x:c r="O5" s="21" t="str">
        <x:v>Open engineering decision</x:v>
      </x:c>
    </x:row>
    <x:row r="6">
      <x:c r="A6" s="26" t="str">
        <x:v>Earth intelligence and decision</x:v>
      </x:c>
      <x:c r="B6" s="52" t="n">
        <x:v>20</x:v>
      </x:c>
      <x:c r="C6" s="52" t="n">
        <x:v>12</x:v>
      </x:c>
      <x:c r="D6" s="52" t="n">
        <x:v>8</x:v>
      </x:c>
      <x:c r="E6" s="53" t="n">
        <x:f>C6*Controls!$B$13</x:f>
        <x:v>864</x:v>
      </x:c>
      <x:c r="F6" s="52" t="n">
        <x:v>10000</x:v>
      </x:c>
      <x:c r="G6" s="52" t="n">
        <x:v>1000</x:v>
      </x:c>
      <x:c r="H6" s="52" t="n">
        <x:v>2</x:v>
      </x:c>
      <x:c r="I6" s="52" t="n">
        <x:v>0</x:v>
      </x:c>
      <x:c r="J6" s="52" t="n">
        <x:v>0</x:v>
      </x:c>
      <x:c r="K6" s="52" t="n">
        <x:v>0.75</x:v>
      </x:c>
      <x:c r="L6" s="53" t="n">
        <x:f>IF(I6&gt;0,0.00981*I6*J6/K6,0)</x:f>
        <x:v>0</x:v>
      </x:c>
      <x:c r="M6" s="52" t="n">
        <x:v>100</x:v>
      </x:c>
      <x:c r="N6" s="26" t="str">
        <x:v>Electronics, batteries and secure media</x:v>
      </x:c>
      <x:c r="O6" s="26" t="str">
        <x:v>Compute cooling, sovereign storage and energy recovery</x:v>
      </x:c>
    </x:row>
    <x:row r="7">
      <x:c r="A7" s="26" t="str">
        <x:v>Fire and atmospheric</x:v>
      </x:c>
      <x:c r="B7" s="52" t="n">
        <x:v>40</x:v>
      </x:c>
      <x:c r="C7" s="52" t="n">
        <x:v>15</x:v>
      </x:c>
      <x:c r="D7" s="52" t="n">
        <x:v>10</x:v>
      </x:c>
      <x:c r="E7" s="53" t="n">
        <x:f>C7*Controls!$B$13</x:f>
        <x:v>1080</x:v>
      </x:c>
      <x:c r="F7" s="52" t="n">
        <x:v>150000</x:v>
      </x:c>
      <x:c r="G7" s="52" t="n">
        <x:v>5000</x:v>
      </x:c>
      <x:c r="H7" s="52" t="n">
        <x:v>250</x:v>
      </x:c>
      <x:c r="I7" s="52" t="n">
        <x:v>0</x:v>
      </x:c>
      <x:c r="J7" s="52" t="n">
        <x:v>0</x:v>
      </x:c>
      <x:c r="K7" s="52" t="n">
        <x:v>0.75</x:v>
      </x:c>
      <x:c r="L7" s="53" t="n">
        <x:f>IF(I7&gt;0,0.00981*I7*J7/K7,0)</x:f>
        <x:v>0</x:v>
      </x:c>
      <x:c r="M7" s="52" t="n">
        <x:v>10</x:v>
      </x:c>
      <x:c r="N7" s="26" t="str">
        <x:v>Captured smoke, ash, agent and contaminated runoff</x:v>
      </x:c>
      <x:c r="O7" s="26" t="str">
        <x:v>250 MW calorimetry versus multiple lower-scale cells</x:v>
      </x:c>
    </x:row>
    <x:row r="8">
      <x:c r="A8" s="26" t="str">
        <x:v>Hydraulics and coast</x:v>
      </x:c>
      <x:c r="B8" s="52" t="n">
        <x:v>60</x:v>
      </x:c>
      <x:c r="C8" s="52" t="n">
        <x:v>25</x:v>
      </x:c>
      <x:c r="D8" s="52" t="n">
        <x:v>18</x:v>
      </x:c>
      <x:c r="E8" s="53" t="n">
        <x:f>C8*Controls!$B$13</x:f>
        <x:v>1800</x:v>
      </x:c>
      <x:c r="F8" s="52" t="n">
        <x:v>5000000</x:v>
      </x:c>
      <x:c r="G8" s="52" t="n">
        <x:v>100000</x:v>
      </x:c>
      <x:c r="H8" s="52" t="n">
        <x:v>0</x:v>
      </x:c>
      <x:c r="I8" s="52" t="n">
        <x:v>250</x:v>
      </x:c>
      <x:c r="J8" s="52" t="n">
        <x:v>12</x:v>
      </x:c>
      <x:c r="K8" s="52" t="n">
        <x:v>0.75</x:v>
      </x:c>
      <x:c r="L8" s="53" t="n">
        <x:f>IF(I8&gt;0,0.00981*I8*J8/K8,0)</x:f>
        <x:v>39.239999999999995</x:v>
      </x:c>
      <x:c r="M8" s="52" t="n">
        <x:v>5</x:v>
      </x:c>
      <x:c r="N8" s="26" t="str">
        <x:v>Sediment, eroded soil, debris and challenge water</x:v>
      </x:c>
      <x:c r="O8" s="26" t="str">
        <x:v>Pumped loop, gravity reservoir or hybrid stored head</x:v>
      </x:c>
    </x:row>
    <x:row r="9">
      <x:c r="A9" s="26" t="str">
        <x:v>Water and environmental process</x:v>
      </x:c>
      <x:c r="B9" s="52" t="n">
        <x:v>40</x:v>
      </x:c>
      <x:c r="C9" s="52" t="n">
        <x:v>20</x:v>
      </x:c>
      <x:c r="D9" s="52" t="n">
        <x:v>15</x:v>
      </x:c>
      <x:c r="E9" s="53" t="n">
        <x:f>C9*Controls!$B$13</x:f>
        <x:v>1440</x:v>
      </x:c>
      <x:c r="F9" s="52" t="n">
        <x:v>500000</x:v>
      </x:c>
      <x:c r="G9" s="52" t="n">
        <x:v>100000</x:v>
      </x:c>
      <x:c r="H9" s="52" t="n">
        <x:v>10</x:v>
      </x:c>
      <x:c r="I9" s="52" t="n">
        <x:v>0</x:v>
      </x:c>
      <x:c r="J9" s="52" t="n">
        <x:v>0</x:v>
      </x:c>
      <x:c r="K9" s="52" t="n">
        <x:v>0.75</x:v>
      </x:c>
      <x:c r="L9" s="53" t="n">
        <x:f>IF(I9&gt;0,0.00981*I9*J9/K9,0)</x:f>
        <x:v>0</x:v>
      </x:c>
      <x:c r="M9" s="52" t="n">
        <x:v>20</x:v>
      </x:c>
      <x:c r="N9" s="26" t="str">
        <x:v>Concentrate, spent media, sludge and treated effluent</x:v>
      </x:c>
      <x:c r="O9" s="26" t="str">
        <x:v>Surrogate library, terminal treatment and discharge authority</x:v>
      </x:c>
    </x:row>
    <x:row r="10">
      <x:c r="A10" s="26" t="str">
        <x:v>Grid and thermal</x:v>
      </x:c>
      <x:c r="B10" s="52" t="n">
        <x:v>300</x:v>
      </x:c>
      <x:c r="C10" s="52" t="n">
        <x:v>15</x:v>
      </x:c>
      <x:c r="D10" s="52" t="n">
        <x:v>10</x:v>
      </x:c>
      <x:c r="E10" s="53" t="n">
        <x:f>C10*Controls!$B$13</x:f>
        <x:v>1080</x:v>
      </x:c>
      <x:c r="F10" s="52" t="n">
        <x:v>25000</x:v>
      </x:c>
      <x:c r="G10" s="52" t="n">
        <x:v>5000</x:v>
      </x:c>
      <x:c r="H10" s="52" t="n">
        <x:v>1000</x:v>
      </x:c>
      <x:c r="I10" s="52" t="n">
        <x:v>0</x:v>
      </x:c>
      <x:c r="J10" s="52" t="n">
        <x:v>0</x:v>
      </x:c>
      <x:c r="K10" s="52" t="n">
        <x:v>0.75</x:v>
      </x:c>
      <x:c r="L10" s="53" t="n">
        <x:f>IF(I10&gt;0,0.00981*I10*J10/K10,0)</x:f>
        <x:v>0</x:v>
      </x:c>
      <x:c r="M10" s="52" t="n">
        <x:v>20</x:v>
      </x:c>
      <x:c r="N10" s="26" t="str">
        <x:v>Battery, fuel, coolant and damaged electrical equipment</x:v>
      </x:c>
      <x:c r="O10" s="26" t="str">
        <x:v>Energy sink/source mix, fault level and utility boundary</x:v>
      </x:c>
    </x:row>
    <x:row r="11">
      <x:c r="A11" s="26" t="str">
        <x:v>Health and bioresponse</x:v>
      </x:c>
      <x:c r="B11" s="52" t="n">
        <x:v>30</x:v>
      </x:c>
      <x:c r="C11" s="52" t="n">
        <x:v>15</x:v>
      </x:c>
      <x:c r="D11" s="52" t="n">
        <x:v>10</x:v>
      </x:c>
      <x:c r="E11" s="53" t="n">
        <x:f>C11*Controls!$B$13</x:f>
        <x:v>1080</x:v>
      </x:c>
      <x:c r="F11" s="52" t="n">
        <x:v>20000</x:v>
      </x:c>
      <x:c r="G11" s="52" t="n">
        <x:v>3000</x:v>
      </x:c>
      <x:c r="H11" s="52" t="n">
        <x:v>10</x:v>
      </x:c>
      <x:c r="I11" s="52" t="n">
        <x:v>0</x:v>
      </x:c>
      <x:c r="J11" s="52" t="n">
        <x:v>0</x:v>
      </x:c>
      <x:c r="K11" s="52" t="n">
        <x:v>0.75</x:v>
      </x:c>
      <x:c r="L11" s="53" t="n">
        <x:f>IF(I11&gt;0,0.00981*I11*J11/K11,0)</x:f>
        <x:v>0</x:v>
      </x:c>
      <x:c r="M11" s="52" t="n">
        <x:v>20</x:v>
      </x:c>
      <x:c r="N11" s="26" t="str">
        <x:v>Clinical, pharmaceutical, biological and privacy-controlled data</x:v>
      </x:c>
      <x:c r="O11" s="26" t="str">
        <x:v>Containment separation from simulated hospital operations</x:v>
      </x:c>
    </x:row>
    <x:row r="12">
      <x:c r="A12" s="26" t="str">
        <x:v>Built environment and ground</x:v>
      </x:c>
      <x:c r="B12" s="52" t="n">
        <x:v>100</x:v>
      </x:c>
      <x:c r="C12" s="52" t="n">
        <x:v>20</x:v>
      </x:c>
      <x:c r="D12" s="52" t="n">
        <x:v>12</x:v>
      </x:c>
      <x:c r="E12" s="53" t="n">
        <x:f>C12*Controls!$B$13</x:f>
        <x:v>1440</x:v>
      </x:c>
      <x:c r="F12" s="52" t="n">
        <x:v>100000</x:v>
      </x:c>
      <x:c r="G12" s="52" t="n">
        <x:v>5000</x:v>
      </x:c>
      <x:c r="H12" s="52" t="n">
        <x:v>0</x:v>
      </x:c>
      <x:c r="I12" s="52" t="n">
        <x:v>0</x:v>
      </x:c>
      <x:c r="J12" s="52" t="n">
        <x:v>0</x:v>
      </x:c>
      <x:c r="K12" s="52" t="n">
        <x:v>0.75</x:v>
      </x:c>
      <x:c r="L12" s="53" t="n">
        <x:f>IF(I12&gt;0,0.00981*I12*J12/K12,0)</x:f>
        <x:v>0</x:v>
      </x:c>
      <x:c r="M12" s="52" t="n">
        <x:v>15</x:v>
      </x:c>
      <x:c r="N12" s="26" t="str">
        <x:v>Concrete, steel, soil, composites and hydraulic fluid</x:v>
      </x:c>
      <x:c r="O12" s="26" t="str">
        <x:v>Reaction structure, stored energy and material recirculation</x:v>
      </x:c>
    </x:row>
    <x:row r="13">
      <x:c r="A13" s="26" t="str">
        <x:v>Mobility, access and autonomy</x:v>
      </x:c>
      <x:c r="B13" s="52" t="n">
        <x:v>30</x:v>
      </x:c>
      <x:c r="C13" s="52" t="n">
        <x:v>12</x:v>
      </x:c>
      <x:c r="D13" s="52" t="n">
        <x:v>8</x:v>
      </x:c>
      <x:c r="E13" s="53" t="n">
        <x:f>C13*Controls!$B$13</x:f>
        <x:v>864</x:v>
      </x:c>
      <x:c r="F13" s="52" t="n">
        <x:v>250000</x:v>
      </x:c>
      <x:c r="G13" s="52" t="n">
        <x:v>5000</x:v>
      </x:c>
      <x:c r="H13" s="52" t="n">
        <x:v>5</x:v>
      </x:c>
      <x:c r="I13" s="52" t="n">
        <x:v>0</x:v>
      </x:c>
      <x:c r="J13" s="52" t="n">
        <x:v>0</x:v>
      </x:c>
      <x:c r="K13" s="52" t="n">
        <x:v>0.75</x:v>
      </x:c>
      <x:c r="L13" s="53" t="n">
        <x:f>IF(I13&gt;0,0.00981*I13*J13/K13,0)</x:f>
        <x:v>0</x:v>
      </x:c>
      <x:c r="M13" s="52" t="n">
        <x:v>8</x:v>
      </x:c>
      <x:c r="N13" s="26" t="str">
        <x:v>Debris, fluids, damaged vehicles and batteries</x:v>
      </x:c>
      <x:c r="O13" s="26" t="str">
        <x:v>Mixed-domain safety, airspace and recoverable terrain</x:v>
      </x:c>
    </x:row>
    <x:row r="14">
      <x:c r="A14" s="26" t="str">
        <x:v>Manufacturing and mobilization</x:v>
      </x:c>
      <x:c r="B14" s="52" t="n">
        <x:v>50</x:v>
      </x:c>
      <x:c r="C14" s="52" t="n">
        <x:v>20</x:v>
      </x:c>
      <x:c r="D14" s="52" t="n">
        <x:v>14</x:v>
      </x:c>
      <x:c r="E14" s="53" t="n">
        <x:f>C14*Controls!$B$13</x:f>
        <x:v>1440</x:v>
      </x:c>
      <x:c r="F14" s="52" t="n">
        <x:v>30000</x:v>
      </x:c>
      <x:c r="G14" s="52" t="n">
        <x:v>3000</x:v>
      </x:c>
      <x:c r="H14" s="52" t="n">
        <x:v>20</x:v>
      </x:c>
      <x:c r="I14" s="52" t="n">
        <x:v>0</x:v>
      </x:c>
      <x:c r="J14" s="52" t="n">
        <x:v>0</x:v>
      </x:c>
      <x:c r="K14" s="52" t="n">
        <x:v>0.75</x:v>
      </x:c>
      <x:c r="L14" s="53" t="n">
        <x:f>IF(I14&gt;0,0.00981*I14*J14/K14,0)</x:f>
        <x:v>0</x:v>
      </x:c>
      <x:c r="M14" s="52" t="n">
        <x:v>20</x:v>
      </x:c>
      <x:c r="N14" s="26" t="str">
        <x:v>Scrap, process chemistry, rejected lots and secure records</x:v>
      </x:c>
      <x:c r="O14" s="26" t="str">
        <x:v>Reconfigurable utilities versus representative production fidelity</x:v>
      </x:c>
    </x:row>
    <x:row r="15">
      <x:c r="A15" s="26" t="str">
        <x:v>Joint mission and public effect</x:v>
      </x:c>
      <x:c r="B15" s="52" t="n">
        <x:v>100</x:v>
      </x:c>
      <x:c r="C15" s="52" t="n">
        <x:v>25</x:v>
      </x:c>
      <x:c r="D15" s="52" t="n">
        <x:v>18</x:v>
      </x:c>
      <x:c r="E15" s="53" t="n">
        <x:f>C15*Controls!$B$13</x:f>
        <x:v>1800</x:v>
      </x:c>
      <x:c r="F15" s="52" t="n">
        <x:v>1000000</x:v>
      </x:c>
      <x:c r="G15" s="52" t="n">
        <x:v>50000</x:v>
      </x:c>
      <x:c r="H15" s="52" t="n">
        <x:v>100</x:v>
      </x:c>
      <x:c r="I15" s="52" t="n">
        <x:v>0</x:v>
      </x:c>
      <x:c r="J15" s="52" t="n">
        <x:v>0</x:v>
      </x:c>
      <x:c r="K15" s="52" t="n">
        <x:v>0.75</x:v>
      </x:c>
      <x:c r="L15" s="53" t="n">
        <x:f>IF(I15&gt;0,0.00981*I15*J15/K15,0)</x:f>
        <x:v>0</x:v>
      </x:c>
      <x:c r="M15" s="52" t="n">
        <x:v>25</x:v>
      </x:c>
      <x:c r="N15" s="26" t="str">
        <x:v>Wastewater, debris, consumables and protected human data</x:v>
      </x:c>
      <x:c r="O15" s="26" t="str">
        <x:v>Physical loads versus safe synthetic population emulation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1" hidden="0" customWidth="1"/>
    <x:col min="3" max="3" width="19" hidden="0" customWidth="1"/>
    <x:col min="4" max="4" width="19" hidden="0" customWidth="1"/>
    <x:col min="5" max="5" width="16" hidden="0" customWidth="1"/>
    <x:col min="6" max="6" width="21" hidden="0" customWidth="1"/>
    <x:col min="7" max="7" width="21" hidden="0" customWidth="1"/>
    <x:col min="8" max="8" width="19" hidden="0" customWidth="1"/>
    <x:col min="9" max="9" width="20" hidden="0" customWidth="1"/>
    <x:col min="10" max="10" width="22" hidden="0" customWidth="1"/>
    <x:col min="11" max="11" width="20" hidden="0" customWidth="1"/>
    <x:col min="12" max="12" width="55" hidden="0" customWidth="1"/>
  </x:cols>
  <x:sheetData>
    <x:row r="1">
      <x:c r="A1" s="75" t="str">
        <x:v>Capacity and demand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</x:row>
    <x:row r="2">
      <x:c r="A2" s="76" t="str">
        <x:v>Equivalent campaigns are defined within each family and must not be summed as if physically interchangeable.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 ht="30" customHeight="1">
      <x:c r="A5" s="21" t="str">
        <x:v>Family</x:v>
      </x:c>
      <x:c r="B5" s="21" t="str">
        <x:v>Sites</x:v>
      </x:c>
      <x:c r="C5" s="21" t="str">
        <x:v>Gross capacity</x:v>
      </x:c>
      <x:c r="D5" s="21" t="str">
        <x:v>Planned demand</x:v>
      </x:c>
      <x:c r="E5" s="21" t="str">
        <x:v>Utilization</x:v>
      </x:c>
      <x:c r="F5" s="21" t="str">
        <x:v>Program-directed</x:v>
      </x:c>
      <x:c r="G5" s="21" t="str">
        <x:v>Independent RTEA</x:v>
      </x:c>
      <x:c r="H5" s="21" t="str">
        <x:v>Event response</x:v>
      </x:c>
      <x:c r="I5" s="21" t="str">
        <x:v>Open competition</x:v>
      </x:c>
      <x:c r="J5" s="21" t="str">
        <x:v>Unallocated capacity</x:v>
      </x:c>
      <x:c r="K5" s="21" t="str">
        <x:v>Queue state</x:v>
      </x:c>
      <x:c r="L5" s="21" t="str">
        <x:v>Next capacity decision</x:v>
      </x:c>
    </x:row>
    <x:row r="6">
      <x:c r="A6" s="26" t="str">
        <x:v>Earth intelligence and decision</x:v>
      </x:c>
      <x:c r="B6" s="26" t="n">
        <x:f>COUNTIF('Site Register'!$B$6:$B$63,A6)</x:f>
        <x:v>4</x:v>
      </x:c>
      <x:c r="C6" s="26" t="n">
        <x:f>SUMIF('Site Register'!$B$6:$B$63,A6,'Site Register'!$I$6:$I$63)</x:f>
        <x:v>148.8</x:v>
      </x:c>
      <x:c r="D6" s="27" t="n">
        <x:v>110</x:v>
      </x:c>
      <x:c r="E6" s="56" t="n">
        <x:f>D6/C6</x:f>
        <x:v>0.7392473118279569</x:v>
      </x:c>
      <x:c r="F6" s="26" t="n">
        <x:f>D6*(1-Controls!$B$19-Controls!$B$20-Controls!$B$21)</x:f>
        <x:v>60.50000000000001</x:v>
      </x:c>
      <x:c r="G6" s="26" t="n">
        <x:f>D6*Controls!$B$19</x:f>
        <x:v>22</x:v>
      </x:c>
      <x:c r="H6" s="26" t="n">
        <x:f>D6*Controls!$B$20</x:f>
        <x:v>16.5</x:v>
      </x:c>
      <x:c r="I6" s="26" t="n">
        <x:f>D6*Controls!$B$21</x:f>
        <x:v>11</x:v>
      </x:c>
      <x:c r="J6" s="26" t="n">
        <x:f>C6-D6</x:f>
        <x:v>38.80000000000001</x:v>
      </x:c>
      <x:c r="K6" s="26" t="str">
        <x:f>IF(E6&gt;Controls!$B$12,"OVER CEILING","PLANNING MARGIN")</x:f>
        <x:v>PLANNING MARGIN</x:v>
      </x:c>
      <x:c r="L6" s="26" t="str">
        <x:v>Add capacity only after protocol-specific duration and turn-time scheduling</x:v>
      </x:c>
    </x:row>
    <x:row r="7">
      <x:c r="A7" s="26" t="str">
        <x:v>Fire and atmospheric</x:v>
      </x:c>
      <x:c r="B7" s="26" t="n">
        <x:f>COUNTIF('Site Register'!$B$6:$B$63,A7)</x:f>
        <x:v>7</x:v>
      </x:c>
      <x:c r="C7" s="26" t="n">
        <x:f>SUMIF('Site Register'!$B$6:$B$63,A7,'Site Register'!$I$6:$I$63)</x:f>
        <x:v>101.40000000000002</x:v>
      </x:c>
      <x:c r="D7" s="27" t="n">
        <x:v>75</x:v>
      </x:c>
      <x:c r="E7" s="56" t="n">
        <x:f>D7/C7</x:f>
        <x:v>0.7396449704142011</x:v>
      </x:c>
      <x:c r="F7" s="26" t="n">
        <x:f>D7*(1-Controls!$B$19-Controls!$B$20-Controls!$B$21)</x:f>
        <x:v>41.25</x:v>
      </x:c>
      <x:c r="G7" s="26" t="n">
        <x:f>D7*Controls!$B$19</x:f>
        <x:v>15</x:v>
      </x:c>
      <x:c r="H7" s="26" t="n">
        <x:f>D7*Controls!$B$20</x:f>
        <x:v>11.25</x:v>
      </x:c>
      <x:c r="I7" s="26" t="n">
        <x:f>D7*Controls!$B$21</x:f>
        <x:v>7.5</x:v>
      </x:c>
      <x:c r="J7" s="26" t="n">
        <x:f>C7-D7</x:f>
        <x:v>26.40000000000002</x:v>
      </x:c>
      <x:c r="K7" s="26" t="str">
        <x:f>IF(E7&gt;Controls!$B$12,"OVER CEILING","PLANNING MARGIN")</x:f>
        <x:v>PLANNING MARGIN</x:v>
      </x:c>
      <x:c r="L7" s="26" t="str">
        <x:v>Add capacity only after protocol-specific duration and turn-time scheduling</x:v>
      </x:c>
    </x:row>
    <x:row r="8">
      <x:c r="A8" s="26" t="str">
        <x:v>Hydraulics and coast</x:v>
      </x:c>
      <x:c r="B8" s="26" t="n">
        <x:f>COUNTIF('Site Register'!$B$6:$B$63,A8)</x:f>
        <x:v>7</x:v>
      </x:c>
      <x:c r="C8" s="26" t="n">
        <x:f>SUMIF('Site Register'!$B$6:$B$63,A8,'Site Register'!$I$6:$I$63)</x:f>
        <x:v>81.12000000000002</x:v>
      </x:c>
      <x:c r="D8" s="27" t="n">
        <x:v>60</x:v>
      </x:c>
      <x:c r="E8" s="56" t="n">
        <x:f>D8/C8</x:f>
        <x:v>0.739644970414201</x:v>
      </x:c>
      <x:c r="F8" s="26" t="n">
        <x:f>D8*(1-Controls!$B$19-Controls!$B$20-Controls!$B$21)</x:f>
        <x:v>33</x:v>
      </x:c>
      <x:c r="G8" s="26" t="n">
        <x:f>D8*Controls!$B$19</x:f>
        <x:v>12</x:v>
      </x:c>
      <x:c r="H8" s="26" t="n">
        <x:f>D8*Controls!$B$20</x:f>
        <x:v>9</x:v>
      </x:c>
      <x:c r="I8" s="26" t="n">
        <x:f>D8*Controls!$B$21</x:f>
        <x:v>6</x:v>
      </x:c>
      <x:c r="J8" s="26" t="n">
        <x:f>C8-D8</x:f>
        <x:v>21.12000000000002</x:v>
      </x:c>
      <x:c r="K8" s="26" t="str">
        <x:f>IF(E8&gt;Controls!$B$12,"OVER CEILING","PLANNING MARGIN")</x:f>
        <x:v>PLANNING MARGIN</x:v>
      </x:c>
      <x:c r="L8" s="26" t="str">
        <x:v>Add capacity only after protocol-specific duration and turn-time scheduling</x:v>
      </x:c>
    </x:row>
    <x:row r="9">
      <x:c r="A9" s="26" t="str">
        <x:v>Water and environmental process</x:v>
      </x:c>
      <x:c r="B9" s="26" t="n">
        <x:f>COUNTIF('Site Register'!$B$6:$B$63,A9)</x:f>
        <x:v>6</x:v>
      </x:c>
      <x:c r="C9" s="26" t="n">
        <x:f>SUMIF('Site Register'!$B$6:$B$63,A9,'Site Register'!$I$6:$I$63)</x:f>
        <x:v>137.28000000000003</x:v>
      </x:c>
      <x:c r="D9" s="27" t="n">
        <x:v>100</x:v>
      </x:c>
      <x:c r="E9" s="56" t="n">
        <x:f>D9/C9</x:f>
        <x:v>0.7284382284382283</x:v>
      </x:c>
      <x:c r="F9" s="26" t="n">
        <x:f>D9*(1-Controls!$B$19-Controls!$B$20-Controls!$B$21)</x:f>
        <x:v>55.00000000000001</x:v>
      </x:c>
      <x:c r="G9" s="26" t="n">
        <x:f>D9*Controls!$B$19</x:f>
        <x:v>20</x:v>
      </x:c>
      <x:c r="H9" s="26" t="n">
        <x:f>D9*Controls!$B$20</x:f>
        <x:v>15</x:v>
      </x:c>
      <x:c r="I9" s="26" t="n">
        <x:f>D9*Controls!$B$21</x:f>
        <x:v>10</x:v>
      </x:c>
      <x:c r="J9" s="26" t="n">
        <x:f>C9-D9</x:f>
        <x:v>37.28000000000003</x:v>
      </x:c>
      <x:c r="K9" s="26" t="str">
        <x:f>IF(E9&gt;Controls!$B$12,"OVER CEILING","PLANNING MARGIN")</x:f>
        <x:v>PLANNING MARGIN</x:v>
      </x:c>
      <x:c r="L9" s="26" t="str">
        <x:v>Add capacity only after protocol-specific duration and turn-time scheduling</x:v>
      </x:c>
    </x:row>
    <x:row r="10">
      <x:c r="A10" s="26" t="str">
        <x:v>Grid and thermal</x:v>
      </x:c>
      <x:c r="B10" s="26" t="n">
        <x:f>COUNTIF('Site Register'!$B$6:$B$63,A10)</x:f>
        <x:v>6</x:v>
      </x:c>
      <x:c r="C10" s="26" t="n">
        <x:f>SUMIF('Site Register'!$B$6:$B$63,A10,'Site Register'!$I$6:$I$63)</x:f>
        <x:v>137.28000000000003</x:v>
      </x:c>
      <x:c r="D10" s="27" t="n">
        <x:v>102</x:v>
      </x:c>
      <x:c r="E10" s="56" t="n">
        <x:f>D10/C10</x:f>
        <x:v>0.7430069930069928</x:v>
      </x:c>
      <x:c r="F10" s="26" t="n">
        <x:f>D10*(1-Controls!$B$19-Controls!$B$20-Controls!$B$21)</x:f>
        <x:v>56.1</x:v>
      </x:c>
      <x:c r="G10" s="26" t="n">
        <x:f>D10*Controls!$B$19</x:f>
        <x:v>20.400000000000002</x:v>
      </x:c>
      <x:c r="H10" s="26" t="n">
        <x:f>D10*Controls!$B$20</x:f>
        <x:v>15.299999999999999</x:v>
      </x:c>
      <x:c r="I10" s="26" t="n">
        <x:f>D10*Controls!$B$21</x:f>
        <x:v>10.200000000000001</x:v>
      </x:c>
      <x:c r="J10" s="26" t="n">
        <x:f>C10-D10</x:f>
        <x:v>35.28000000000003</x:v>
      </x:c>
      <x:c r="K10" s="26" t="str">
        <x:f>IF(E10&gt;Controls!$B$12,"OVER CEILING","PLANNING MARGIN")</x:f>
        <x:v>PLANNING MARGIN</x:v>
      </x:c>
      <x:c r="L10" s="26" t="str">
        <x:v>Add capacity only after protocol-specific duration and turn-time scheduling</x:v>
      </x:c>
    </x:row>
    <x:row r="11">
      <x:c r="A11" s="26" t="str">
        <x:v>Health and bioresponse</x:v>
      </x:c>
      <x:c r="B11" s="26" t="n">
        <x:f>COUNTIF('Site Register'!$B$6:$B$63,A11)</x:f>
        <x:v>6</x:v>
      </x:c>
      <x:c r="C11" s="26" t="n">
        <x:f>SUMIF('Site Register'!$B$6:$B$63,A11,'Site Register'!$I$6:$I$63)</x:f>
        <x:v>102.96000000000001</x:v>
      </x:c>
      <x:c r="D11" s="27" t="n">
        <x:v>75</x:v>
      </x:c>
      <x:c r="E11" s="56" t="n">
        <x:f>D11/C11</x:f>
        <x:v>0.7284382284382284</x:v>
      </x:c>
      <x:c r="F11" s="26" t="n">
        <x:f>D11*(1-Controls!$B$19-Controls!$B$20-Controls!$B$21)</x:f>
        <x:v>41.25</x:v>
      </x:c>
      <x:c r="G11" s="26" t="n">
        <x:f>D11*Controls!$B$19</x:f>
        <x:v>15</x:v>
      </x:c>
      <x:c r="H11" s="26" t="n">
        <x:f>D11*Controls!$B$20</x:f>
        <x:v>11.25</x:v>
      </x:c>
      <x:c r="I11" s="26" t="n">
        <x:f>D11*Controls!$B$21</x:f>
        <x:v>7.5</x:v>
      </x:c>
      <x:c r="J11" s="26" t="n">
        <x:f>C11-D11</x:f>
        <x:v>27.960000000000008</x:v>
      </x:c>
      <x:c r="K11" s="26" t="str">
        <x:f>IF(E11&gt;Controls!$B$12,"OVER CEILING","PLANNING MARGIN")</x:f>
        <x:v>PLANNING MARGIN</x:v>
      </x:c>
      <x:c r="L11" s="26" t="str">
        <x:v>Add capacity only after protocol-specific duration and turn-time scheduling</x:v>
      </x:c>
    </x:row>
    <x:row r="12">
      <x:c r="A12" s="26" t="str">
        <x:v>Built environment and ground</x:v>
      </x:c>
      <x:c r="B12" s="26" t="n">
        <x:f>COUNTIF('Site Register'!$B$6:$B$63,A12)</x:f>
        <x:v>6</x:v>
      </x:c>
      <x:c r="C12" s="26" t="n">
        <x:f>SUMIF('Site Register'!$B$6:$B$63,A12,'Site Register'!$I$6:$I$63)</x:f>
        <x:v>85.80000000000001</x:v>
      </x:c>
      <x:c r="D12" s="27" t="n">
        <x:v>63</x:v>
      </x:c>
      <x:c r="E12" s="56" t="n">
        <x:f>D12/C12</x:f>
        <x:v>0.7342657342657342</x:v>
      </x:c>
      <x:c r="F12" s="26" t="n">
        <x:f>D12*(1-Controls!$B$19-Controls!$B$20-Controls!$B$21)</x:f>
        <x:v>34.650000000000006</x:v>
      </x:c>
      <x:c r="G12" s="26" t="n">
        <x:f>D12*Controls!$B$19</x:f>
        <x:v>12.600000000000001</x:v>
      </x:c>
      <x:c r="H12" s="26" t="n">
        <x:f>D12*Controls!$B$20</x:f>
        <x:v>9.45</x:v>
      </x:c>
      <x:c r="I12" s="26" t="n">
        <x:f>D12*Controls!$B$21</x:f>
        <x:v>6.300000000000001</x:v>
      </x:c>
      <x:c r="J12" s="26" t="n">
        <x:f>C12-D12</x:f>
        <x:v>22.80000000000001</x:v>
      </x:c>
      <x:c r="K12" s="26" t="str">
        <x:f>IF(E12&gt;Controls!$B$12,"OVER CEILING","PLANNING MARGIN")</x:f>
        <x:v>PLANNING MARGIN</x:v>
      </x:c>
      <x:c r="L12" s="26" t="str">
        <x:v>Add capacity only after protocol-specific duration and turn-time scheduling</x:v>
      </x:c>
    </x:row>
    <x:row r="13">
      <x:c r="A13" s="26" t="str">
        <x:v>Mobility, access and autonomy</x:v>
      </x:c>
      <x:c r="B13" s="26" t="n">
        <x:f>COUNTIF('Site Register'!$B$6:$B$63,A13)</x:f>
        <x:v>6</x:v>
      </x:c>
      <x:c r="C13" s="26" t="n">
        <x:f>SUMIF('Site Register'!$B$6:$B$63,A13,'Site Register'!$I$6:$I$63)</x:f>
        <x:v>102.96000000000001</x:v>
      </x:c>
      <x:c r="D13" s="27" t="n">
        <x:v>75</x:v>
      </x:c>
      <x:c r="E13" s="56" t="n">
        <x:f>D13/C13</x:f>
        <x:v>0.7284382284382284</x:v>
      </x:c>
      <x:c r="F13" s="26" t="n">
        <x:f>D13*(1-Controls!$B$19-Controls!$B$20-Controls!$B$21)</x:f>
        <x:v>41.25</x:v>
      </x:c>
      <x:c r="G13" s="26" t="n">
        <x:f>D13*Controls!$B$19</x:f>
        <x:v>15</x:v>
      </x:c>
      <x:c r="H13" s="26" t="n">
        <x:f>D13*Controls!$B$20</x:f>
        <x:v>11.25</x:v>
      </x:c>
      <x:c r="I13" s="26" t="n">
        <x:f>D13*Controls!$B$21</x:f>
        <x:v>7.5</x:v>
      </x:c>
      <x:c r="J13" s="26" t="n">
        <x:f>C13-D13</x:f>
        <x:v>27.960000000000008</x:v>
      </x:c>
      <x:c r="K13" s="26" t="str">
        <x:f>IF(E13&gt;Controls!$B$12,"OVER CEILING","PLANNING MARGIN")</x:f>
        <x:v>PLANNING MARGIN</x:v>
      </x:c>
      <x:c r="L13" s="26" t="str">
        <x:v>Add capacity only after protocol-specific duration and turn-time scheduling</x:v>
      </x:c>
    </x:row>
    <x:row r="14">
      <x:c r="A14" s="26" t="str">
        <x:v>Manufacturing and mobilization</x:v>
      </x:c>
      <x:c r="B14" s="26" t="n">
        <x:f>COUNTIF('Site Register'!$B$6:$B$63,A14)</x:f>
        <x:v>6</x:v>
      </x:c>
      <x:c r="C14" s="26" t="n">
        <x:f>SUMIF('Site Register'!$B$6:$B$63,A14,'Site Register'!$I$6:$I$63)</x:f>
        <x:v>137.28000000000003</x:v>
      </x:c>
      <x:c r="D14" s="27" t="n">
        <x:v>100</x:v>
      </x:c>
      <x:c r="E14" s="56" t="n">
        <x:f>D14/C14</x:f>
        <x:v>0.7284382284382283</x:v>
      </x:c>
      <x:c r="F14" s="26" t="n">
        <x:f>D14*(1-Controls!$B$19-Controls!$B$20-Controls!$B$21)</x:f>
        <x:v>55.00000000000001</x:v>
      </x:c>
      <x:c r="G14" s="26" t="n">
        <x:f>D14*Controls!$B$19</x:f>
        <x:v>20</x:v>
      </x:c>
      <x:c r="H14" s="26" t="n">
        <x:f>D14*Controls!$B$20</x:f>
        <x:v>15</x:v>
      </x:c>
      <x:c r="I14" s="26" t="n">
        <x:f>D14*Controls!$B$21</x:f>
        <x:v>10</x:v>
      </x:c>
      <x:c r="J14" s="26" t="n">
        <x:f>C14-D14</x:f>
        <x:v>37.28000000000003</x:v>
      </x:c>
      <x:c r="K14" s="26" t="str">
        <x:f>IF(E14&gt;Controls!$B$12,"OVER CEILING","PLANNING MARGIN")</x:f>
        <x:v>PLANNING MARGIN</x:v>
      </x:c>
      <x:c r="L14" s="26" t="str">
        <x:v>Add capacity only after protocol-specific duration and turn-time scheduling</x:v>
      </x:c>
    </x:row>
    <x:row r="15">
      <x:c r="A15" s="26" t="str">
        <x:v>Joint mission and public effect</x:v>
      </x:c>
      <x:c r="B15" s="26" t="n">
        <x:f>COUNTIF('Site Register'!$B$6:$B$63,A15)</x:f>
        <x:v>4</x:v>
      </x:c>
      <x:c r="C15" s="26" t="n">
        <x:f>SUMIF('Site Register'!$B$6:$B$63,A15,'Site Register'!$I$6:$I$63)</x:f>
        <x:v>41.64</x:v>
      </x:c>
      <x:c r="D15" s="27" t="n">
        <x:v>30</x:v>
      </x:c>
      <x:c r="E15" s="56" t="n">
        <x:f>D15/C15</x:f>
        <x:v>0.7204610951008645</x:v>
      </x:c>
      <x:c r="F15" s="26" t="n">
        <x:f>D15*(1-Controls!$B$19-Controls!$B$20-Controls!$B$21)</x:f>
        <x:v>16.5</x:v>
      </x:c>
      <x:c r="G15" s="26" t="n">
        <x:f>D15*Controls!$B$19</x:f>
        <x:v>6</x:v>
      </x:c>
      <x:c r="H15" s="26" t="n">
        <x:f>D15*Controls!$B$20</x:f>
        <x:v>4.5</x:v>
      </x:c>
      <x:c r="I15" s="26" t="n">
        <x:f>D15*Controls!$B$21</x:f>
        <x:v>3</x:v>
      </x:c>
      <x:c r="J15" s="26" t="n">
        <x:f>C15-D15</x:f>
        <x:v>11.64</x:v>
      </x:c>
      <x:c r="K15" s="26" t="str">
        <x:f>IF(E15&gt;Controls!$B$12,"OVER CEILING","PLANNING MARGIN")</x:f>
        <x:v>PLANNING MARGIN</x:v>
      </x:c>
      <x:c r="L15" s="26" t="str">
        <x:v>Add capacity only after protocol-specific duration and turn-time scheduling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3" hidden="0" customWidth="1"/>
    <x:col min="4" max="4" width="40" hidden="0" customWidth="1"/>
    <x:col min="5" max="5" width="34" hidden="0" customWidth="1"/>
    <x:col min="6" max="6" width="43" hidden="0" customWidth="1"/>
    <x:col min="7" max="7" width="43" hidden="0" customWidth="1"/>
    <x:col min="8" max="8" width="42" hidden="0" customWidth="1"/>
    <x:col min="9" max="9" width="41" hidden="0" customWidth="1"/>
    <x:col min="10" max="10" width="42" hidden="0" customWidth="1"/>
    <x:col min="11" max="11" width="42" hidden="0" customWidth="1"/>
  </x:cols>
  <x:sheetData>
    <x:row r="1">
      <x:c r="A1" s="75" t="str">
        <x:v>Experiment ladder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2">
      <x:c r="A2" s="76" t="str">
        <x:v>Evidence advances by claim and configuration. Large trials do not erase uncertainty from elemental or subsystem evidence.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0" customHeight="1">
      <x:c r="A5" s="21" t="str">
        <x:v>Level</x:v>
      </x:c>
      <x:c r="B5" s="21" t="str">
        <x:v>Article/state</x:v>
      </x:c>
      <x:c r="C5" s="21" t="str">
        <x:v>Typical repetitions</x:v>
      </x:c>
      <x:c r="D5" s="21" t="str">
        <x:v>Primary purpose</x:v>
      </x:c>
      <x:c r="E5" s="21" t="str">
        <x:v>Environment</x:v>
      </x:c>
      <x:c r="F5" s="21" t="str">
        <x:v>Configuration control</x:v>
      </x:c>
      <x:c r="G5" s="21" t="str">
        <x:v>Independent role</x:v>
      </x:c>
      <x:c r="H5" s="21" t="str">
        <x:v>Stopping rule</x:v>
      </x:c>
      <x:c r="I5" s="21" t="str">
        <x:v>Claim allowed</x:v>
      </x:c>
      <x:c r="J5" s="21" t="str">
        <x:v>Claim prohibited</x:v>
      </x:c>
      <x:c r="K5" s="21" t="str">
        <x:v>Transition evidence</x:v>
      </x:c>
    </x:row>
    <x:row r="6">
      <x:c r="A6" s="26" t="str">
        <x:v>L0 Analytical/synthetic</x:v>
      </x:c>
      <x:c r="B6" s="26" t="str">
        <x:v>Models, digital twins and recorded-event replay</x:v>
      </x:c>
      <x:c r="C6" s="26" t="str">
        <x:v>10,000–millions</x:v>
      </x:c>
      <x:c r="D6" s="26" t="str">
        <x:v>Explore mechanisms, tails and experiment design</x:v>
      </x:c>
      <x:c r="E6" s="26" t="str">
        <x:v>Synthetic and historical</x:v>
      </x:c>
      <x:c r="F6" s="26" t="str">
        <x:v>Code, data, model and parameter versions</x:v>
      </x:c>
      <x:c r="G6" s="26" t="str">
        <x:v>Blind datasets and score custody</x:v>
      </x:c>
      <x:c r="H6" s="26" t="str">
        <x:v>Model invalidity or decision-score harm</x:v>
      </x:c>
      <x:c r="I6" s="26" t="str">
        <x:v>Candidate causal mechanism and test priorities</x:v>
      </x:c>
      <x:c r="J6" s="26" t="str">
        <x:v>Physical performance or readiness</x:v>
      </x:c>
      <x:c r="K6" s="26" t="str">
        <x:v>Prospective prediction and intervention score</x:v>
      </x:c>
    </x:row>
    <x:row r="7">
      <x:c r="A7" s="26" t="str">
        <x:v>L1 Elemental</x:v>
      </x:c>
      <x:c r="B7" s="26" t="str">
        <x:v>Sensors, materials, connectors, algorithms and components</x:v>
      </x:c>
      <x:c r="C7" s="26" t="str">
        <x:v>300–3,000 where cheap</x:v>
      </x:c>
      <x:c r="D7" s="26" t="str">
        <x:v>Characterize distributions and rare failure</x:v>
      </x:c>
      <x:c r="E7" s="26" t="str">
        <x:v>Controlled laboratory</x:v>
      </x:c>
      <x:c r="F7" s="26" t="str">
        <x:v>Lot, calibration and software effectivity</x:v>
      </x:c>
      <x:c r="G7" s="26" t="str">
        <x:v>Independent metrology and hidden defects</x:v>
      </x:c>
      <x:c r="H7" s="26" t="str">
        <x:v>Unsafe trend, drift or insufficient information gain</x:v>
      </x:c>
      <x:c r="I7" s="26" t="str">
        <x:v>Bounded component response</x:v>
      </x:c>
      <x:c r="J7" s="26" t="str">
        <x:v>Subsystem compatibility or mission effect</x:v>
      </x:c>
      <x:c r="K7" s="26" t="str">
        <x:v>Repeatability across labs and lots</x:v>
      </x:c>
    </x:row>
    <x:row r="8">
      <x:c r="A8" s="26" t="str">
        <x:v>L2 Subsystem</x:v>
      </x:c>
      <x:c r="B8" s="26" t="str">
        <x:v>Pump train, feeder, treatment module, robot behavior or ward function</x:v>
      </x:c>
      <x:c r="C8" s="26" t="str">
        <x:v>30–300</x:v>
      </x:c>
      <x:c r="D8" s="26" t="str">
        <x:v>Measure interfaces, degradation and maintainability</x:v>
      </x:c>
      <x:c r="E8" s="26" t="str">
        <x:v>Relevant load and fault environment</x:v>
      </x:c>
      <x:c r="F8" s="26" t="str">
        <x:v>Complete hardware/software/interface baseline</x:v>
      </x:c>
      <x:c r="G8" s="26" t="str">
        <x:v>Fault injection and raw-data custody</x:v>
      </x:c>
      <x:c r="H8" s="26" t="str">
        <x:v>Uncontained failure or predeclared futility</x:v>
      </x:c>
      <x:c r="I8" s="26" t="str">
        <x:v>Subsystem envelope and failure model</x:v>
      </x:c>
      <x:c r="J8" s="26" t="str">
        <x:v>Formation output or public effect</x:v>
      </x:c>
      <x:c r="K8" s="26" t="str">
        <x:v>Cross-vendor boundary trial</x:v>
      </x:c>
    </x:row>
    <x:row r="9">
      <x:c r="A9" s="26" t="str">
        <x:v>L3 Full system</x:v>
      </x:c>
      <x:c r="B9" s="26" t="str">
        <x:v>Complete vehicle, plant, structure, aircraft cycle or clinical module</x:v>
      </x:c>
      <x:c r="C9" s="26" t="str">
        <x:v>10–50</x:v>
      </x:c>
      <x:c r="D9" s="26" t="str">
        <x:v>Close mass, energy, flow, crew, repair and safety</x:v>
      </x:c>
      <x:c r="E9" s="26" t="str">
        <x:v>Representative facility environment</x:v>
      </x:c>
      <x:c r="F9" s="26" t="str">
        <x:v>Serialized article and mission package</x:v>
      </x:c>
      <x:c r="G9" s="26" t="str">
        <x:v>Independent test conduct and anomaly board</x:v>
      </x:c>
      <x:c r="H9" s="26" t="str">
        <x:v>Safety case violation or inability to recover</x:v>
      </x:c>
      <x:c r="I9" s="26" t="str">
        <x:v>Configuration-specific system performance</x:v>
      </x:c>
      <x:c r="J9" s="26" t="str">
        <x:v>Fleet reliability or multi-system readiness</x:v>
      </x:c>
      <x:c r="K9" s="26" t="str">
        <x:v>Replicated mission profile</x:v>
      </x:c>
    </x:row>
    <x:row r="10">
      <x:c r="A10" s="26" t="str">
        <x:v>L4 Formation</x:v>
      </x:c>
      <x:c r="B10" s="26" t="str">
        <x:v>Multiple systems, crews, sustainment and civil command</x:v>
      </x:c>
      <x:c r="C10" s="26" t="str">
        <x:v>3–12 major campaigns</x:v>
      </x:c>
      <x:c r="D10" s="26" t="str">
        <x:v>Measure complete thread, tails and common modes</x:v>
      </x:c>
      <x:c r="E10" s="26" t="str">
        <x:v>Degraded, contested-by-hazard and long duration</x:v>
      </x:c>
      <x:c r="F10" s="26" t="str">
        <x:v>Formation baseline, people and logistics</x:v>
      </x:c>
      <x:c r="G10" s="26" t="str">
        <x:v>RTEA exercise control and public-effect sampling</x:v>
      </x:c>
      <x:c r="H10" s="26" t="str">
        <x:v>Public harm threshold or critical common mode</x:v>
      </x:c>
      <x:c r="I10" s="26" t="str">
        <x:v>Formation effect in tested campaigns</x:v>
      </x:c>
      <x:c r="J10" s="26" t="str">
        <x:v>National readiness or universal transfer</x:v>
      </x:c>
      <x:c r="K10" s="26" t="str">
        <x:v>Different region, crew and supplier replication</x:v>
      </x:c>
    </x:row>
    <x:row r="11">
      <x:c r="A11" s="26" t="str">
        <x:v>L5 Operational replication</x:v>
      </x:c>
      <x:c r="B11" s="26" t="str">
        <x:v>Field events and prospective controlled deployments</x:v>
      </x:c>
      <x:c r="C11" s="26" t="str">
        <x:v>3–8 regions/events minimum</x:v>
      </x:c>
      <x:c r="D11" s="26" t="str">
        <x:v>Test transportability and external validity</x:v>
      </x:c>
      <x:c r="E11" s="26" t="str">
        <x:v>Real authorities and environments</x:v>
      </x:c>
      <x:c r="F11" s="26" t="str">
        <x:v>Field item/crew/event lineage</x:v>
      </x:c>
      <x:c r="G11" s="26" t="str">
        <x:v>Independent observation and protected dissent</x:v>
      </x:c>
      <x:c r="H11" s="26" t="str">
        <x:v>Unacceptable harm or evidence noncomparability</x:v>
      </x:c>
      <x:c r="I11" s="26" t="str">
        <x:v>Bounded operational effectiveness</x:v>
      </x:c>
      <x:c r="J11" s="26" t="str">
        <x:v>Zero-risk or all-hazard claim</x:v>
      </x:c>
      <x:c r="K11" s="26" t="str">
        <x:v>Post-event correction and renewal decision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6" hidden="0" customWidth="1"/>
    <x:col min="3" max="3" width="17" hidden="0" customWidth="1"/>
    <x:col min="4" max="4" width="29" hidden="0" customWidth="1"/>
    <x:col min="5" max="5" width="39" hidden="0" customWidth="1"/>
    <x:col min="6" max="6" width="35" hidden="0" customWidth="1"/>
    <x:col min="7" max="7" width="47" hidden="0" customWidth="1"/>
    <x:col min="8" max="8" width="51" hidden="0" customWidth="1"/>
  </x:cols>
  <x:sheetData>
    <x:row r="1">
      <x:c r="A1" s="75" t="str">
        <x:v>Evidence power screens</x:v>
      </x:c>
      <x:c r="B1" s="75"/>
      <x:c r="C1" s="75"/>
      <x:c r="D1" s="75"/>
      <x:c r="E1" s="75"/>
      <x:c r="F1" s="75"/>
      <x:c r="G1" s="75"/>
      <x:c r="H1" s="75"/>
    </x:row>
    <x:row r="2">
      <x:c r="A2" s="76" t="str">
        <x:v>Simple planning equations show why rare-failure claims cannot rest on a handful of full-scale demonstrations.</x:v>
      </x:c>
      <x:c r="B2" s="76"/>
      <x:c r="C2" s="76"/>
      <x:c r="D2" s="76"/>
      <x:c r="E2" s="76"/>
      <x:c r="F2" s="76"/>
      <x:c r="G2" s="76"/>
      <x:c r="H2" s="76"/>
    </x:row>
    <x:row r="3">
      <x:c r="A3" s="77"/>
      <x:c r="B3" s="77"/>
      <x:c r="C3" s="77"/>
      <x:c r="D3" s="77"/>
      <x:c r="E3" s="77"/>
      <x:c r="F3" s="77"/>
      <x:c r="G3" s="77"/>
      <x:c r="H3" s="77"/>
    </x:row>
    <x:row r="4">
      <x:c r="A4" s="22"/>
      <x:c r="B4" s="22"/>
      <x:c r="C4" s="22"/>
      <x:c r="D4" s="22"/>
      <x:c r="E4" s="22"/>
      <x:c r="F4" s="22"/>
      <x:c r="G4" s="22"/>
      <x:c r="H4" s="22"/>
    </x:row>
    <x:row r="5" ht="30" customHeight="1">
      <x:c r="A5" s="21" t="str">
        <x:v>Zero-failure binary screen</x:v>
      </x:c>
      <x:c r="B5" s="21" t="str">
        <x:v>Target upper failure probability</x:v>
      </x:c>
      <x:c r="C5" s="21" t="str">
        <x:v>Confidence</x:v>
      </x:c>
      <x:c r="D5" s="21" t="str">
        <x:v>Required failure-free trials</x:v>
      </x:c>
      <x:c r="E5" s="21" t="str">
        <x:v>Formula meaning</x:v>
      </x:c>
      <x:c r="F5" s="21" t="str">
        <x:v>Use</x:v>
      </x:c>
      <x:c r="G5" s="21" t="str">
        <x:v>Limitation</x:v>
      </x:c>
      <x:c r="H5" s="21" t="str"/>
    </x:row>
    <x:row r="6">
      <x:c r="A6" s="26" t="str">
        <x:v>B1</x:v>
      </x:c>
      <x:c r="B6" s="28" t="n">
        <x:v>0.1</x:v>
      </x:c>
      <x:c r="C6" s="56" t="n">
        <x:f>Controls!$B$14</x:f>
        <x:v>0.95</x:v>
      </x:c>
      <x:c r="D6" s="26" t="n">
        <x:f>ROUNDUP(LN(1-C6)/LN(1-B6),0)</x:f>
        <x:v>29</x:v>
      </x:c>
      <x:c r="E6" s="26" t="str">
        <x:v>n = ln(1-confidence) / ln(1-p)</x:v>
      </x:c>
      <x:c r="F6" s="26" t="str">
        <x:v>Plan cheap repeatable boundary and component trials</x:v>
      </x:c>
      <x:c r="G6" s="26" t="str">
        <x:v>Assumes independent identical Bernoulli trials; common modes violate this</x:v>
      </x:c>
      <x:c r="H6" s="26" t="str"/>
    </x:row>
    <x:row r="7">
      <x:c r="A7" s="26" t="str">
        <x:v>B2</x:v>
      </x:c>
      <x:c r="B7" s="28" t="n">
        <x:v>0.05</x:v>
      </x:c>
      <x:c r="C7" s="56" t="n">
        <x:f>Controls!$B$14</x:f>
        <x:v>0.95</x:v>
      </x:c>
      <x:c r="D7" s="26" t="n">
        <x:f>ROUNDUP(LN(1-C7)/LN(1-B7),0)</x:f>
        <x:v>59</x:v>
      </x:c>
      <x:c r="E7" s="26" t="str">
        <x:v>n = ln(1-confidence) / ln(1-p)</x:v>
      </x:c>
      <x:c r="F7" s="26" t="str">
        <x:v>Plan cheap repeatable boundary and component trials</x:v>
      </x:c>
      <x:c r="G7" s="26" t="str">
        <x:v>Assumes independent identical Bernoulli trials; common modes violate this</x:v>
      </x:c>
      <x:c r="H7" s="26" t="str"/>
    </x:row>
    <x:row r="8">
      <x:c r="A8" s="26" t="str">
        <x:v>B3</x:v>
      </x:c>
      <x:c r="B8" s="28" t="n">
        <x:v>0.01</x:v>
      </x:c>
      <x:c r="C8" s="56" t="n">
        <x:f>Controls!$B$14</x:f>
        <x:v>0.95</x:v>
      </x:c>
      <x:c r="D8" s="26" t="n">
        <x:f>ROUNDUP(LN(1-C8)/LN(1-B8),0)</x:f>
        <x:v>299</x:v>
      </x:c>
      <x:c r="E8" s="26" t="str">
        <x:v>n = ln(1-confidence) / ln(1-p)</x:v>
      </x:c>
      <x:c r="F8" s="26" t="str">
        <x:v>Plan cheap repeatable boundary and component trials</x:v>
      </x:c>
      <x:c r="G8" s="26" t="str">
        <x:v>Assumes independent identical Bernoulli trials; common modes violate this</x:v>
      </x:c>
      <x:c r="H8" s="26" t="str"/>
    </x:row>
    <x:row r="9">
      <x:c r="A9" s="26" t="str">
        <x:v>B4</x:v>
      </x:c>
      <x:c r="B9" s="28" t="n">
        <x:v>0.005</x:v>
      </x:c>
      <x:c r="C9" s="56" t="n">
        <x:f>Controls!$B$14</x:f>
        <x:v>0.95</x:v>
      </x:c>
      <x:c r="D9" s="26" t="n">
        <x:f>ROUNDUP(LN(1-C9)/LN(1-B9),0)</x:f>
        <x:v>598</x:v>
      </x:c>
      <x:c r="E9" s="26" t="str">
        <x:v>n = ln(1-confidence) / ln(1-p)</x:v>
      </x:c>
      <x:c r="F9" s="26" t="str">
        <x:v>Plan cheap repeatable boundary and component trials</x:v>
      </x:c>
      <x:c r="G9" s="26" t="str">
        <x:v>Assumes independent identical Bernoulli trials; common modes violate this</x:v>
      </x:c>
      <x:c r="H9" s="26" t="str"/>
    </x:row>
    <x:row r="10">
      <x:c r="A10" s="26" t="str">
        <x:v>B5</x:v>
      </x:c>
      <x:c r="B10" s="28" t="n">
        <x:v>0.001</x:v>
      </x:c>
      <x:c r="C10" s="56" t="n">
        <x:f>Controls!$B$14</x:f>
        <x:v>0.95</x:v>
      </x:c>
      <x:c r="D10" s="26" t="n">
        <x:f>ROUNDUP(LN(1-C10)/LN(1-B10),0)</x:f>
        <x:v>2995</x:v>
      </x:c>
      <x:c r="E10" s="26" t="str">
        <x:v>n = ln(1-confidence) / ln(1-p)</x:v>
      </x:c>
      <x:c r="F10" s="26" t="str">
        <x:v>Plan cheap repeatable boundary and component trials</x:v>
      </x:c>
      <x:c r="G10" s="26" t="str">
        <x:v>Assumes independent identical Bernoulli trials; common modes violate this</x:v>
      </x:c>
      <x:c r="H10" s="26" t="str"/>
    </x:row>
    <x:row r="11">
      <x:c r="A11" s="26"/>
      <x:c r="B11" s="26"/>
      <x:c r="C11" s="26"/>
      <x:c r="D11" s="26"/>
      <x:c r="E11" s="26"/>
      <x:c r="F11" s="26"/>
      <x:c r="G11" s="26"/>
      <x:c r="H11" s="26"/>
    </x:row>
    <x:row r="12">
      <x:c r="A12" s="26"/>
      <x:c r="B12" s="26"/>
      <x:c r="C12" s="26"/>
      <x:c r="D12" s="26"/>
      <x:c r="E12" s="26"/>
      <x:c r="F12" s="26"/>
      <x:c r="G12" s="26"/>
      <x:c r="H12" s="26"/>
    </x:row>
    <x:row r="13" ht="30" customHeight="1">
      <x:c r="A13" s="21" t="str">
        <x:v>Two-group mean screen</x:v>
      </x:c>
      <x:c r="B13" s="21" t="str">
        <x:v>Standardized effect</x:v>
      </x:c>
      <x:c r="C13" s="21" t="str">
        <x:v>Alpha</x:v>
      </x:c>
      <x:c r="D13" s="21" t="str">
        <x:v>Power</x:v>
      </x:c>
      <x:c r="E13" s="21" t="str">
        <x:v>Z alpha/2</x:v>
      </x:c>
      <x:c r="F13" s="21" t="str">
        <x:v>Z beta</x:v>
      </x:c>
      <x:c r="G13" s="21" t="str">
        <x:v>Required per arm</x:v>
      </x:c>
      <x:c r="H13" s="21" t="str">
        <x:v>Formula meaning</x:v>
      </x:c>
    </x:row>
    <x:row r="14">
      <x:c r="A14" s="26" t="str">
        <x:v>M1</x:v>
      </x:c>
      <x:c r="B14" s="27" t="n">
        <x:v>1</x:v>
      </x:c>
      <x:c r="C14" s="56" t="n">
        <x:f>Controls!$B$15</x:f>
        <x:v>0.05</x:v>
      </x:c>
      <x:c r="D14" s="56" t="n">
        <x:f>Controls!$B$16</x:f>
        <x:v>0.8</x:v>
      </x:c>
      <x:c r="E14" s="26" t="n">
        <x:f>Controls!$B$17</x:f>
        <x:v>1.96</x:v>
      </x:c>
      <x:c r="F14" s="26" t="n">
        <x:f>Controls!$B$18</x:f>
        <x:v>0.84</x:v>
      </x:c>
      <x:c r="G14" s="26" t="n">
        <x:f>ROUNDUP(2*(E14+F14)^2/B14^2,0)</x:f>
        <x:v>16</x:v>
      </x:c>
      <x:c r="H14" s="26" t="str">
        <x:v>n ≈ 2(zα/2+zβ)^2/d^2</x:v>
      </x:c>
    </x:row>
    <x:row r="15">
      <x:c r="A15" s="26" t="str">
        <x:v>M2</x:v>
      </x:c>
      <x:c r="B15" s="27" t="n">
        <x:v>0.8</x:v>
      </x:c>
      <x:c r="C15" s="56" t="n">
        <x:f>Controls!$B$15</x:f>
        <x:v>0.05</x:v>
      </x:c>
      <x:c r="D15" s="56" t="n">
        <x:f>Controls!$B$16</x:f>
        <x:v>0.8</x:v>
      </x:c>
      <x:c r="E15" s="26" t="n">
        <x:f>Controls!$B$17</x:f>
        <x:v>1.96</x:v>
      </x:c>
      <x:c r="F15" s="26" t="n">
        <x:f>Controls!$B$18</x:f>
        <x:v>0.84</x:v>
      </x:c>
      <x:c r="G15" s="26" t="n">
        <x:f>ROUNDUP(2*(E15+F15)^2/B15^2,0)</x:f>
        <x:v>25</x:v>
      </x:c>
      <x:c r="H15" s="26" t="str">
        <x:v>n ≈ 2(zα/2+zβ)^2/d^2</x:v>
      </x:c>
    </x:row>
    <x:row r="16">
      <x:c r="A16" s="26" t="str">
        <x:v>M3</x:v>
      </x:c>
      <x:c r="B16" s="27" t="n">
        <x:v>0.5</x:v>
      </x:c>
      <x:c r="C16" s="56" t="n">
        <x:f>Controls!$B$15</x:f>
        <x:v>0.05</x:v>
      </x:c>
      <x:c r="D16" s="56" t="n">
        <x:f>Controls!$B$16</x:f>
        <x:v>0.8</x:v>
      </x:c>
      <x:c r="E16" s="26" t="n">
        <x:f>Controls!$B$17</x:f>
        <x:v>1.96</x:v>
      </x:c>
      <x:c r="F16" s="26" t="n">
        <x:f>Controls!$B$18</x:f>
        <x:v>0.84</x:v>
      </x:c>
      <x:c r="G16" s="26" t="n">
        <x:f>ROUNDUP(2*(E16+F16)^2/B16^2,0)</x:f>
        <x:v>63</x:v>
      </x:c>
      <x:c r="H16" s="26" t="str">
        <x:v>n ≈ 2(zα/2+zβ)^2/d^2</x:v>
      </x:c>
    </x:row>
    <x:row r="17">
      <x:c r="A17" s="26" t="str">
        <x:v>M4</x:v>
      </x:c>
      <x:c r="B17" s="27" t="n">
        <x:v>0.3</x:v>
      </x:c>
      <x:c r="C17" s="56" t="n">
        <x:f>Controls!$B$15</x:f>
        <x:v>0.05</x:v>
      </x:c>
      <x:c r="D17" s="56" t="n">
        <x:f>Controls!$B$16</x:f>
        <x:v>0.8</x:v>
      </x:c>
      <x:c r="E17" s="26" t="n">
        <x:f>Controls!$B$17</x:f>
        <x:v>1.96</x:v>
      </x:c>
      <x:c r="F17" s="26" t="n">
        <x:f>Controls!$B$18</x:f>
        <x:v>0.84</x:v>
      </x:c>
      <x:c r="G17" s="26" t="n">
        <x:f>ROUNDUP(2*(E17+F17)^2/B17^2,0)</x:f>
        <x:v>175</x:v>
      </x:c>
      <x:c r="H17" s="26" t="str">
        <x:v>n ≈ 2(zα/2+zβ)^2/d^2</x:v>
      </x:c>
    </x:row>
    <x:row r="18">
      <x:c r="A18" s="26" t="str">
        <x:v>M5</x:v>
      </x:c>
      <x:c r="B18" s="27" t="n">
        <x:v>0.2</x:v>
      </x:c>
      <x:c r="C18" s="56" t="n">
        <x:f>Controls!$B$15</x:f>
        <x:v>0.05</x:v>
      </x:c>
      <x:c r="D18" s="56" t="n">
        <x:f>Controls!$B$16</x:f>
        <x:v>0.8</x:v>
      </x:c>
      <x:c r="E18" s="26" t="n">
        <x:f>Controls!$B$17</x:f>
        <x:v>1.96</x:v>
      </x:c>
      <x:c r="F18" s="26" t="n">
        <x:f>Controls!$B$18</x:f>
        <x:v>0.84</x:v>
      </x:c>
      <x:c r="G18" s="26" t="n">
        <x:f>ROUNDUP(2*(E18+F18)^2/B18^2,0)</x:f>
        <x:v>392</x:v>
      </x:c>
      <x:c r="H18" s="26" t="str">
        <x:v>n ≈ 2(zα/2+zβ)^2/d^2</x:v>
      </x:c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 ht="30" customHeight="1">
      <x:c r="A21" s="21" t="str">
        <x:v>Zero-failure exposure screen</x:v>
      </x:c>
      <x:c r="B21" s="21" t="str">
        <x:v>MTBF target hours</x:v>
      </x:c>
      <x:c r="C21" s="21" t="str">
        <x:v>Confidence</x:v>
      </x:c>
      <x:c r="D21" s="21" t="str">
        <x:v>Required failure-free exposure hours</x:v>
      </x:c>
      <x:c r="E21" s="21" t="str">
        <x:v>Parallel articles</x:v>
      </x:c>
      <x:c r="F21" s="21" t="str">
        <x:v>Calendar hours</x:v>
      </x:c>
      <x:c r="G21" s="21" t="str">
        <x:v>Use</x:v>
      </x:c>
      <x:c r="H21" s="21" t="str">
        <x:v>Limitation</x:v>
      </x:c>
    </x:row>
    <x:row r="22">
      <x:c r="A22" s="26" t="str">
        <x:v>R1</x:v>
      </x:c>
      <x:c r="B22" s="52" t="n">
        <x:v>100</x:v>
      </x:c>
      <x:c r="C22" s="56" t="n">
        <x:f>Controls!$B$14</x:f>
        <x:v>0.95</x:v>
      </x:c>
      <x:c r="D22" s="53" t="n">
        <x:f>-LN(1-C22)*B22</x:f>
        <x:v>299.573227355399</x:v>
      </x:c>
      <x:c r="E22" s="52" t="n">
        <x:v>1</x:v>
      </x:c>
      <x:c r="F22" s="53" t="n">
        <x:f>D22/E22</x:f>
        <x:v>299.573227355399</x:v>
      </x:c>
      <x:c r="G22" s="26" t="str">
        <x:v>Reliability exposure planning</x:v>
      </x:c>
      <x:c r="H22" s="26" t="str">
        <x:v>Exponential constant-hazard screen only</x:v>
      </x:c>
    </x:row>
    <x:row r="23">
      <x:c r="A23" s="26" t="str">
        <x:v>R2</x:v>
      </x:c>
      <x:c r="B23" s="52" t="n">
        <x:v>1000</x:v>
      </x:c>
      <x:c r="C23" s="56" t="n">
        <x:f>Controls!$B$14</x:f>
        <x:v>0.95</x:v>
      </x:c>
      <x:c r="D23" s="53" t="n">
        <x:f>-LN(1-C23)*B23</x:f>
        <x:v>2995.73227355399</x:v>
      </x:c>
      <x:c r="E23" s="52" t="n">
        <x:v>5</x:v>
      </x:c>
      <x:c r="F23" s="53" t="n">
        <x:f>D23/E23</x:f>
        <x:v>599.146454710798</x:v>
      </x:c>
      <x:c r="G23" s="26" t="str">
        <x:v>Reliability exposure planning</x:v>
      </x:c>
      <x:c r="H23" s="26" t="str">
        <x:v>Exponential constant-hazard screen only</x:v>
      </x:c>
    </x:row>
    <x:row r="24">
      <x:c r="A24" s="26" t="str">
        <x:v>R3</x:v>
      </x:c>
      <x:c r="B24" s="52" t="n">
        <x:v>10000</x:v>
      </x:c>
      <x:c r="C24" s="56" t="n">
        <x:f>Controls!$B$14</x:f>
        <x:v>0.95</x:v>
      </x:c>
      <x:c r="D24" s="53" t="n">
        <x:f>-LN(1-C24)*B24</x:f>
        <x:v>29957.3227355399</x:v>
      </x:c>
      <x:c r="E24" s="52" t="n">
        <x:v>20</x:v>
      </x:c>
      <x:c r="F24" s="53" t="n">
        <x:f>D24/E24</x:f>
        <x:v>1497.866136776995</x:v>
      </x:c>
      <x:c r="G24" s="26" t="str">
        <x:v>Reliability exposure planning</x:v>
      </x:c>
      <x:c r="H24" s="26" t="str">
        <x:v>Exponential constant-hazard screen only</x:v>
      </x:c>
    </x:row>
    <x:row r="25">
      <x:c r="A25" s="26" t="str">
        <x:v>R4</x:v>
      </x:c>
      <x:c r="B25" s="52" t="n">
        <x:v>100000</x:v>
      </x:c>
      <x:c r="C25" s="56" t="n">
        <x:f>Controls!$B$14</x:f>
        <x:v>0.95</x:v>
      </x:c>
      <x:c r="D25" s="53" t="n">
        <x:f>-LN(1-C25)*B25</x:f>
        <x:v>299573.227355399</x:v>
      </x:c>
      <x:c r="E25" s="52" t="n">
        <x:v>100</x:v>
      </x:c>
      <x:c r="F25" s="53" t="n">
        <x:f>D25/E25</x:f>
        <x:v>2995.73227355399</x:v>
      </x:c>
      <x:c r="G25" s="26" t="str">
        <x:v>Reliability exposure planning</x:v>
      </x:c>
      <x:c r="H25" s="26" t="str">
        <x:v>Exponential constant-hazard screen only</x:v>
      </x:c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12" t="str">
        <x:v>Inference rule</x:v>
      </x:c>
      <x:c r="B28" s="12" t="str">
        <x:v>A destructive formation trial can establish a causal boundary and reveal failure. It cannot by itself demonstrate a 1% or 0.1% failure probability. Claims must combine preregistered elemental repetition, subsystem fault injection, full-scale mechanisms, field exposure and explicit dependence assumptions.</x:v>
      </x:c>
      <x:c r="C28" s="12" t="str"/>
      <x:c r="D28" s="12" t="str"/>
      <x:c r="E28" s="12" t="str"/>
      <x:c r="F28" s="12" t="str"/>
      <x:c r="G28" s="12" t="str"/>
      <x:c r="H28" s="12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44" hidden="0" customWidth="1"/>
    <x:col min="4" max="4" width="35" hidden="0" customWidth="1"/>
    <x:col min="5" max="5" width="43" hidden="0" customWidth="1"/>
    <x:col min="6" max="6" width="37" hidden="0" customWidth="1"/>
    <x:col min="7" max="7" width="39" hidden="0" customWidth="1"/>
    <x:col min="8" max="8" width="43" hidden="0" customWidth="1"/>
    <x:col min="9" max="9" width="35" hidden="0" customWidth="1"/>
    <x:col min="10" max="10" width="38" hidden="0" customWidth="1"/>
    <x:col min="11" max="11" width="48" hidden="0" customWidth="1"/>
  </x:cols>
  <x:sheetData>
    <x:row r="1">
      <x:c r="A1" s="75" t="str">
        <x:v>Measurement system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2">
      <x:c r="A2" s="76" t="str">
        <x:v>Every mission claim needs traceable measurement, independent channels and a visible uncertainty budget.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0" customHeight="1">
      <x:c r="A5" s="21" t="str">
        <x:v>Domain</x:v>
      </x:c>
      <x:c r="B5" s="21" t="str">
        <x:v>Measurand</x:v>
      </x:c>
      <x:c r="C5" s="21" t="str">
        <x:v>Reference/traceability</x:v>
      </x:c>
      <x:c r="D5" s="21" t="str">
        <x:v>Dynamic range</x:v>
      </x:c>
      <x:c r="E5" s="21" t="str">
        <x:v>Independent channel</x:v>
      </x:c>
      <x:c r="F5" s="21" t="str">
        <x:v>Calibration timing</x:v>
      </x:c>
      <x:c r="G5" s="21" t="str">
        <x:v>Sampling need</x:v>
      </x:c>
      <x:c r="H5" s="21" t="str">
        <x:v>Uncertainty output</x:v>
      </x:c>
      <x:c r="I5" s="21" t="str">
        <x:v>Data custody</x:v>
      </x:c>
      <x:c r="J5" s="21" t="str">
        <x:v>Failure injection</x:v>
      </x:c>
      <x:c r="K5" s="21" t="str">
        <x:v>Acceptance question</x:v>
      </x:c>
    </x:row>
    <x:row r="6">
      <x:c r="A6" s="26" t="str">
        <x:v>Time</x:v>
      </x:c>
      <x:c r="B6" s="26" t="str">
        <x:v>Event and command time</x:v>
      </x:c>
      <x:c r="C6" s="26" t="str">
        <x:v>National time references plus local holdover</x:v>
      </x:c>
      <x:c r="D6" s="26" t="str">
        <x:v>microseconds to 90 days</x:v>
      </x:c>
      <x:c r="E6" s="26" t="str">
        <x:v>Independent clock family</x:v>
      </x:c>
      <x:c r="F6" s="26" t="str">
        <x:v>Before/after test and continuous comparison</x:v>
      </x:c>
      <x:c r="G6" s="26" t="str">
        <x:v>Above fastest protective action</x:v>
      </x:c>
      <x:c r="H6" s="26" t="str">
        <x:v>Offset, drift and confidence</x:v>
      </x:c>
      <x:c r="I6" s="26" t="str">
        <x:v>RTEA mirror</x:v>
      </x:c>
      <x:c r="J6" s="26" t="str">
        <x:v>Spoof, drift and partition</x:v>
      </x:c>
      <x:c r="K6" s="26" t="str">
        <x:v>Can causal order and authority expiry be defended?</x:v>
      </x:c>
    </x:row>
    <x:row r="7">
      <x:c r="A7" s="26" t="str">
        <x:v>Geospatial</x:v>
      </x:c>
      <x:c r="B7" s="26" t="str">
        <x:v>Position, elevation and geometry</x:v>
      </x:c>
      <x:c r="C7" s="26" t="str">
        <x:v>Survey monuments and declared datum</x:v>
      </x:c>
      <x:c r="D7" s="26" t="str">
        <x:v>millimeters to 100 km</x:v>
      </x:c>
      <x:c r="E7" s="26" t="str">
        <x:v>Independent survey/remote sensing</x:v>
      </x:c>
      <x:c r="F7" s="26" t="str">
        <x:v>Per configuration and after disturbance</x:v>
      </x:c>
      <x:c r="G7" s="26" t="str">
        <x:v>Match fastest moving/flow boundary</x:v>
      </x:c>
      <x:c r="H7" s="26" t="str">
        <x:v>Horizontal, vertical and transform error</x:v>
      </x:c>
      <x:c r="I7" s="26" t="str">
        <x:v>Observation authority</x:v>
      </x:c>
      <x:c r="J7" s="26" t="str">
        <x:v>Wrong datum and GNSS bias</x:v>
      </x:c>
      <x:c r="K7" s="26" t="str">
        <x:v>Would the same physical decision follow from independent survey?</x:v>
      </x:c>
    </x:row>
    <x:row r="8">
      <x:c r="A8" s="26" t="str">
        <x:v>Hydraulic</x:v>
      </x:c>
      <x:c r="B8" s="26" t="str">
        <x:v>Flow, head, pressure and transient</x:v>
      </x:c>
      <x:c r="C8" s="26" t="str">
        <x:v>Calibrated meters, tanks and pressure standards</x:v>
      </x:c>
      <x:c r="D8" s="26" t="str">
        <x:v>liters/s to 250 m3/s</x:v>
      </x:c>
      <x:c r="E8" s="26" t="str">
        <x:v>Mass balance and redundant meter physics</x:v>
      </x:c>
      <x:c r="F8" s="26" t="str">
        <x:v>Before campaign and in-situ checks</x:v>
      </x:c>
      <x:c r="G8" s="26" t="str">
        <x:v>Resolve water hammer and gate motion</x:v>
      </x:c>
      <x:c r="H8" s="26" t="str">
        <x:v>Bias, response and integrated mass balance</x:v>
      </x:c>
      <x:c r="I8" s="26" t="str">
        <x:v>Hydraulic range data office</x:v>
      </x:c>
      <x:c r="J8" s="26" t="str">
        <x:v>Clog, cavitate, drift and surge</x:v>
      </x:c>
      <x:c r="K8" s="26" t="str">
        <x:v>Does delivered flow close with source and receiving inventories?</x:v>
      </x:c>
    </x:row>
    <x:row r="9">
      <x:c r="A9" s="26" t="str">
        <x:v>Electrical</x:v>
      </x:c>
      <x:c r="B9" s="26" t="str">
        <x:v>Voltage, current, phase, energy and fault</x:v>
      </x:c>
      <x:c r="C9" s="26" t="str">
        <x:v>Electrical standards and synchronized recorders</x:v>
      </x:c>
      <x:c r="D9" s="26" t="str">
        <x:v>12 VDC to 115+ kVAC; microamps to fault current</x:v>
      </x:c>
      <x:c r="E9" s="26" t="str">
        <x:v>Protection-independent disturbance recorder</x:v>
      </x:c>
      <x:c r="F9" s="26" t="str">
        <x:v>Before connection and after high-energy fault</x:v>
      </x:c>
      <x:c r="G9" s="26" t="str">
        <x:v>Sub-cycle for protection plus long-duration energy</x:v>
      </x:c>
      <x:c r="H9" s="26" t="str">
        <x:v>Magnitude, phase, time and saturation limits</x:v>
      </x:c>
      <x:c r="I9" s="26" t="str">
        <x:v>Grid range data office</x:v>
      </x:c>
      <x:c r="J9" s="26" t="str">
        <x:v>Relay mismatch, harmonics and grounding fault</x:v>
      </x:c>
      <x:c r="K9" s="26" t="str">
        <x:v>Can protection and energy custody be reconstructed?</x:v>
      </x:c>
    </x:row>
    <x:row r="10">
      <x:c r="A10" s="26" t="str">
        <x:v>Fire/atmosphere</x:v>
      </x:c>
      <x:c r="B10" s="26" t="str">
        <x:v>Heat release, species, smoke, ember and agent</x:v>
      </x:c>
      <x:c r="C10" s="26" t="str">
        <x:v>Fuel and oxygen-consumption mass balance</x:v>
      </x:c>
      <x:c r="D10" s="26" t="str">
        <x:v>kilowatts to 250 MW thermal</x:v>
      </x:c>
      <x:c r="E10" s="26" t="str">
        <x:v>Fuel-consumption plus oxygen calorimetry</x:v>
      </x:c>
      <x:c r="F10" s="26" t="str">
        <x:v>Every campaign with calibration burns</x:v>
      </x:c>
      <x:c r="G10" s="26" t="str">
        <x:v>Capture plume and rapid combustion dynamics</x:v>
      </x:c>
      <x:c r="H10" s="26" t="str">
        <x:v>Heat release and species uncertainty versus time</x:v>
      </x:c>
      <x:c r="I10" s="26" t="str">
        <x:v>Fire range data office</x:v>
      </x:c>
      <x:c r="J10" s="26" t="str">
        <x:v>Sensor saturation and emission-control upset</x:v>
      </x:c>
      <x:c r="K10" s="26" t="str">
        <x:v>Is hazard control measured without losing emitted harm?</x:v>
      </x:c>
    </x:row>
    <x:row r="11">
      <x:c r="A11" s="26" t="str">
        <x:v>Water chemistry</x:v>
      </x:c>
      <x:c r="B11" s="26" t="str">
        <x:v>Analytes, toxicity, biological state and residuals</x:v>
      </x:c>
      <x:c r="C11" s="26" t="str">
        <x:v>Certified materials, blanks and orthogonal assays</x:v>
      </x:c>
      <x:c r="D11" s="26" t="str">
        <x:v>trace to gross contamination</x:v>
      </x:c>
      <x:c r="E11" s="26" t="str">
        <x:v>Independent split samples and toxicity screen</x:v>
      </x:c>
      <x:c r="F11" s="26" t="str">
        <x:v>Per batch, shift and product release</x:v>
      </x:c>
      <x:c r="G11" s="26" t="str">
        <x:v>Continuous critical attributes plus custody samples</x:v>
      </x:c>
      <x:c r="H11" s="26" t="str">
        <x:v>Detection limits, recovery and false release</x:v>
      </x:c>
      <x:c r="I11" s="26" t="str">
        <x:v>Independent quality authority</x:v>
      </x:c>
      <x:c r="J11" s="26" t="str">
        <x:v>Unknown interferent and breakthrough</x:v>
      </x:c>
      <x:c r="K11" s="26" t="str">
        <x:v>Is product safe and residual fate closed?</x:v>
      </x:c>
    </x:row>
    <x:row r="12">
      <x:c r="A12" s="26" t="str">
        <x:v>Structures/ground</x:v>
      </x:c>
      <x:c r="B12" s="26" t="str">
        <x:v>Load, displacement, strain, acceleration and damage</x:v>
      </x:c>
      <x:c r="C12" s="26" t="str">
        <x:v>Force, displacement and inertial standards</x:v>
      </x:c>
      <x:c r="D12" s="26" t="str">
        <x:v>microstrain to collapse</x:v>
      </x:c>
      <x:c r="E12" s="26" t="str">
        <x:v>NDE and alternate sensor physics</x:v>
      </x:c>
      <x:c r="F12" s="26" t="str">
        <x:v>Per article and after damage/repair</x:v>
      </x:c>
      <x:c r="G12" s="26" t="str">
        <x:v>Resolve fracture, impact and soil response</x:v>
      </x:c>
      <x:c r="H12" s="26" t="str">
        <x:v>Load-path and damage-state uncertainty</x:v>
      </x:c>
      <x:c r="I12" s="26" t="str">
        <x:v>Structures range data office</x:v>
      </x:c>
      <x:c r="J12" s="26" t="str">
        <x:v>Hidden defect and sensor false-safe</x:v>
      </x:c>
      <x:c r="K12" s="26" t="str">
        <x:v>Can repair and new operating limit be justified?</x:v>
      </x:c>
    </x:row>
    <x:row r="13">
      <x:c r="A13" s="26" t="str">
        <x:v>Human/workforce</x:v>
      </x:c>
      <x:c r="B13" s="26" t="str">
        <x:v>Exposure, workload, error, fatigue and recovery</x:v>
      </x:c>
      <x:c r="C13" s="26" t="str">
        <x:v>Industrial hygiene and validated human-factors instruments</x:v>
      </x:c>
      <x:c r="D13" s="26" t="str">
        <x:v>minutes to 90-day deployment</x:v>
      </x:c>
      <x:c r="E13" s="26" t="str">
        <x:v>Independent observers and biomonitoring where lawful</x:v>
      </x:c>
      <x:c r="F13" s="26" t="str">
        <x:v>Baseline, repeated shift and post-campaign</x:v>
      </x:c>
      <x:c r="G13" s="26" t="str">
        <x:v>Capture peaks and cumulative dose</x:v>
      </x:c>
      <x:c r="H13" s="26" t="str">
        <x:v>Individual and group uncertainty with privacy</x:v>
      </x:c>
      <x:c r="I13" s="26" t="str">
        <x:v>Protected health custodian</x:v>
      </x:c>
      <x:c r="J13" s="26" t="str">
        <x:v>Alarm overload and staffing loss</x:v>
      </x:c>
      <x:c r="K13" s="26" t="str">
        <x:v>Did technology reduce rather than redistribute responder harm?</x:v>
      </x:c>
    </x:row>
    <x:row r="14">
      <x:c r="A14" s="26" t="str">
        <x:v>Autonomy</x:v>
      </x:c>
      <x:c r="B14" s="26" t="str">
        <x:v>Task effect, near harm, intervention and recovery</x:v>
      </x:c>
      <x:c r="C14" s="26" t="str">
        <x:v>Instrumented truth course and seeded hazards</x:v>
      </x:c>
      <x:c r="D14" s="26" t="str">
        <x:v>single machine to mixed fleet</x:v>
      </x:c>
      <x:c r="E14" s="26" t="str">
        <x:v>Range marshals and independent perception</x:v>
      </x:c>
      <x:c r="F14" s="26" t="str">
        <x:v>Every software/model/configuration change</x:v>
      </x:c>
      <x:c r="G14" s="26" t="str">
        <x:v>Synchronized to control and human interaction</x:v>
      </x:c>
      <x:c r="H14" s="26" t="str">
        <x:v>Miss, false action and tail intervention time</x:v>
      </x:c>
      <x:c r="I14" s="26" t="str">
        <x:v>RTEA autonomy office</x:v>
      </x:c>
      <x:c r="J14" s="26" t="str">
        <x:v>Common model, link, identity and PNT loss</x:v>
      </x:c>
      <x:c r="K14" s="26" t="str">
        <x:v>Does useful effect improve without unauthorized contact?</x:v>
      </x:c>
    </x:row>
    <x:row r="15">
      <x:c r="A15" s="26" t="str">
        <x:v>Clinical/public effect</x:v>
      </x:c>
      <x:c r="B15" s="26" t="str">
        <x:v>Patient journey and population-service-time</x:v>
      </x:c>
      <x:c r="C15" s="26" t="str">
        <x:v>Independent clinical/public sampling and service definitions</x:v>
      </x:c>
      <x:c r="D15" s="26" t="str">
        <x:v>individual episode to 100,000-person equivalent</x:v>
      </x:c>
      <x:c r="E15" s="26" t="str">
        <x:v>Civil/clinical evaluators outside the operator</x:v>
      </x:c>
      <x:c r="F15" s="26" t="str">
        <x:v>Continuous during campaign and follow-up</x:v>
      </x:c>
      <x:c r="G15" s="26" t="str">
        <x:v>Resolve queues, subgroups and adverse events</x:v>
      </x:c>
      <x:c r="H15" s="26" t="str">
        <x:v>Outcome distribution and missingness</x:v>
      </x:c>
      <x:c r="I15" s="26" t="str">
        <x:v>Protected independent evaluator</x:v>
      </x:c>
      <x:c r="J15" s="26" t="str">
        <x:v>Priority inversion and record conflict</x:v>
      </x:c>
      <x:c r="K15" s="26" t="str">
        <x:v>Who benefited, who waited and who bore harm?</x:v>
      </x:c>
    </x:row>
    <x:row r="16">
      <x:c r="A16" s="26" t="str">
        <x:v>Manufacturing</x:v>
      </x:c>
      <x:c r="B16" s="26" t="str">
        <x:v>Configuration, process, lot and defect state</x:v>
      </x:c>
      <x:c r="C16" s="26" t="str">
        <x:v>Qualified artifacts, metrology and signed baselines</x:v>
      </x:c>
      <x:c r="D16" s="26" t="str">
        <x:v>single item to surge lot</x:v>
      </x:c>
      <x:c r="E16" s="26" t="str">
        <x:v>Independent incoming and destructive sample</x:v>
      </x:c>
      <x:c r="F16" s="26" t="str">
        <x:v>Per lot/process change and surveillance plan</x:v>
      </x:c>
      <x:c r="G16" s="26" t="str">
        <x:v>Detect meaningful process drift</x:v>
      </x:c>
      <x:c r="H16" s="26" t="str">
        <x:v>Yield, escape and equivalence uncertainty</x:v>
      </x:c>
      <x:c r="I16" s="26" t="str">
        <x:v>Manufacturing authority plus RTEA</x:v>
      </x:c>
      <x:c r="J16" s="26" t="str">
        <x:v>Wrong file and unapproved substitution</x:v>
      </x:c>
      <x:c r="K16" s="26" t="str">
        <x:v>Can another supplier reproduce safe output?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1" hidden="0" customWidth="1"/>
    <x:col min="3" max="3" width="50" hidden="0" customWidth="1"/>
    <x:col min="4" max="4" width="42" hidden="0" customWidth="1"/>
    <x:col min="5" max="5" width="45" hidden="0" customWidth="1"/>
    <x:col min="6" max="6" width="43" hidden="0" customWidth="1"/>
    <x:col min="7" max="7" width="43" hidden="0" customWidth="1"/>
    <x:col min="8" max="8" width="44" hidden="0" customWidth="1"/>
    <x:col min="9" max="9" width="42" hidden="0" customWidth="1"/>
    <x:col min="10" max="10" width="16" hidden="0" customWidth="1"/>
    <x:col min="11" max="11" width="50" hidden="0" customWidth="1"/>
  </x:cols>
  <x:sheetData>
    <x:row r="1">
      <x:c r="A1" s="75" t="str">
        <x:v>Facility safety cases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2">
      <x:c r="A2" s="76" t="str">
        <x:v>A range is allowed to fail test articles, not lose control of the experiment.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0" customHeight="1">
      <x:c r="A5" s="21" t="str">
        <x:v>Family</x:v>
      </x:c>
      <x:c r="B5" s="21" t="str">
        <x:v>Maximum credible event</x:v>
      </x:c>
      <x:c r="C5" s="21" t="str">
        <x:v>Preventive boundary</x:v>
      </x:c>
      <x:c r="D5" s="21" t="str">
        <x:v>Detection</x:v>
      </x:c>
      <x:c r="E5" s="21" t="str">
        <x:v>Independent stop</x:v>
      </x:c>
      <x:c r="F5" s="21" t="str">
        <x:v>Containment/exclusion</x:v>
      </x:c>
      <x:c r="G5" s="21" t="str">
        <x:v>Emergency response</x:v>
      </x:c>
      <x:c r="H5" s="21" t="str">
        <x:v>Restart evidence</x:v>
      </x:c>
      <x:c r="I5" s="21" t="str">
        <x:v>Approval authority</x:v>
      </x:c>
      <x:c r="J5" s="21" t="str">
        <x:v>Current state</x:v>
      </x:c>
      <x:c r="K5" s="21" t="str">
        <x:v>Unclosed design</x:v>
      </x:c>
    </x:row>
    <x:row r="6">
      <x:c r="A6" s="26" t="str">
        <x:v>Earth intelligence and decision</x:v>
      </x:c>
      <x:c r="B6" s="26" t="str">
        <x:v>Corrupted national state drives unsafe cross-service action</x:v>
      </x:c>
      <x:c r="C6" s="26" t="str">
        <x:v>Data partitions and action sandbox</x:v>
      </x:c>
      <x:c r="D6" s="26" t="str">
        <x:v>Independent sensors with predeclared trip thresholds</x:v>
      </x:c>
      <x:c r="E6" s="26" t="str">
        <x:v>RTEA range officer has physically independent stop path</x:v>
      </x:c>
      <x:c r="F6" s="26" t="str">
        <x:v>Layered local containment plus conservative public exclusion</x:v>
      </x:c>
      <x:c r="G6" s="26" t="str">
        <x:v>Dedicated on-site team and mutual-aid plan tested before hazardous campaign</x:v>
      </x:c>
      <x:c r="H6" s="26" t="str">
        <x:v>Anomaly closure, inspection, replenishment and independent restart decision</x:v>
      </x:c>
      <x:c r="I6" s="26" t="str">
        <x:v>RTEA safety authority plus relevant civil/regulatory authority</x:v>
      </x:c>
      <x:c r="J6" s="59" t="str">
        <x:v>OPEN</x:v>
      </x:c>
      <x:c r="K6" s="26" t="str">
        <x:v>Action sandbox scale and adversarial access</x:v>
      </x:c>
    </x:row>
    <x:row r="7">
      <x:c r="A7" s="26" t="str">
        <x:v>Fire and atmospheric</x:v>
      </x:c>
      <x:c r="B7" s="26" t="str">
        <x:v>Outdoor crown/structure fire exceeds air/emission boundary</x:v>
      </x:c>
      <x:c r="C7" s="26" t="str">
        <x:v>Fuel/area/weather limit and emissions capacity</x:v>
      </x:c>
      <x:c r="D7" s="26" t="str">
        <x:v>Independent sensors with predeclared trip thresholds</x:v>
      </x:c>
      <x:c r="E7" s="26" t="str">
        <x:v>RTEA range officer has physically independent stop path</x:v>
      </x:c>
      <x:c r="F7" s="26" t="str">
        <x:v>Layered local containment plus conservative public exclusion</x:v>
      </x:c>
      <x:c r="G7" s="26" t="str">
        <x:v>Dedicated on-site team and mutual-aid plan tested before hazardous campaign</x:v>
      </x:c>
      <x:c r="H7" s="26" t="str">
        <x:v>Anomaly closure, inspection, replenishment and independent restart decision</x:v>
      </x:c>
      <x:c r="I7" s="26" t="str">
        <x:v>RTEA safety authority plus relevant civil/regulatory authority</x:v>
      </x:c>
      <x:c r="J7" s="59" t="str">
        <x:v>OPEN</x:v>
      </x:c>
      <x:c r="K7" s="26" t="str">
        <x:v>250 MW emissions and outdoor escape model</x:v>
      </x:c>
    </x:row>
    <x:row r="8">
      <x:c r="A8" s="26" t="str">
        <x:v>Hydraulics and coast</x:v>
      </x:c>
      <x:c r="B8" s="26" t="str">
        <x:v>Uncontrolled five-million-m3 water release or embankment failure</x:v>
      </x:c>
      <x:c r="C8" s="26" t="str">
        <x:v>Redundant gates, freeboard and geotechnical surveillance</x:v>
      </x:c>
      <x:c r="D8" s="26" t="str">
        <x:v>Independent sensors with predeclared trip thresholds</x:v>
      </x:c>
      <x:c r="E8" s="26" t="str">
        <x:v>RTEA range officer has physically independent stop path</x:v>
      </x:c>
      <x:c r="F8" s="26" t="str">
        <x:v>Layered local containment plus conservative public exclusion</x:v>
      </x:c>
      <x:c r="G8" s="26" t="str">
        <x:v>Dedicated on-site team and mutual-aid plan tested before hazardous campaign</x:v>
      </x:c>
      <x:c r="H8" s="26" t="str">
        <x:v>Anomaly closure, inspection, replenishment and independent restart decision</x:v>
      </x:c>
      <x:c r="I8" s="26" t="str">
        <x:v>RTEA safety authority plus relevant civil/regulatory authority</x:v>
      </x:c>
      <x:c r="J8" s="59" t="str">
        <x:v>OPEN</x:v>
      </x:c>
      <x:c r="K8" s="26" t="str">
        <x:v>Dam-break analysis, water balance and downstream consequence</x:v>
      </x:c>
    </x:row>
    <x:row r="9">
      <x:c r="A9" s="26" t="str">
        <x:v>Water and environmental process</x:v>
      </x:c>
      <x:c r="B9" s="26" t="str">
        <x:v>Challenge agent or transformation product escapes closed loop</x:v>
      </x:c>
      <x:c r="C9" s="26" t="str">
        <x:v>Surrogate policy, negative pressure and terminal treatment</x:v>
      </x:c>
      <x:c r="D9" s="26" t="str">
        <x:v>Independent sensors with predeclared trip thresholds</x:v>
      </x:c>
      <x:c r="E9" s="26" t="str">
        <x:v>RTEA range officer has physically independent stop path</x:v>
      </x:c>
      <x:c r="F9" s="26" t="str">
        <x:v>Layered local containment plus conservative public exclusion</x:v>
      </x:c>
      <x:c r="G9" s="26" t="str">
        <x:v>Dedicated on-site team and mutual-aid plan tested before hazardous campaign</x:v>
      </x:c>
      <x:c r="H9" s="26" t="str">
        <x:v>Anomaly closure, inspection, replenishment and independent restart decision</x:v>
      </x:c>
      <x:c r="I9" s="26" t="str">
        <x:v>RTEA safety authority plus relevant civil/regulatory authority</x:v>
      </x:c>
      <x:c r="J9" s="59" t="str">
        <x:v>OPEN</x:v>
      </x:c>
      <x:c r="K9" s="26" t="str">
        <x:v>Agent list, aerosol/waste fate and analytical detection</x:v>
      </x:c>
    </x:row>
    <x:row r="10">
      <x:c r="A10" s="26" t="str">
        <x:v>Grid and thermal</x:v>
      </x:c>
      <x:c r="B10" s="26" t="str">
        <x:v>Arc/blast/fire or unstable export crosses utility boundary</x:v>
      </x:c>
      <x:c r="C10" s="26" t="str">
        <x:v>Protection zones, fault-limited source and physical separation</x:v>
      </x:c>
      <x:c r="D10" s="26" t="str">
        <x:v>Independent sensors with predeclared trip thresholds</x:v>
      </x:c>
      <x:c r="E10" s="26" t="str">
        <x:v>RTEA range officer has physically independent stop path</x:v>
      </x:c>
      <x:c r="F10" s="26" t="str">
        <x:v>Layered local containment plus conservative public exclusion</x:v>
      </x:c>
      <x:c r="G10" s="26" t="str">
        <x:v>Dedicated on-site team and mutual-aid plan tested before hazardous campaign</x:v>
      </x:c>
      <x:c r="H10" s="26" t="str">
        <x:v>Anomaly closure, inspection, replenishment and independent restart decision</x:v>
      </x:c>
      <x:c r="I10" s="26" t="str">
        <x:v>RTEA safety authority plus relevant civil/regulatory authority</x:v>
      </x:c>
      <x:c r="J10" s="59" t="str">
        <x:v>OPEN</x:v>
      </x:c>
      <x:c r="K10" s="26" t="str">
        <x:v>300 MW fault duty, energy sink and utility operating agreement</x:v>
      </x:c>
    </x:row>
    <x:row r="11">
      <x:c r="A11" s="26" t="str">
        <x:v>Health and bioresponse</x:v>
      </x:c>
      <x:c r="B11" s="26" t="str">
        <x:v>Containment breach, unsafe product or participant exposure</x:v>
      </x:c>
      <x:c r="C11" s="26" t="str">
        <x:v>Facility zoning, validated containment and independent release</x:v>
      </x:c>
      <x:c r="D11" s="26" t="str">
        <x:v>Independent sensors with predeclared trip thresholds</x:v>
      </x:c>
      <x:c r="E11" s="26" t="str">
        <x:v>RTEA range officer has physically independent stop path</x:v>
      </x:c>
      <x:c r="F11" s="26" t="str">
        <x:v>Layered local containment plus conservative public exclusion</x:v>
      </x:c>
      <x:c r="G11" s="26" t="str">
        <x:v>Dedicated on-site team and mutual-aid plan tested before hazardous campaign</x:v>
      </x:c>
      <x:c r="H11" s="26" t="str">
        <x:v>Anomaly closure, inspection, replenishment and independent restart decision</x:v>
      </x:c>
      <x:c r="I11" s="26" t="str">
        <x:v>RTEA safety authority plus relevant civil/regulatory authority</x:v>
      </x:c>
      <x:c r="J11" s="59" t="str">
        <x:v>OPEN</x:v>
      </x:c>
      <x:c r="K11" s="26" t="str">
        <x:v>Containment class, participant ethics and waste kill</x:v>
      </x:c>
    </x:row>
    <x:row r="12">
      <x:c r="A12" s="26" t="str">
        <x:v>Built environment and ground</x:v>
      </x:c>
      <x:c r="B12" s="26" t="str">
        <x:v>Full-scale collapse or stored-energy release outside reaction/exclusion system</x:v>
      </x:c>
      <x:c r="C12" s="26" t="str">
        <x:v>Reaction design, remote operation and debris trajectory limit</x:v>
      </x:c>
      <x:c r="D12" s="26" t="str">
        <x:v>Independent sensors with predeclared trip thresholds</x:v>
      </x:c>
      <x:c r="E12" s="26" t="str">
        <x:v>RTEA range officer has physically independent stop path</x:v>
      </x:c>
      <x:c r="F12" s="26" t="str">
        <x:v>Layered local containment plus conservative public exclusion</x:v>
      </x:c>
      <x:c r="G12" s="26" t="str">
        <x:v>Dedicated on-site team and mutual-aid plan tested before hazardous campaign</x:v>
      </x:c>
      <x:c r="H12" s="26" t="str">
        <x:v>Anomaly closure, inspection, replenishment and independent restart decision</x:v>
      </x:c>
      <x:c r="I12" s="26" t="str">
        <x:v>RTEA safety authority plus relevant civil/regulatory authority</x:v>
      </x:c>
      <x:c r="J12" s="59" t="str">
        <x:v>OPEN</x:v>
      </x:c>
      <x:c r="K12" s="26" t="str">
        <x:v>10,000 t reaction/stored-energy and debris reuse</x:v>
      </x:c>
    </x:row>
    <x:row r="13">
      <x:c r="A13" s="26" t="str">
        <x:v>Mobility, access and autonomy</x:v>
      </x:c>
      <x:c r="B13" s="26" t="str">
        <x:v>Autonomous fleet contacts people or leaves controlled domain</x:v>
      </x:c>
      <x:c r="C13" s="26" t="str">
        <x:v>Geofence, speed/energy class and independent marshals</x:v>
      </x:c>
      <x:c r="D13" s="26" t="str">
        <x:v>Independent sensors with predeclared trip thresholds</x:v>
      </x:c>
      <x:c r="E13" s="26" t="str">
        <x:v>RTEA range officer has physically independent stop path</x:v>
      </x:c>
      <x:c r="F13" s="26" t="str">
        <x:v>Layered local containment plus conservative public exclusion</x:v>
      </x:c>
      <x:c r="G13" s="26" t="str">
        <x:v>Dedicated on-site team and mutual-aid plan tested before hazardous campaign</x:v>
      </x:c>
      <x:c r="H13" s="26" t="str">
        <x:v>Anomaly closure, inspection, replenishment and independent restart decision</x:v>
      </x:c>
      <x:c r="I13" s="26" t="str">
        <x:v>RTEA safety authority plus relevant civil/regulatory authority</x:v>
      </x:c>
      <x:c r="J13" s="59" t="str">
        <x:v>OPEN</x:v>
      </x:c>
      <x:c r="K13" s="26" t="str">
        <x:v>Mixed public-interface simulation and aviation/marine separation</x:v>
      </x:c>
    </x:row>
    <x:row r="14">
      <x:c r="A14" s="26" t="str">
        <x:v>Manufacturing and mobilization</x:v>
      </x:c>
      <x:c r="B14" s="26" t="str">
        <x:v>Common latent defect escapes alternate supplier campaign</x:v>
      </x:c>
      <x:c r="C14" s="26" t="str">
        <x:v>Quarantine, split lots and independent baseline</x:v>
      </x:c>
      <x:c r="D14" s="26" t="str">
        <x:v>Independent sensors with predeclared trip thresholds</x:v>
      </x:c>
      <x:c r="E14" s="26" t="str">
        <x:v>RTEA range officer has physically independent stop path</x:v>
      </x:c>
      <x:c r="F14" s="26" t="str">
        <x:v>Layered local containment plus conservative public exclusion</x:v>
      </x:c>
      <x:c r="G14" s="26" t="str">
        <x:v>Dedicated on-site team and mutual-aid plan tested before hazardous campaign</x:v>
      </x:c>
      <x:c r="H14" s="26" t="str">
        <x:v>Anomaly closure, inspection, replenishment and independent restart decision</x:v>
      </x:c>
      <x:c r="I14" s="26" t="str">
        <x:v>RTEA safety authority plus relevant civil/regulatory authority</x:v>
      </x:c>
      <x:c r="J14" s="59" t="str">
        <x:v>OPEN</x:v>
      </x:c>
      <x:c r="K14" s="26" t="str">
        <x:v>Ten-line process hazards and cybersecurity separation</x:v>
      </x:c>
    </x:row>
    <x:row r="15">
      <x:c r="A15" s="26" t="str">
        <x:v>Joint mission and public effect</x:v>
      </x:c>
      <x:c r="B15" s="26" t="str">
        <x:v>Exercise action harms participants or neighboring community</x:v>
      </x:c>
      <x:c r="C15" s="26" t="str">
        <x:v>No involuntary exposure; bounded physical loads and civil control</x:v>
      </x:c>
      <x:c r="D15" s="26" t="str">
        <x:v>Independent sensors with predeclared trip thresholds</x:v>
      </x:c>
      <x:c r="E15" s="26" t="str">
        <x:v>RTEA range officer has physically independent stop path</x:v>
      </x:c>
      <x:c r="F15" s="26" t="str">
        <x:v>Layered local containment plus conservative public exclusion</x:v>
      </x:c>
      <x:c r="G15" s="26" t="str">
        <x:v>Dedicated on-site team and mutual-aid plan tested before hazardous campaign</x:v>
      </x:c>
      <x:c r="H15" s="26" t="str">
        <x:v>Anomaly closure, inspection, replenishment and independent restart decision</x:v>
      </x:c>
      <x:c r="I15" s="26" t="str">
        <x:v>RTEA safety authority plus relevant civil/regulatory authority</x:v>
      </x:c>
      <x:c r="J15" s="59" t="str">
        <x:v>OPEN</x:v>
      </x:c>
      <x:c r="K15" s="26" t="str">
        <x:v>Synthetic population fidelity and welfare/neighbor boundary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40" hidden="0" customWidth="1"/>
    <x:col min="4" max="4" width="43" hidden="0" customWidth="1"/>
    <x:col min="5" max="5" width="44" hidden="0" customWidth="1"/>
    <x:col min="6" max="6" width="50" hidden="0" customWidth="1"/>
    <x:col min="7" max="7" width="34" hidden="0" customWidth="1"/>
    <x:col min="8" max="8" width="42" hidden="0" customWidth="1"/>
    <x:col min="9" max="9" width="42" hidden="0" customWidth="1"/>
    <x:col min="10" max="10" width="43" hidden="0" customWidth="1"/>
    <x:col min="11" max="11" width="50" hidden="0" customWidth="1"/>
  </x:cols>
  <x:sheetData>
    <x:row r="1">
      <x:c r="A1" s="75" t="str">
        <x:v>Environmental control and restoration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2">
      <x:c r="A2" s="76" t="str">
        <x:v>Every test has a material, energy, emission, water and site-restoration balance.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0" customHeight="1">
      <x:c r="A5" s="21" t="str">
        <x:v>Family</x:v>
      </x:c>
      <x:c r="B5" s="21" t="str">
        <x:v>Inputs requiring custody</x:v>
      </x:c>
      <x:c r="C5" s="21" t="str">
        <x:v>Air pathway</x:v>
      </x:c>
      <x:c r="D5" s="21" t="str">
        <x:v>Water pathway</x:v>
      </x:c>
      <x:c r="E5" s="21" t="str">
        <x:v>Solid/residual pathway</x:v>
      </x:c>
      <x:c r="F5" s="21" t="str">
        <x:v>Ecological/community boundary</x:v>
      </x:c>
      <x:c r="G5" s="21" t="str">
        <x:v>Monitoring duration</x:v>
      </x:c>
      <x:c r="H5" s="21" t="str">
        <x:v>Restoration reserve</x:v>
      </x:c>
      <x:c r="I5" s="21" t="str">
        <x:v>Stop trigger</x:v>
      </x:c>
      <x:c r="J5" s="21" t="str">
        <x:v>Release authority</x:v>
      </x:c>
      <x:c r="K5" s="21" t="str">
        <x:v>Open question</x:v>
      </x:c>
    </x:row>
    <x:row r="6">
      <x:c r="A6" s="26" t="str">
        <x:v>Earth intelligence and decision</x:v>
      </x:c>
      <x:c r="B6" s="26" t="str">
        <x:v>Protected infrastructure and population data</x:v>
      </x:c>
      <x:c r="C6" s="26" t="str">
        <x:v>Cooling and backup generation emissions</x:v>
      </x:c>
      <x:c r="D6" s="26" t="str">
        <x:v>Cooling/process discharge</x:v>
      </x:c>
      <x:c r="E6" s="26" t="str">
        <x:v>Electronic and battery waste</x:v>
      </x:c>
      <x:c r="F6" s="26" t="str">
        <x:v>Privacy, energy and data-center host burden</x:v>
      </x:c>
      <x:c r="G6" s="26" t="str">
        <x:v>Operation plus retention period</x:v>
      </x:c>
      <x:c r="H6" s="26" t="str">
        <x:v>Data migration and equipment retirement</x:v>
      </x:c>
      <x:c r="I6" s="26" t="str">
        <x:v>Unauthorized disclosure or uncontrolled model action</x:v>
      </x:c>
      <x:c r="J6" s="26" t="str">
        <x:v>Data owner and public assurance authority</x:v>
      </x:c>
      <x:c r="K6" s="26" t="str">
        <x:v>How is dissent preserved when models are retired?</x:v>
      </x:c>
    </x:row>
    <x:row r="7">
      <x:c r="A7" s="26" t="str">
        <x:v>Fire and atmospheric</x:v>
      </x:c>
      <x:c r="B7" s="26" t="str">
        <x:v>Fuel, vegetation, structures and suppression agents</x:v>
      </x:c>
      <x:c r="C7" s="26" t="str">
        <x:v>Smoke, toxics, particulates and greenhouse gases</x:v>
      </x:c>
      <x:c r="D7" s="26" t="str">
        <x:v>Agent and ash runoff</x:v>
      </x:c>
      <x:c r="E7" s="26" t="str">
        <x:v>Ash, burned articles and contaminated filters</x:v>
      </x:c>
      <x:c r="F7" s="26" t="str">
        <x:v>Prescribed-fire ecology, smoke burden and neighbors</x:v>
      </x:c>
      <x:c r="G7" s="26" t="str">
        <x:v>Baseline through post-burn recovery</x:v>
      </x:c>
      <x:c r="H7" s="26" t="str">
        <x:v>Fuel treatment and site rehabilitation</x:v>
      </x:c>
      <x:c r="I7" s="26" t="str">
        <x:v>Emission-control exceedance or escape potential</x:v>
      </x:c>
      <x:c r="J7" s="26" t="str">
        <x:v>Air/environmental authority plus range safety</x:v>
      </x:c>
      <x:c r="K7" s="26" t="str">
        <x:v>What indoor/outdoor mix yields valid scale with least harm?</x:v>
      </x:c>
    </x:row>
    <x:row r="8">
      <x:c r="A8" s="26" t="str">
        <x:v>Hydraulics and coast</x:v>
      </x:c>
      <x:c r="B8" s="26" t="str">
        <x:v>Stored water, sediment, soil, structures and tracers</x:v>
      </x:c>
      <x:c r="C8" s="26" t="str">
        <x:v>Pump/plant emissions and aerosol</x:v>
      </x:c>
      <x:c r="D8" s="26" t="str">
        <x:v>Closed source/test/catch mass balance</x:v>
      </x:c>
      <x:c r="E8" s="26" t="str">
        <x:v>Sediment, debris and failed barriers</x:v>
      </x:c>
      <x:c r="F8" s="26" t="str">
        <x:v>Groundwater, habitat and no downstream population path</x:v>
      </x:c>
      <x:c r="G8" s="26" t="str">
        <x:v>Pre-test through pore-pressure and habitat recovery</x:v>
      </x:c>
      <x:c r="H8" s="26" t="str">
        <x:v>Regrade, stabilize and treat water/sediment</x:v>
      </x:c>
      <x:c r="I8" s="26" t="str">
        <x:v>Unaccounted water, slope movement or containment loss</x:v>
      </x:c>
      <x:c r="J8" s="26" t="str">
        <x:v>Water/environmental authority plus dam safety</x:v>
      </x:c>
      <x:c r="K8" s="26" t="str">
        <x:v>Can 250 m3/s be cycled without unacceptable energy/ecology?</x:v>
      </x:c>
    </x:row>
    <x:row r="9">
      <x:c r="A9" s="26" t="str">
        <x:v>Water and environmental process</x:v>
      </x:c>
      <x:c r="B9" s="26" t="str">
        <x:v>Source water, surrogate agents, media and reagents</x:v>
      </x:c>
      <x:c r="C9" s="26" t="str">
        <x:v>Aerosol and volatile transformation products</x:v>
      </x:c>
      <x:c r="D9" s="26" t="str">
        <x:v>Segregated challenge/product/waste loops</x:v>
      </x:c>
      <x:c r="E9" s="26" t="str">
        <x:v>Concentrate, media, sludge and lab waste</x:v>
      </x:c>
      <x:c r="F9" s="26" t="str">
        <x:v>No unreviewed organism/agent; receiving utility protection</x:v>
      </x:c>
      <x:c r="G9" s="26" t="str">
        <x:v>Until product and residual disposition close</x:v>
      </x:c>
      <x:c r="H9" s="26" t="str">
        <x:v>Terminal treatment and analytical archive</x:v>
      </x:c>
      <x:c r="I9" s="26" t="str">
        <x:v>Unexpected toxicity or treatment escape</x:v>
      </x:c>
      <x:c r="J9" s="26" t="str">
        <x:v>Independent quality and environmental authorities</x:v>
      </x:c>
      <x:c r="K9" s="26" t="str">
        <x:v>Which surrogates preserve mechanism without excessive hazard?</x:v>
      </x:c>
    </x:row>
    <x:row r="10">
      <x:c r="A10" s="26" t="str">
        <x:v>Grid and thermal</x:v>
      </x:c>
      <x:c r="B10" s="26" t="str">
        <x:v>Fuel, batteries, refrigerants and power equipment</x:v>
      </x:c>
      <x:c r="C10" s="26" t="str">
        <x:v>Combustion, fire and refrigerant release</x:v>
      </x:c>
      <x:c r="D10" s="26" t="str">
        <x:v>Cooling and firewater</x:v>
      </x:c>
      <x:c r="E10" s="26" t="str">
        <x:v>Damaged cells, transformers and contaminated soil</x:v>
      </x:c>
      <x:c r="F10" s="26" t="str">
        <x:v>Noise, electromagnetic and utility-neighbor effects</x:v>
      </x:c>
      <x:c r="G10" s="26" t="str">
        <x:v>Fault event through fire/environmental clearance</x:v>
      </x:c>
      <x:c r="H10" s="26" t="str">
        <x:v>Hazardous material recovery and soil remediation</x:v>
      </x:c>
      <x:c r="I10" s="26" t="str">
        <x:v>Protection-zone breach or uncontrolled export</x:v>
      </x:c>
      <x:c r="J10" s="26" t="str">
        <x:v>Utility, fire and environmental authorities</x:v>
      </x:c>
      <x:c r="K10" s="26" t="str">
        <x:v>How much energy must be physically dissipated versus emulated?</x:v>
      </x:c>
    </x:row>
    <x:row r="11">
      <x:c r="A11" s="26" t="str">
        <x:v>Health and bioresponse</x:v>
      </x:c>
      <x:c r="B11" s="26" t="str">
        <x:v>Clinical materials, biological agents/surrogates and pharmaceuticals</x:v>
      </x:c>
      <x:c r="C11" s="26" t="str">
        <x:v>Containment exhaust and anesthetic/process gases</x:v>
      </x:c>
      <x:c r="D11" s="26" t="str">
        <x:v>Clinical/process wastewater and kill systems</x:v>
      </x:c>
      <x:c r="E11" s="26" t="str">
        <x:v>Sharps, infectious, pharmaceutical and production waste</x:v>
      </x:c>
      <x:c r="F11" s="26" t="str">
        <x:v>Participant rights, workforce health and surrounding community</x:v>
      </x:c>
      <x:c r="G11" s="26" t="str">
        <x:v>Protocol follow-up plus containment surveillance</x:v>
      </x:c>
      <x:c r="H11" s="26" t="str">
        <x:v>Decontamination, decommission and protected record custody</x:v>
      </x:c>
      <x:c r="I11" s="26" t="str">
        <x:v>Containment or independent release failure</x:v>
      </x:c>
      <x:c r="J11" s="26" t="str">
        <x:v>Biosafety, clinical, ethics and environmental authorities</x:v>
      </x:c>
      <x:c r="K11" s="26" t="str">
        <x:v>What work requires BSL-4 versus separate partner/reference evidence?</x:v>
      </x:c>
    </x:row>
    <x:row r="12">
      <x:c r="A12" s="26" t="str">
        <x:v>Built environment and ground</x:v>
      </x:c>
      <x:c r="B12" s="26" t="str">
        <x:v>Concrete, steel, composites, soils and hydraulic fluids</x:v>
      </x:c>
      <x:c r="C12" s="26" t="str">
        <x:v>Dust and equipment emissions</x:v>
      </x:c>
      <x:c r="D12" s="26" t="str">
        <x:v>Slurry, curing water and runoff</x:v>
      </x:c>
      <x:c r="E12" s="26" t="str">
        <x:v>High-volume debris and test articles</x:v>
      </x:c>
      <x:c r="F12" s="26" t="str">
        <x:v>Noise, vibration, dust and material extraction burden</x:v>
      </x:c>
      <x:c r="G12" s="26" t="str">
        <x:v>Construction through stabilization/restoration</x:v>
      </x:c>
      <x:c r="H12" s="26" t="str">
        <x:v>Material recovery and reusable reaction systems</x:v>
      </x:c>
      <x:c r="I12" s="26" t="str">
        <x:v>Unexpected crack, projectile or ground movement</x:v>
      </x:c>
      <x:c r="J12" s="26" t="str">
        <x:v>Structural/geotechnical safety and environmental authorities</x:v>
      </x:c>
      <x:c r="K12" s="26" t="str">
        <x:v>Can destructive throughput coexist with high material reuse?</x:v>
      </x:c>
    </x:row>
    <x:row r="13">
      <x:c r="A13" s="26" t="str">
        <x:v>Mobility, access and autonomy</x:v>
      </x:c>
      <x:c r="B13" s="26" t="str">
        <x:v>Vehicles, fuels, batteries, debris and water</x:v>
      </x:c>
      <x:c r="C13" s="26" t="str">
        <x:v>Exhaust, smoke simulants and dust</x:v>
      </x:c>
      <x:c r="D13" s="26" t="str">
        <x:v>Flood-basin water and spills</x:v>
      </x:c>
      <x:c r="E13" s="26" t="str">
        <x:v>Destroyed vehicles, tires, batteries and debris</x:v>
      </x:c>
      <x:c r="F13" s="26" t="str">
        <x:v>Noise, wake, wildlife, airspace and neighboring transport</x:v>
      </x:c>
      <x:c r="G13" s="26" t="str">
        <x:v>Campaign through terrain/water restoration</x:v>
      </x:c>
      <x:c r="H13" s="26" t="str">
        <x:v>Recoverable obstacles and reusable terrain design</x:v>
      </x:c>
      <x:c r="I13" s="26" t="str">
        <x:v>Domain escape, spill or public-interface breach</x:v>
      </x:c>
      <x:c r="J13" s="26" t="str">
        <x:v>Aviation/marine/road and environmental authorities</x:v>
      </x:c>
      <x:c r="K13" s="26" t="str">
        <x:v>How much realism requires destructive terrain and live public actors?</x:v>
      </x:c>
    </x:row>
    <x:row r="14">
      <x:c r="A14" s="26" t="str">
        <x:v>Manufacturing and mobilization</x:v>
      </x:c>
      <x:c r="B14" s="26" t="str">
        <x:v>Raw materials, chemicals, designs and supplier data</x:v>
      </x:c>
      <x:c r="C14" s="26" t="str">
        <x:v>Process emissions</x:v>
      </x:c>
      <x:c r="D14" s="26" t="str">
        <x:v>Process water and cleaning waste</x:v>
      </x:c>
      <x:c r="E14" s="26" t="str">
        <x:v>Scrap, off-spec lots and hazardous residuals</x:v>
      </x:c>
      <x:c r="F14" s="26" t="str">
        <x:v>Worker, supplier and host-community burden</x:v>
      </x:c>
      <x:c r="G14" s="26" t="str">
        <x:v>Lot life plus latent-defect surveillance</x:v>
      </x:c>
      <x:c r="H14" s="26" t="str">
        <x:v>Material recycling and line decontamination</x:v>
      </x:c>
      <x:c r="I14" s="26" t="str">
        <x:v>Unknown substitution or uncontrolled release</x:v>
      </x:c>
      <x:c r="J14" s="26" t="str">
        <x:v>Process safety, quality and environmental authorities</x:v>
      </x:c>
      <x:c r="K14" s="26" t="str">
        <x:v>How are cold-start lots used without distorting the market?</x:v>
      </x:c>
    </x:row>
    <x:row r="15">
      <x:c r="A15" s="26" t="str">
        <x:v>Joint mission and public effect</x:v>
      </x:c>
      <x:c r="B15" s="26" t="str">
        <x:v>Fuel, water, food, medical supplies and constructed damage</x:v>
      </x:c>
      <x:c r="C15" s="26" t="str">
        <x:v>Fleet, generator, fire/smoke simulation emissions</x:v>
      </x:c>
      <x:c r="D15" s="26" t="str">
        <x:v>Municipal-scale water/wastewater loops</x:v>
      </x:c>
      <x:c r="E15" s="26" t="str">
        <x:v>Debris, food, clinical and maintenance waste</x:v>
      </x:c>
      <x:c r="F15" s="26" t="str">
        <x:v>Participants, civil authority, accessibility and neighbor burden</x:v>
      </x:c>
      <x:c r="G15" s="26" t="str">
        <x:v>Before exercise through delayed outcome review</x:v>
      </x:c>
      <x:c r="H15" s="26" t="str">
        <x:v>Full utility/site restoration and participant support</x:v>
      </x:c>
      <x:c r="I15" s="26" t="str">
        <x:v>Welfare, authority or environmental threshold</x:v>
      </x:c>
      <x:c r="J15" s="26" t="str">
        <x:v>Civil incident authority plus independent exercise control</x:v>
      </x:c>
      <x:c r="K15" s="26" t="str">
        <x:v>How is population realism achieved without exposing people to hazard?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34" hidden="0" customWidth="1"/>
    <x:col min="3" max="3" width="47" hidden="0" customWidth="1"/>
    <x:col min="4" max="4" width="40" hidden="0" customWidth="1"/>
    <x:col min="5" max="5" width="15" hidden="0" customWidth="1"/>
    <x:col min="6" max="6" width="43" hidden="0" customWidth="1"/>
    <x:col min="7" max="7" width="56" hidden="0" customWidth="1"/>
    <x:col min="8" max="8" width="50" hidden="0" customWidth="1"/>
    <x:col min="9" max="9" width="18" hidden="0" customWidth="1"/>
    <x:col min="10" max="10" width="26" hidden="0" customWidth="1"/>
    <x:col min="11" max="11" width="16" hidden="0" customWidth="1"/>
    <x:col min="12" max="12" width="35" hidden="0" customWidth="1"/>
    <x:col min="13" max="13" width="15" hidden="0" customWidth="1"/>
  </x:cols>
  <x:sheetData>
    <x:row r="1">
      <x:c r="A1" s="75" t="str">
        <x:v>Initial campaign protocols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</x:row>
    <x:row r="2">
      <x:c r="A2" s="76" t="str">
        <x:v>Twenty cross-family campaigns define why each facility exists. Thresholds are hypotheses pending detailed statistical plans.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5" ht="30" customHeight="1">
      <x:c r="A5" s="21" t="str">
        <x:v>ID</x:v>
      </x:c>
      <x:c r="B5" s="21" t="str">
        <x:v>Family</x:v>
      </x:c>
      <x:c r="C5" s="21" t="str">
        <x:v>Campaign</x:v>
      </x:c>
      <x:c r="D5" s="21" t="str">
        <x:v>Scale/state</x:v>
      </x:c>
      <x:c r="E5" s="21" t="str">
        <x:v>Repetitions</x:v>
      </x:c>
      <x:c r="F5" s="21" t="str">
        <x:v>Primary metric</x:v>
      </x:c>
      <x:c r="G5" s="21" t="str">
        <x:v>Threshold hypothesis</x:v>
      </x:c>
      <x:c r="H5" s="21" t="str">
        <x:v>Seeded failure</x:v>
      </x:c>
      <x:c r="I5" s="21" t="str">
        <x:v>Evidence level</x:v>
      </x:c>
      <x:c r="J5" s="21" t="str">
        <x:v>Site class</x:v>
      </x:c>
      <x:c r="K5" s="21" t="str">
        <x:v>Earliest year</x:v>
      </x:c>
      <x:c r="L5" s="21" t="str">
        <x:v>Decision owner</x:v>
      </x:c>
      <x:c r="M5" s="21" t="str">
        <x:v>State</x:v>
      </x:c>
    </x:row>
    <x:row r="6">
      <x:c r="A6" s="26" t="str">
        <x:v>NP-01</x:v>
      </x:c>
      <x:c r="B6" s="26" t="str">
        <x:v>Earth intelligence and decision</x:v>
      </x:c>
      <x:c r="C6" s="26" t="str">
        <x:v>Prospective hazard-to-service decision tournament</x:v>
      </x:c>
      <x:c r="D6" s="26" t="str">
        <x:v>Blind historical then live seasons</x:v>
      </x:c>
      <x:c r="E6" s="27" t="n">
        <x:v>100</x:v>
      </x:c>
      <x:c r="F6" s="26" t="str">
        <x:v>Decision regret and calibration by tail/subgroup</x:v>
      </x:c>
      <x:c r="G6" s="27" t="str">
        <x:v>Improves predeclared decision score without tail harm</x:v>
      </x:c>
      <x:c r="H6" s="26" t="str">
        <x:v>Missing sensors, distribution shift and stale topology</x:v>
      </x:c>
      <x:c r="I6" s="26" t="str">
        <x:v>L0–L4</x:v>
      </x:c>
      <x:c r="J6" s="26" t="str">
        <x:v>Flagship plus nodes</x:v>
      </x:c>
      <x:c r="K6" s="26" t="n">
        <x:v>4</x:v>
      </x:c>
      <x:c r="L6" s="26" t="str">
        <x:v>National Laboratories + RTEA</x:v>
      </x:c>
      <x:c r="M6" s="26" t="str">
        <x:v>PLANNED</x:v>
      </x:c>
    </x:row>
    <x:row r="7">
      <x:c r="A7" s="26" t="str">
        <x:v>NP-02</x:v>
      </x:c>
      <x:c r="B7" s="26" t="str">
        <x:v>Earth intelligence and decision</x:v>
      </x:c>
      <x:c r="C7" s="26" t="str">
        <x:v>National observation partition and reconciliation</x:v>
      </x:c>
      <x:c r="D7" s="26" t="str">
        <x:v>Three disconnected regional state stores</x:v>
      </x:c>
      <x:c r="E7" s="27" t="n">
        <x:v>30</x:v>
      </x:c>
      <x:c r="F7" s="26" t="str">
        <x:v>Conflict loss and time to trusted common state</x:v>
      </x:c>
      <x:c r="G7" s="27" t="str">
        <x:v>No silent loss; authority and uncertainty preserved</x:v>
      </x:c>
      <x:c r="H7" s="26" t="str">
        <x:v>Clock, datum, identity and provenance conflict</x:v>
      </x:c>
      <x:c r="I7" s="26" t="str">
        <x:v>L2–L4</x:v>
      </x:c>
      <x:c r="J7" s="26" t="str">
        <x:v>Flagship + regional</x:v>
      </x:c>
      <x:c r="K7" s="26" t="n">
        <x:v>5</x:v>
      </x:c>
      <x:c r="L7" s="26" t="str">
        <x:v>RTEA observation office</x:v>
      </x:c>
      <x:c r="M7" s="26" t="str">
        <x:v>PLANNED</x:v>
      </x:c>
    </x:row>
    <x:row r="8">
      <x:c r="A8" s="26" t="str">
        <x:v>NP-03</x:v>
      </x:c>
      <x:c r="B8" s="26" t="str">
        <x:v>Fire and atmospheric</x:v>
      </x:c>
      <x:c r="C8" s="26" t="str">
        <x:v>Controlled 250 MW fire/emissions mass balance</x:v>
      </x:c>
      <x:c r="D8" s="26" t="str">
        <x:v>Indoor staged scale progression</x:v>
      </x:c>
      <x:c r="E8" s="27" t="n">
        <x:v>20</x:v>
      </x:c>
      <x:c r="F8" s="26" t="str">
        <x:v>Heat release and species closure</x:v>
      </x:c>
      <x:c r="G8" s="27" t="str">
        <x:v>Independent heat methods agree inside uncertainty; emissions contained</x:v>
      </x:c>
      <x:c r="H8" s="26" t="str">
        <x:v>Calorimeter saturation and exhaust upset</x:v>
      </x:c>
      <x:c r="I8" s="26" t="str">
        <x:v>L1–L3</x:v>
      </x:c>
      <x:c r="J8" s="26" t="str">
        <x:v>Flagship</x:v>
      </x:c>
      <x:c r="K8" s="26" t="n">
        <x:v>7</x:v>
      </x:c>
      <x:c r="L8" s="26" t="str">
        <x:v>RTEA fire safety</x:v>
      </x:c>
      <x:c r="M8" s="26" t="str">
        <x:v>PLANNED</x:v>
      </x:c>
    </x:row>
    <x:row r="9">
      <x:c r="A9" s="26" t="str">
        <x:v>NP-04</x:v>
      </x:c>
      <x:c r="B9" s="26" t="str">
        <x:v>Fire and atmospheric</x:v>
      </x:c>
      <x:c r="C9" s="26" t="str">
        <x:v>Night mixed-fleet ignition-to-hold campaign</x:v>
      </x:c>
      <x:c r="D9" s="26" t="str">
        <x:v>Outdoor 100 km2 mission range</x:v>
      </x:c>
      <x:c r="E9" s="27" t="n">
        <x:v>40</x:v>
      </x:c>
      <x:c r="F9" s="26" t="str">
        <x:v>Time to effect, control yield, escape and public exposure</x:v>
      </x:c>
      <x:c r="G9" s="27" t="str">
        <x:v>Positive objective control with no protected-zone incursion</x:v>
      </x:c>
      <x:c r="H9" s="26" t="str">
        <x:v>GNSS bias, shared model fault, base congestion and agent interruption</x:v>
      </x:c>
      <x:c r="I9" s="26" t="str">
        <x:v>L3–L4</x:v>
      </x:c>
      <x:c r="J9" s="26" t="str">
        <x:v>Flagship + regional</x:v>
      </x:c>
      <x:c r="K9" s="26" t="n">
        <x:v>8</x:v>
      </x:c>
      <x:c r="L9" s="26" t="str">
        <x:v>RTEA fire operations</x:v>
      </x:c>
      <x:c r="M9" s="26" t="str">
        <x:v>PLANNED</x:v>
      </x:c>
    </x:row>
    <x:row r="10">
      <x:c r="A10" s="26" t="str">
        <x:v>NP-05</x:v>
      </x:c>
      <x:c r="B10" s="26" t="str">
        <x:v>Hydraulics and coast</x:v>
      </x:c>
      <x:c r="C10" s="26" t="str">
        <x:v>Megaflow pump–intake–route–receiving trial</x:v>
      </x:c>
      <x:c r="D10" s="26" t="str">
        <x:v>250 m3/s, 12 m head, debris/sediment</x:v>
      </x:c>
      <x:c r="E10" s="27" t="n">
        <x:v>30</x:v>
      </x:c>
      <x:c r="F10" s="26" t="str">
        <x:v>Delivered flow distribution and energy per m3</x:v>
      </x:c>
      <x:c r="G10" s="27" t="str">
        <x:v>Mass balance closes and safe shutdown contains transients</x:v>
      </x:c>
      <x:c r="H10" s="26" t="str">
        <x:v>Intake occlusion, cavitation, rupture and receiving-stage reversal</x:v>
      </x:c>
      <x:c r="I10" s="26" t="str">
        <x:v>L2–L4</x:v>
      </x:c>
      <x:c r="J10" s="26" t="str">
        <x:v>Flagship</x:v>
      </x:c>
      <x:c r="K10" s="26" t="n">
        <x:v>8</x:v>
      </x:c>
      <x:c r="L10" s="26" t="str">
        <x:v>RTEA hydraulics</x:v>
      </x:c>
      <x:c r="M10" s="26" t="str">
        <x:v>PLANNED</x:v>
      </x:c>
    </x:row>
    <x:row r="11">
      <x:c r="A11" s="26" t="str">
        <x:v>NP-06</x:v>
      </x:c>
      <x:c r="B11" s="26" t="str">
        <x:v>Hydraulics and coast</x:v>
      </x:c>
      <x:c r="C11" s="26" t="str">
        <x:v>Live breach arrest and interior drainage</x:v>
      </x:c>
      <x:c r="D11" s="26" t="str">
        <x:v>Full-scale embankment and occupied-system emulator</x:v>
      </x:c>
      <x:c r="E11" s="27" t="n">
        <x:v>24</x:v>
      </x:c>
      <x:c r="F11" s="26" t="str">
        <x:v>Net inflow reduction and interior water level</x:v>
      </x:c>
      <x:c r="G11" s="27" t="str">
        <x:v>Positive reduction without exported harm or responder overexposure</x:v>
      </x:c>
      <x:c r="H11" s="26" t="str">
        <x:v>Bank failure, plug damage, pressure surge and pump loss</x:v>
      </x:c>
      <x:c r="I11" s="26" t="str">
        <x:v>L3–L4</x:v>
      </x:c>
      <x:c r="J11" s="26" t="str">
        <x:v>Flagship + regional</x:v>
      </x:c>
      <x:c r="K11" s="26" t="n">
        <x:v>9</x:v>
      </x:c>
      <x:c r="L11" s="26" t="str">
        <x:v>RTEA hydraulics/civil safety</x:v>
      </x:c>
      <x:c r="M11" s="26" t="str">
        <x:v>PLANNED</x:v>
      </x:c>
    </x:row>
    <x:row r="12">
      <x:c r="A12" s="26" t="str">
        <x:v>NP-07</x:v>
      </x:c>
      <x:c r="B12" s="26" t="str">
        <x:v>Water and environmental process</x:v>
      </x:c>
      <x:c r="C12" s="26" t="str">
        <x:v>Universal separations challenge library</x:v>
      </x:c>
      <x:c r="D12" s="26" t="str">
        <x:v>Seawater, wastewater and mixed contaminants</x:v>
      </x:c>
      <x:c r="E12" s="27" t="n">
        <x:v>120</x:v>
      </x:c>
      <x:c r="F12" s="26" t="str">
        <x:v>Safe product yield and residual mass closure</x:v>
      </x:c>
      <x:c r="G12" s="27" t="str">
        <x:v>Zero unsafe release in planned set; toxicity and uncertainty reported</x:v>
      </x:c>
      <x:c r="H12" s="26" t="str">
        <x:v>Unknown interferent, sensor drift and media exhaustion</x:v>
      </x:c>
      <x:c r="I12" s="26" t="str">
        <x:v>L1–L3</x:v>
      </x:c>
      <x:c r="J12" s="26" t="str">
        <x:v>Flagship + nodes</x:v>
      </x:c>
      <x:c r="K12" s="26" t="n">
        <x:v>6</x:v>
      </x:c>
      <x:c r="L12" s="26" t="str">
        <x:v>Independent quality authority</x:v>
      </x:c>
      <x:c r="M12" s="26" t="str">
        <x:v>PLANNED</x:v>
      </x:c>
    </x:row>
    <x:row r="13">
      <x:c r="A13" s="26" t="str">
        <x:v>NP-08</x:v>
      </x:c>
      <x:c r="B13" s="26" t="str">
        <x:v>Water and environmental process</x:v>
      </x:c>
      <x:c r="C13" s="26" t="str">
        <x:v>Temporary water network under contamination</x:v>
      </x:c>
      <x:c r="D13" s="26" t="str">
        <x:v>100,000 m3/day closed-loop service</x:v>
      </x:c>
      <x:c r="E13" s="27" t="n">
        <x:v>24</x:v>
      </x:c>
      <x:c r="F13" s="26" t="str">
        <x:v>People-equivalent service and release error</x:v>
      </x:c>
      <x:c r="G13" s="27" t="str">
        <x:v>Service floor sustained with no unsafe product custody release</x:v>
      </x:c>
      <x:c r="H13" s="26" t="str">
        <x:v>Cross-connection, pressure transient and product switch failure</x:v>
      </x:c>
      <x:c r="I13" s="26" t="str">
        <x:v>L3–L4</x:v>
      </x:c>
      <x:c r="J13" s="26" t="str">
        <x:v>Flagship + regional</x:v>
      </x:c>
      <x:c r="K13" s="26" t="n">
        <x:v>8</x:v>
      </x:c>
      <x:c r="L13" s="26" t="str">
        <x:v>RTEA water/public health</x:v>
      </x:c>
      <x:c r="M13" s="26" t="str">
        <x:v>PLANNED</x:v>
      </x:c>
    </x:row>
    <x:row r="14">
      <x:c r="A14" s="26" t="str">
        <x:v>NP-09</x:v>
      </x:c>
      <x:c r="B14" s="26" t="str">
        <x:v>Grid and thermal</x:v>
      </x:c>
      <x:c r="C14" s="26" t="str">
        <x:v>300 MW mobile grid bridge and black start</x:v>
      </x:c>
      <x:c r="D14" s="26" t="str">
        <x:v>115 kV boundary, mixed sources and loads</x:v>
      </x:c>
      <x:c r="E14" s="27" t="n">
        <x:v>30</x:v>
      </x:c>
      <x:c r="F14" s="26" t="str">
        <x:v>Safe energization, stability and restoration time</x:v>
      </x:c>
      <x:c r="G14" s="27" t="str">
        <x:v>No uncontrolled export; critical service restored inside target</x:v>
      </x:c>
      <x:c r="H14" s="26" t="str">
        <x:v>Wrong fault duty, relay mismatch, harmonics and identity outage</x:v>
      </x:c>
      <x:c r="I14" s="26" t="str">
        <x:v>L2–L4</x:v>
      </x:c>
      <x:c r="J14" s="26" t="str">
        <x:v>Flagship</x:v>
      </x:c>
      <x:c r="K14" s="26" t="n">
        <x:v>9</x:v>
      </x:c>
      <x:c r="L14" s="26" t="str">
        <x:v>RTEA electrical authority</x:v>
      </x:c>
      <x:c r="M14" s="26" t="str">
        <x:v>PLANNED</x:v>
      </x:c>
    </x:row>
    <x:row r="15">
      <x:c r="A15" s="26" t="str">
        <x:v>NP-10</x:v>
      </x:c>
      <x:c r="B15" s="26" t="str">
        <x:v>Grid and thermal</x:v>
      </x:c>
      <x:c r="C15" s="26" t="str">
        <x:v>District thermal utility under extreme heat/cold</x:v>
      </x:c>
      <x:c r="D15" s="26" t="str">
        <x:v>100,000-person-equivalent thermal loads</x:v>
      </x:c>
      <x:c r="E15" s="27" t="n">
        <x:v>20</x:v>
      </x:c>
      <x:c r="F15" s="26" t="str">
        <x:v>Protected people-hours per unit energy</x:v>
      </x:c>
      <x:c r="G15" s="27" t="str">
        <x:v>Tail service floor with bounded fuel and emissions</x:v>
      </x:c>
      <x:c r="H15" s="26" t="str">
        <x:v>Pump loss, refrigerant leak, priority inversion and islanding</x:v>
      </x:c>
      <x:c r="I15" s="26" t="str">
        <x:v>L3–L4</x:v>
      </x:c>
      <x:c r="J15" s="26" t="str">
        <x:v>Flagship + regional</x:v>
      </x:c>
      <x:c r="K15" s="26" t="n">
        <x:v>8</x:v>
      </x:c>
      <x:c r="L15" s="26" t="str">
        <x:v>RTEA thermal/public assurance</x:v>
      </x:c>
      <x:c r="M15" s="26" t="str">
        <x:v>PLANNED</x:v>
      </x:c>
    </x:row>
    <x:row r="16">
      <x:c r="A16" s="26" t="str">
        <x:v>NP-11</x:v>
      </x:c>
      <x:c r="B16" s="26" t="str">
        <x:v>Health and bioresponse</x:v>
      </x:c>
      <x:c r="C16" s="26" t="str">
        <x:v>Deployable hospital complete patient journey</x:v>
      </x:c>
      <x:c r="D16" s="26" t="str">
        <x:v>1,000 simulated beds plus referral network</x:v>
      </x:c>
      <x:c r="E16" s="27" t="n">
        <x:v>20</x:v>
      </x:c>
      <x:c r="F16" s="26" t="str">
        <x:v>Appropriate completed journeys and adverse events</x:v>
      </x:c>
      <x:c r="G16" s="27" t="str">
        <x:v>No hidden queue transfer; critical utilities and quality sustained</x:v>
      </x:c>
      <x:c r="H16" s="26" t="str">
        <x:v>Identity conflict, oxygen/power coupling and staff attrition</x:v>
      </x:c>
      <x:c r="I16" s="26" t="str">
        <x:v>L2–L4</x:v>
      </x:c>
      <x:c r="J16" s="26" t="str">
        <x:v>Flagship + regional</x:v>
      </x:c>
      <x:c r="K16" s="26" t="n">
        <x:v>8</x:v>
      </x:c>
      <x:c r="L16" s="26" t="str">
        <x:v>Clinical authority + RTEA</x:v>
      </x:c>
      <x:c r="M16" s="26" t="str">
        <x:v>PLANNED</x:v>
      </x:c>
    </x:row>
    <x:row r="17">
      <x:c r="A17" s="26" t="str">
        <x:v>NP-12</x:v>
      </x:c>
      <x:c r="B17" s="26" t="str">
        <x:v>Health and bioresponse</x:v>
      </x:c>
      <x:c r="C17" s="26" t="str">
        <x:v>Distributed bioproduct switch and batch release</x:v>
      </x:c>
      <x:c r="D17" s="26" t="str">
        <x:v>BSL-appropriate regulated pilot suites</x:v>
      </x:c>
      <x:c r="E17" s="27" t="n">
        <x:v>30</x:v>
      </x:c>
      <x:c r="F17" s="26" t="str">
        <x:v>Correct independent batch disposition</x:v>
      </x:c>
      <x:c r="G17" s="27" t="str">
        <x:v>All seeded contamination/version faults held</x:v>
      </x:c>
      <x:c r="H17" s="26" t="str">
        <x:v>Incomplete cleaning, wrong recipe and assay drift</x:v>
      </x:c>
      <x:c r="I17" s="26" t="str">
        <x:v>L1–L3</x:v>
      </x:c>
      <x:c r="J17" s="26" t="str">
        <x:v>Flagship + nodes</x:v>
      </x:c>
      <x:c r="K17" s="26" t="n">
        <x:v>9</x:v>
      </x:c>
      <x:c r="L17" s="26" t="str">
        <x:v>Independent release authority</x:v>
      </x:c>
      <x:c r="M17" s="26" t="str">
        <x:v>PLANNED</x:v>
      </x:c>
    </x:row>
    <x:row r="18">
      <x:c r="A18" s="26" t="str">
        <x:v>NP-13</x:v>
      </x:c>
      <x:c r="B18" s="26" t="str">
        <x:v>Built environment and ground</x:v>
      </x:c>
      <x:c r="C18" s="26" t="str">
        <x:v>Full-scale lifeline shake, isolate and restore</x:v>
      </x:c>
      <x:c r="D18" s="26" t="str">
        <x:v>10,000 t payload plus utility interfaces</x:v>
      </x:c>
      <x:c r="E18" s="27" t="n">
        <x:v>12</x:v>
      </x:c>
      <x:c r="F18" s="26" t="str">
        <x:v>Damage, isolation and time to bounded service</x:v>
      </x:c>
      <x:c r="G18" s="27" t="str">
        <x:v>No unsafe re-energization; state/repair evidence matches article</x:v>
      </x:c>
      <x:c r="H18" s="26" t="str">
        <x:v>Hidden damage, sensor false-safe and aftershock</x:v>
      </x:c>
      <x:c r="I18" s="26" t="str">
        <x:v>L2–L4</x:v>
      </x:c>
      <x:c r="J18" s="26" t="str">
        <x:v>Flagship</x:v>
      </x:c>
      <x:c r="K18" s="26" t="n">
        <x:v>10</x:v>
      </x:c>
      <x:c r="L18" s="26" t="str">
        <x:v>RTEA structural/utility</x:v>
      </x:c>
      <x:c r="M18" s="26" t="str">
        <x:v>PLANNED</x:v>
      </x:c>
    </x:row>
    <x:row r="19">
      <x:c r="A19" s="26" t="str">
        <x:v>NP-14</x:v>
      </x:c>
      <x:c r="B19" s="26" t="str">
        <x:v>Built environment and ground</x:v>
      </x:c>
      <x:c r="C19" s="26" t="str">
        <x:v>Rapid bridge and ground stabilization</x:v>
      </x:c>
      <x:c r="D19" s="26" t="str">
        <x:v>Wet variable foundation and repeated heavy load</x:v>
      </x:c>
      <x:c r="E19" s="27" t="n">
        <x:v>20</x:v>
      </x:c>
      <x:c r="F19" s="26" t="str">
        <x:v>Time to accepted load and residual capacity</x:v>
      </x:c>
      <x:c r="G19" s="27" t="str">
        <x:v>Seeded site/material errors caught before load; repair recertified</x:v>
      </x:c>
      <x:c r="H19" s="26" t="str">
        <x:v>Wrong digital file, soil lens and unqualified material</x:v>
      </x:c>
      <x:c r="I19" s="26" t="str">
        <x:v>L2–L4</x:v>
      </x:c>
      <x:c r="J19" s="26" t="str">
        <x:v>Flagship + regional</x:v>
      </x:c>
      <x:c r="K19" s="26" t="n">
        <x:v>8</x:v>
      </x:c>
      <x:c r="L19" s="26" t="str">
        <x:v>RTEA structures/ground</x:v>
      </x:c>
      <x:c r="M19" s="26" t="str">
        <x:v>PLANNED</x:v>
      </x:c>
    </x:row>
    <x:row r="20">
      <x:c r="A20" s="26" t="str">
        <x:v>NP-15</x:v>
      </x:c>
      <x:c r="B20" s="26" t="str">
        <x:v>Mobility, access and autonomy</x:v>
      </x:c>
      <x:c r="C20" s="26" t="str">
        <x:v>Autonomous broken-route opening with public actors</x:v>
      </x:c>
      <x:c r="D20" s="26" t="str">
        <x:v>50 km corridor, air/land/water and degraded PNT</x:v>
      </x:c>
      <x:c r="E20" s="27" t="n">
        <x:v>40</x:v>
      </x:c>
      <x:c r="F20" s="26" t="str">
        <x:v>Throughput, exposure and near-harm distribution</x:v>
      </x:c>
      <x:c r="G20" s="27" t="str">
        <x:v>Useful effect improves with zero unauthorized contact</x:v>
      </x:c>
      <x:c r="H20" s="26" t="str">
        <x:v>Fleet perception bias, link partition and mixed human traffic</x:v>
      </x:c>
      <x:c r="I20" s="26" t="str">
        <x:v>L2–L4</x:v>
      </x:c>
      <x:c r="J20" s="26" t="str">
        <x:v>Flagship + regional</x:v>
      </x:c>
      <x:c r="K20" s="26" t="n">
        <x:v>7</x:v>
      </x:c>
      <x:c r="L20" s="26" t="str">
        <x:v>RTEA autonomy safety</x:v>
      </x:c>
      <x:c r="M20" s="26" t="str">
        <x:v>PLANNED</x:v>
      </x:c>
    </x:row>
    <x:row r="21">
      <x:c r="A21" s="26" t="str">
        <x:v>NP-16</x:v>
      </x:c>
      <x:c r="B21" s="26" t="str">
        <x:v>Mobility, access and autonomy</x:v>
      </x:c>
      <x:c r="C21" s="26" t="str">
        <x:v>Port/airfield opening and intermodal sustainment</x:v>
      </x:c>
      <x:c r="D21" s="26" t="str">
        <x:v>Damaged pier, short strip and obstructed approaches</x:v>
      </x:c>
      <x:c r="E21" s="27" t="n">
        <x:v>20</x:v>
      </x:c>
      <x:c r="F21" s="26" t="str">
        <x:v>Tonnes/day to supported formations</x:v>
      </x:c>
      <x:c r="G21" s="27" t="str">
        <x:v>Sustained throughput with repair and no domain safety breach</x:v>
      </x:c>
      <x:c r="H21" s="26" t="str">
        <x:v>Crane loss, channel obstruction, weather and fuel interruption</x:v>
      </x:c>
      <x:c r="I21" s="26" t="str">
        <x:v>L3–L4</x:v>
      </x:c>
      <x:c r="J21" s="26" t="str">
        <x:v>Flagship + regional</x:v>
      </x:c>
      <x:c r="K21" s="26" t="n">
        <x:v>9</x:v>
      </x:c>
      <x:c r="L21" s="26" t="str">
        <x:v>RTEA mobility</x:v>
      </x:c>
      <x:c r="M21" s="26" t="str">
        <x:v>PLANNED</x:v>
      </x:c>
    </x:row>
    <x:row r="22">
      <x:c r="A22" s="26" t="str">
        <x:v>NP-17</x:v>
      </x:c>
      <x:c r="B22" s="26" t="str">
        <x:v>Manufacturing and mobilization</x:v>
      </x:c>
      <x:c r="C22" s="26" t="str">
        <x:v>Alternate-supplier cold activation</x:v>
      </x:c>
      <x:c r="D22" s="26" t="str">
        <x:v>Ten product lines; incumbent unavailable</x:v>
      </x:c>
      <x:c r="E22" s="27" t="n">
        <x:v>30</x:v>
      </x:c>
      <x:c r="F22" s="26" t="str">
        <x:v>Days to qualified output and drift escape rate</x:v>
      </x:c>
      <x:c r="G22" s="27" t="str">
        <x:v>All unapproved substitutions detected; repeatable accepted output</x:v>
      </x:c>
      <x:c r="H22" s="26" t="str">
        <x:v>Compromised baseline, material shortage and process drift</x:v>
      </x:c>
      <x:c r="I22" s="26" t="str">
        <x:v>L1–L4</x:v>
      </x:c>
      <x:c r="J22" s="26" t="str">
        <x:v>Flagship + regional</x:v>
      </x:c>
      <x:c r="K22" s="26" t="n">
        <x:v>6</x:v>
      </x:c>
      <x:c r="L22" s="26" t="str">
        <x:v>Manufacturing Administration + RTEA</x:v>
      </x:c>
      <x:c r="M22" s="26" t="str">
        <x:v>PLANNED</x:v>
      </x:c>
    </x:row>
    <x:row r="23">
      <x:c r="A23" s="26" t="str">
        <x:v>NP-18</x:v>
      </x:c>
      <x:c r="B23" s="26" t="str">
        <x:v>Manufacturing and mobilization</x:v>
      </x:c>
      <x:c r="C23" s="26" t="str">
        <x:v>Depot repair and cross-vendor recomposition</x:v>
      </x:c>
      <x:c r="D23" s="26" t="str">
        <x:v>Serialized field-worn modules</x:v>
      </x:c>
      <x:c r="E23" s="27" t="n">
        <x:v>30</x:v>
      </x:c>
      <x:c r="F23" s="26" t="str">
        <x:v>Return-to-service yield and hidden configuration error</x:v>
      </x:c>
      <x:c r="G23" s="27" t="str">
        <x:v>No unsafe issue; alternate depot needs no original vendor engineer</x:v>
      </x:c>
      <x:c r="H23" s="26" t="str">
        <x:v>Missing field history, counterfeit part and wrong repair revision</x:v>
      </x:c>
      <x:c r="I23" s="26" t="str">
        <x:v>L2–L4</x:v>
      </x:c>
      <x:c r="J23" s="26" t="str">
        <x:v>Regional + nodes</x:v>
      </x:c>
      <x:c r="K23" s="26" t="n">
        <x:v>7</x:v>
      </x:c>
      <x:c r="L23" s="26" t="str">
        <x:v>RTEA manufacturing</x:v>
      </x:c>
      <x:c r="M23" s="26" t="str">
        <x:v>PLANNED</x:v>
      </x:c>
    </x:row>
    <x:row r="24">
      <x:c r="A24" s="26" t="str">
        <x:v>NP-19</x:v>
      </x:c>
      <x:c r="B24" s="26" t="str">
        <x:v>Joint mission and public effect</x:v>
      </x:c>
      <x:c r="C24" s="26" t="str">
        <x:v>Ninety-day synthetic municipality campaign</x:v>
      </x:c>
      <x:c r="D24" s="26" t="str">
        <x:v>All utilities, health, access and civil authority</x:v>
      </x:c>
      <x:c r="E24" s="27" t="n">
        <x:v>8</x:v>
      </x:c>
      <x:c r="F24" s="26" t="str">
        <x:v>Population-service-time, harm, workforce and availability</x:v>
      </x:c>
      <x:c r="G24" s="27" t="str">
        <x:v>Service floors met without unbounded common mode or hidden subgroup loss</x:v>
      </x:c>
      <x:c r="H24" s="26" t="str">
        <x:v>Supplier loss, comms partition, model error and workforce turnover</x:v>
      </x:c>
      <x:c r="I24" s="26" t="str">
        <x:v>L4</x:v>
      </x:c>
      <x:c r="J24" s="26" t="str">
        <x:v>Flagship + three regions</x:v>
      </x:c>
      <x:c r="K24" s="26" t="n">
        <x:v>15</x:v>
      </x:c>
      <x:c r="L24" s="26" t="str">
        <x:v>RTEA + civil public assurance</x:v>
      </x:c>
      <x:c r="M24" s="26" t="str">
        <x:v>PLANNED</x:v>
      </x:c>
    </x:row>
    <x:row r="25">
      <x:c r="A25" s="26" t="str">
        <x:v>NP-20</x:v>
      </x:c>
      <x:c r="B25" s="26" t="str">
        <x:v>Joint mission and public effect</x:v>
      </x:c>
      <x:c r="C25" s="26" t="str">
        <x:v>Three-theater federation and partner handoff</x:v>
      </x:c>
      <x:c r="D25" s="26" t="str">
        <x:v>Domestic, territorial and international legal profiles</x:v>
      </x:c>
      <x:c r="E25" s="27" t="n">
        <x:v>8</x:v>
      </x:c>
      <x:c r="F25" s="26" t="str">
        <x:v>Time to sovereign control and sustained service</x:v>
      </x:c>
      <x:c r="G25" s="27" t="str">
        <x:v>No unsafe authority gap; partner controls operation and data</x:v>
      </x:c>
      <x:c r="H25" s="26" t="str">
        <x:v>Credential, language, law and interface mismatch</x:v>
      </x:c>
      <x:c r="I25" s="26" t="str">
        <x:v>L4–L5</x:v>
      </x:c>
      <x:c r="J25" s="26" t="str">
        <x:v>Federated joint ranges</x:v>
      </x:c>
      <x:c r="K25" s="26" t="n">
        <x:v>18</x:v>
      </x:c>
      <x:c r="L25" s="26" t="str">
        <x:v>Civil authority + RTEA</x:v>
      </x:c>
      <x:c r="M25" s="26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4" hidden="0" customWidth="1"/>
    <x:col min="3" max="3" width="17" hidden="0" customWidth="1"/>
    <x:col min="4" max="4" width="18" hidden="0" customWidth="1"/>
    <x:col min="5" max="5" width="49" hidden="0" customWidth="1"/>
    <x:col min="6" max="6" width="33" hidden="0" customWidth="1"/>
    <x:col min="7" max="7" width="39" hidden="0" customWidth="1"/>
    <x:col min="8" max="8" width="39" hidden="0" customWidth="1"/>
    <x:col min="9" max="9" width="17" hidden="0" customWidth="1"/>
  </x:cols>
  <x:sheetData>
    <x:row r="1">
      <x:c r="A1" s="75" t="str">
        <x:v>Mobile and reconfigurable test assets</x:v>
      </x:c>
      <x:c r="B1" s="75"/>
      <x:c r="C1" s="75"/>
      <x:c r="D1" s="75"/>
      <x:c r="E1" s="75"/>
      <x:c r="F1" s="75"/>
      <x:c r="G1" s="75"/>
      <x:c r="H1" s="75"/>
      <x:c r="I1" s="75"/>
    </x:row>
    <x:row r="2">
      <x:c r="A2" s="76" t="str">
        <x:v>A $32B portfolio moves measurement and fault injection to regional ranges, suppliers and real events.</x:v>
      </x:c>
      <x:c r="B2" s="76"/>
      <x:c r="C2" s="76"/>
      <x:c r="D2" s="76"/>
      <x:c r="E2" s="76"/>
      <x:c r="F2" s="76"/>
      <x:c r="G2" s="76"/>
      <x:c r="H2" s="76"/>
      <x:c r="I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</x:row>
    <x:row r="5" ht="30" customHeight="1">
      <x:c r="A5" s="21" t="str">
        <x:v>Asset family</x:v>
      </x:c>
      <x:c r="B5" s="21" t="str">
        <x:v>Quantity</x:v>
      </x:c>
      <x:c r="C5" s="21" t="str">
        <x:v>Unit $M</x:v>
      </x:c>
      <x:c r="D5" s="21" t="str">
        <x:v>Portfolio $B</x:v>
      </x:c>
      <x:c r="E5" s="21" t="str">
        <x:v>Primary use</x:v>
      </x:c>
      <x:c r="F5" s="21" t="str">
        <x:v>Custodian</x:v>
      </x:c>
      <x:c r="G5" s="21" t="str">
        <x:v>Deployment standard</x:v>
      </x:c>
      <x:c r="H5" s="21" t="str">
        <x:v>Failure contained</x:v>
      </x:c>
      <x:c r="I5" s="21" t="str">
        <x:v>State</x:v>
      </x:c>
    </x:row>
    <x:row r="6">
      <x:c r="A6" s="26" t="str">
        <x:v>Traceable metrology trailers</x:v>
      </x:c>
      <x:c r="B6" s="27" t="n">
        <x:v>120</x:v>
      </x:c>
      <x:c r="C6" s="62" t="n">
        <x:v>25</x:v>
      </x:c>
      <x:c r="D6" s="29" t="n">
        <x:f>B6*C6/1000</x:f>
        <x:v>3</x:v>
      </x:c>
      <x:c r="E6" s="26" t="str">
        <x:v>Flow, power, time, structure and environmental reference</x:v>
      </x:c>
      <x:c r="F6" s="26" t="str">
        <x:v>RTEA metrology</x:v>
      </x:c>
      <x:c r="G6" s="26" t="str">
        <x:v>96-hour domestic deployment</x:v>
      </x:c>
      <x:c r="H6" s="26" t="str">
        <x:v>Bad reference/calibration</x:v>
      </x:c>
      <x:c r="I6" s="26" t="str">
        <x:v>REQUIREMENT</x:v>
      </x:c>
    </x:row>
    <x:row r="7">
      <x:c r="A7" s="26" t="str">
        <x:v>Grid fault and protection sets</x:v>
      </x:c>
      <x:c r="B7" s="27" t="n">
        <x:v>24</x:v>
      </x:c>
      <x:c r="C7" s="62" t="n">
        <x:v>150</x:v>
      </x:c>
      <x:c r="D7" s="29" t="n">
        <x:f>B7*C7/1000</x:f>
        <x:v>3.6</x:v>
      </x:c>
      <x:c r="E7" s="26" t="str">
        <x:v>MV/HV hardware-in-loop and bounded physical fault</x:v>
      </x:c>
      <x:c r="F7" s="26" t="str">
        <x:v>Grid range authority</x:v>
      </x:c>
      <x:c r="G7" s="26" t="str">
        <x:v>Heavy road/rail; engineered connection</x:v>
      </x:c>
      <x:c r="H7" s="26" t="str">
        <x:v>Fault energy/export</x:v>
      </x:c>
      <x:c r="I7" s="26" t="str">
        <x:v>REQUIREMENT</x:v>
      </x:c>
    </x:row>
    <x:row r="8">
      <x:c r="A8" s="26" t="str">
        <x:v>Fluid transient and custody rigs</x:v>
      </x:c>
      <x:c r="B8" s="27" t="n">
        <x:v>30</x:v>
      </x:c>
      <x:c r="C8" s="62" t="n">
        <x:v>100</x:v>
      </x:c>
      <x:c r="D8" s="29" t="n">
        <x:f>B8*C8/1000</x:f>
        <x:v>3</x:v>
      </x:c>
      <x:c r="E8" s="26" t="str">
        <x:v>Pressure, flow, media identity and rupture isolation</x:v>
      </x:c>
      <x:c r="F8" s="26" t="str">
        <x:v>Hydraulic/water authorities</x:v>
      </x:c>
      <x:c r="G8" s="26" t="str">
        <x:v>Road-mobile pipe/valve profiles</x:v>
      </x:c>
      <x:c r="H8" s="26" t="str">
        <x:v>Cross-connect/pressure surge</x:v>
      </x:c>
      <x:c r="I8" s="26" t="str">
        <x:v>REQUIREMENT</x:v>
      </x:c>
    </x:row>
    <x:row r="9">
      <x:c r="A9" s="26" t="str">
        <x:v>Contaminant challenge trains</x:v>
      </x:c>
      <x:c r="B9" s="27" t="n">
        <x:v>20</x:v>
      </x:c>
      <x:c r="C9" s="62" t="n">
        <x:v>150</x:v>
      </x:c>
      <x:c r="D9" s="29" t="n">
        <x:f>B9*C9/1000</x:f>
        <x:v>3</x:v>
      </x:c>
      <x:c r="E9" s="26" t="str">
        <x:v>Closed-loop source, assay, residual and toxicity trials</x:v>
      </x:c>
      <x:c r="F9" s="26" t="str">
        <x:v>Independent quality authority</x:v>
      </x:c>
      <x:c r="G9" s="26" t="str">
        <x:v>Contained road/rail modules</x:v>
      </x:c>
      <x:c r="H9" s="26" t="str">
        <x:v>Challenge agent release</x:v>
      </x:c>
      <x:c r="I9" s="26" t="str">
        <x:v>REQUIREMENT</x:v>
      </x:c>
    </x:row>
    <x:row r="10">
      <x:c r="A10" s="26" t="str">
        <x:v>Autonomy range-marshal sets</x:v>
      </x:c>
      <x:c r="B10" s="27" t="n">
        <x:v>40</x:v>
      </x:c>
      <x:c r="C10" s="62" t="n">
        <x:v>50</x:v>
      </x:c>
      <x:c r="D10" s="29" t="n">
        <x:f>B10*C10/1000</x:f>
        <x:v>2</x:v>
      </x:c>
      <x:c r="E10" s="26" t="str">
        <x:v>Independent truth, geofence, stop and near-harm capture</x:v>
      </x:c>
      <x:c r="F10" s="26" t="str">
        <x:v>RTEA autonomy</x:v>
      </x:c>
      <x:c r="G10" s="26" t="str">
        <x:v>Air/land/water adaptable</x:v>
      </x:c>
      <x:c r="H10" s="26" t="str">
        <x:v>Domain escape/contact</x:v>
      </x:c>
      <x:c r="I10" s="26" t="str">
        <x:v>REQUIREMENT</x:v>
      </x:c>
    </x:row>
    <x:row r="11">
      <x:c r="A11" s="26" t="str">
        <x:v>Independent time/position references</x:v>
      </x:c>
      <x:c r="B11" s="27" t="n">
        <x:v>60</x:v>
      </x:c>
      <x:c r="C11" s="62" t="n">
        <x:v>20</x:v>
      </x:c>
      <x:c r="D11" s="29" t="n">
        <x:f>B11*C11/1000</x:f>
        <x:v>1.2</x:v>
      </x:c>
      <x:c r="E11" s="26" t="str">
        <x:v>Local PNT, clock and datum challenge</x:v>
      </x:c>
      <x:c r="F11" s="26" t="str">
        <x:v>Observation authority</x:v>
      </x:c>
      <x:c r="G11" s="26" t="str">
        <x:v>Human-portable to trailer</x:v>
      </x:c>
      <x:c r="H11" s="26" t="str">
        <x:v>Spoofed shared reference</x:v>
      </x:c>
      <x:c r="I11" s="26" t="str">
        <x:v>REQUIREMENT</x:v>
      </x:c>
    </x:row>
    <x:row r="12">
      <x:c r="A12" s="26" t="str">
        <x:v>Fire/atmosphere instrument trains</x:v>
      </x:c>
      <x:c r="B12" s="27" t="n">
        <x:v>12</x:v>
      </x:c>
      <x:c r="C12" s="62" t="n">
        <x:v>250</x:v>
      </x:c>
      <x:c r="D12" s="29" t="n">
        <x:f>B12*C12/1000</x:f>
        <x:v>3</x:v>
      </x:c>
      <x:c r="E12" s="26" t="str">
        <x:v>Heat, species, plume, ember, agent and weather mass balance</x:v>
      </x:c>
      <x:c r="F12" s="26" t="str">
        <x:v>Fire range authority</x:v>
      </x:c>
      <x:c r="G12" s="26" t="str">
        <x:v>Air/road modules with protected sensors</x:v>
      </x:c>
      <x:c r="H12" s="26" t="str">
        <x:v>Sensor loss/emission exposure</x:v>
      </x:c>
      <x:c r="I12" s="26" t="str">
        <x:v>REQUIREMENT</x:v>
      </x:c>
    </x:row>
    <x:row r="13">
      <x:c r="A13" s="26" t="str">
        <x:v>Clinical simulation modules</x:v>
      </x:c>
      <x:c r="B13" s="27" t="n">
        <x:v>20</x:v>
      </x:c>
      <x:c r="C13" s="62" t="n">
        <x:v>150</x:v>
      </x:c>
      <x:c r="D13" s="29" t="n">
        <x:f>B13*C13/1000</x:f>
        <x:v>3</x:v>
      </x:c>
      <x:c r="E13" s="26" t="str">
        <x:v>Patient flow, utilities, records, accessibility and workforce</x:v>
      </x:c>
      <x:c r="F13" s="26" t="str">
        <x:v>Clinical test authority</x:v>
      </x:c>
      <x:c r="G13" s="26" t="str">
        <x:v>Container/road/air compatible</x:v>
      </x:c>
      <x:c r="H13" s="26" t="str">
        <x:v>Participant/data harm</x:v>
      </x:c>
      <x:c r="I13" s="26" t="str">
        <x:v>REQUIREMENT</x:v>
      </x:c>
    </x:row>
    <x:row r="14">
      <x:c r="A14" s="26" t="str">
        <x:v>Structural hybrid-actuation sets</x:v>
      </x:c>
      <x:c r="B14" s="27" t="n">
        <x:v>12</x:v>
      </x:c>
      <x:c r="C14" s="62" t="n">
        <x:v>300</x:v>
      </x:c>
      <x:c r="D14" s="29" t="n">
        <x:f>B14*C14/1000</x:f>
        <x:v>3.6</x:v>
      </x:c>
      <x:c r="E14" s="26" t="str">
        <x:v>Remote/hybrid loading and seeded damage</x:v>
      </x:c>
      <x:c r="F14" s="26" t="str">
        <x:v>Structures range authority</x:v>
      </x:c>
      <x:c r="G14" s="26" t="str">
        <x:v>Engineered heavy transport</x:v>
      </x:c>
      <x:c r="H14" s="26" t="str">
        <x:v>Stored energy/projectile</x:v>
      </x:c>
      <x:c r="I14" s="26" t="str">
        <x:v>REQUIREMENT</x:v>
      </x:c>
    </x:row>
    <x:row r="15">
      <x:c r="A15" s="26" t="str">
        <x:v>Secure compute and data-custody pods</x:v>
      </x:c>
      <x:c r="B15" s="27" t="n">
        <x:v>50</x:v>
      </x:c>
      <x:c r="C15" s="62" t="n">
        <x:v>40</x:v>
      </x:c>
      <x:c r="D15" s="29" t="n">
        <x:f>B15*C15/1000</x:f>
        <x:v>2</x:v>
      </x:c>
      <x:c r="E15" s="26" t="str">
        <x:v>Disconnected test control, evidence mirror and replay</x:v>
      </x:c>
      <x:c r="F15" s="26" t="str">
        <x:v>RTEA data office</x:v>
      </x:c>
      <x:c r="G15" s="26" t="str">
        <x:v>72-hour isolated operation</x:v>
      </x:c>
      <x:c r="H15" s="26" t="str">
        <x:v>Evidence loss/compromise</x:v>
      </x:c>
      <x:c r="I15" s="26" t="str">
        <x:v>REQUIREMENT</x:v>
      </x:c>
    </x:row>
    <x:row r="16">
      <x:c r="A16" s="26" t="str">
        <x:v>Environmental containment trains</x:v>
      </x:c>
      <x:c r="B16" s="27" t="n">
        <x:v>20</x:v>
      </x:c>
      <x:c r="C16" s="62" t="n">
        <x:v>150</x:v>
      </x:c>
      <x:c r="D16" s="29" t="n">
        <x:f>B16*C16/1000</x:f>
        <x:v>3</x:v>
      </x:c>
      <x:c r="E16" s="26" t="str">
        <x:v>Air/water capture, terminal treatment and restoration</x:v>
      </x:c>
      <x:c r="F16" s="26" t="str">
        <x:v>Environmental assurance</x:v>
      </x:c>
      <x:c r="G16" s="26" t="str">
        <x:v>Hazard-specific modular deployment</x:v>
      </x:c>
      <x:c r="H16" s="26" t="str">
        <x:v>Exported environmental harm</x:v>
      </x:c>
      <x:c r="I16" s="26" t="str">
        <x:v>REQUIREMENT</x:v>
      </x:c>
    </x:row>
    <x:row r="17">
      <x:c r="A17" s="26" t="str">
        <x:v>Rapid event-observation packages</x:v>
      </x:c>
      <x:c r="B17" s="27" t="n">
        <x:v>40</x:v>
      </x:c>
      <x:c r="C17" s="62" t="n">
        <x:v>40</x:v>
      </x:c>
      <x:c r="D17" s="29" t="n">
        <x:f>B17*C17/1000</x:f>
        <x:v>1.6</x:v>
      </x:c>
      <x:c r="E17" s="26" t="str">
        <x:v>Perishable post-event measurements and field trial custody</x:v>
      </x:c>
      <x:c r="F17" s="26" t="str">
        <x:v>Observation/RTEA</x:v>
      </x:c>
      <x:c r="G17" s="26" t="str">
        <x:v>24-hour wheels-up teams</x:v>
      </x:c>
      <x:c r="H17" s="26" t="str">
        <x:v>Unsafe or nonconsensual collection</x:v>
      </x:c>
      <x:c r="I17" s="26" t="str">
        <x:v>REQUIREMENT</x:v>
      </x:c>
    </x:row>
    <x:row r="18">
      <x:c r="A18" s="26"/>
      <x:c r="B18" s="26"/>
      <x:c r="C18" s="26"/>
      <x:c r="D18" s="29"/>
      <x:c r="E18" s="26"/>
      <x:c r="F18" s="26"/>
      <x:c r="G18" s="26"/>
      <x:c r="H18" s="26"/>
      <x:c r="I18" s="26"/>
    </x:row>
    <x:row r="19">
      <x:c r="A19" s="37" t="str">
        <x:v>TOTAL</x:v>
      </x:c>
      <x:c r="B19" s="37"/>
      <x:c r="C19" s="37"/>
      <x:c r="D19" s="38" t="n">
        <x:f>SUM(D6:D17)</x:f>
        <x:v>32</x:v>
      </x:c>
      <x:c r="E19" s="37" t="str"/>
      <x:c r="F19" s="37" t="str"/>
      <x:c r="G19" s="37" t="str"/>
      <x:c r="H19" s="37" t="str"/>
      <x:c r="I19" s="37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22" hidden="0" customWidth="1"/>
    <x:col min="4" max="4" width="24" hidden="0" customWidth="1"/>
    <x:col min="5" max="5" width="27" hidden="0" customWidth="1"/>
    <x:col min="6" max="6" width="28" hidden="0" customWidth="1"/>
    <x:col min="7" max="7" width="26" hidden="0" customWidth="1"/>
    <x:col min="8" max="8" width="29" hidden="0" customWidth="1"/>
    <x:col min="9" max="9" width="55" hidden="0" customWidth="1"/>
    <x:col min="10" max="10" width="49" hidden="0" customWidth="1"/>
    <x:col min="11" max="11" width="15" hidden="0" customWidth="1"/>
  </x:cols>
  <x:sheetData>
    <x:row r="1">
      <x:c r="A1" s="75" t="str">
        <x:v>Mature network workforce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2">
      <x:c r="A2" s="76" t="str">
        <x:v>Resident workforce excludes visiting program teams, test-unit personnel, construction labor and most vendor field staff.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0" customHeight="1">
      <x:c r="A5" s="21" t="str">
        <x:v>Family</x:v>
      </x:c>
      <x:c r="B5" s="21" t="str">
        <x:v>Resident FTE</x:v>
      </x:c>
      <x:c r="C5" s="21" t="str">
        <x:v>Scientists/engineers</x:v>
      </x:c>
      <x:c r="D5" s="21" t="str">
        <x:v>Technicians/operators</x:v>
      </x:c>
      <x:c r="E5" s="21" t="str">
        <x:v>Safety/environment/quality</x:v>
      </x:c>
      <x:c r="F5" s="21" t="str">
        <x:v>Data/statistics/evaluation</x:v>
      </x:c>
      <x:c r="G5" s="21" t="str">
        <x:v>Facilities/logistics/admin</x:v>
      </x:c>
      <x:c r="H5" s="21" t="str">
        <x:v>Visiting/rotating annual people</x:v>
      </x:c>
      <x:c r="I5" s="21" t="str">
        <x:v>Critical profession</x:v>
      </x:c>
      <x:c r="J5" s="21" t="str">
        <x:v>Pipeline dependency</x:v>
      </x:c>
      <x:c r="K5" s="21" t="str">
        <x:v>State</x:v>
      </x:c>
    </x:row>
    <x:row r="6">
      <x:c r="A6" s="26" t="str">
        <x:v>Earth intelligence and decision</x:v>
      </x:c>
      <x:c r="B6" s="69" t="n">
        <x:v>2600</x:v>
      </x:c>
      <x:c r="C6" s="70" t="n">
        <x:f>B6*0.30</x:f>
        <x:v>780</x:v>
      </x:c>
      <x:c r="D6" s="70" t="n">
        <x:f>B6*0.30</x:f>
        <x:v>780</x:v>
      </x:c>
      <x:c r="E6" s="70" t="n">
        <x:f>B6*0.15</x:f>
        <x:v>390</x:v>
      </x:c>
      <x:c r="F6" s="70" t="n">
        <x:f>B6*0.10</x:f>
        <x:v>260</x:v>
      </x:c>
      <x:c r="G6" s="70" t="n">
        <x:f>B6-SUM(C6:F6)</x:f>
        <x:v>390</x:v>
      </x:c>
      <x:c r="H6" s="69" t="n">
        <x:v>4000</x:v>
      </x:c>
      <x:c r="I6" s="26" t="str">
        <x:v>Causal inference, geospatial metrology and scientific software</x:v>
      </x:c>
      <x:c r="J6" s="26" t="str">
        <x:v>Universities, apprenticeships, professional licensing and federal test cadres</x:v>
      </x:c>
      <x:c r="K6" s="26" t="str">
        <x:v>PLANNING</x:v>
      </x:c>
    </x:row>
    <x:row r="7">
      <x:c r="A7" s="26" t="str">
        <x:v>Fire and atmospheric</x:v>
      </x:c>
      <x:c r="B7" s="69" t="n">
        <x:v>4200</x:v>
      </x:c>
      <x:c r="C7" s="70" t="n">
        <x:f>B7*0.30</x:f>
        <x:v>1260</x:v>
      </x:c>
      <x:c r="D7" s="70" t="n">
        <x:f>B7*0.30</x:f>
        <x:v>1260</x:v>
      </x:c>
      <x:c r="E7" s="70" t="n">
        <x:f>B7*0.15</x:f>
        <x:v>630</x:v>
      </x:c>
      <x:c r="F7" s="70" t="n">
        <x:f>B7*0.10</x:f>
        <x:v>420</x:v>
      </x:c>
      <x:c r="G7" s="70" t="n">
        <x:f>B7-SUM(C7:F7)</x:f>
        <x:v>630</x:v>
      </x:c>
      <x:c r="H7" s="69" t="n">
        <x:v>3500</x:v>
      </x:c>
      <x:c r="I7" s="26" t="str">
        <x:v>Fire science, calorimetry, aviation test and industrial hygiene</x:v>
      </x:c>
      <x:c r="J7" s="26" t="str">
        <x:v>Universities, apprenticeships, professional licensing and federal test cadres</x:v>
      </x:c>
      <x:c r="K7" s="26" t="str">
        <x:v>PLANNING</x:v>
      </x:c>
    </x:row>
    <x:row r="8">
      <x:c r="A8" s="26" t="str">
        <x:v>Hydraulics and coast</x:v>
      </x:c>
      <x:c r="B8" s="69" t="n">
        <x:v>4500</x:v>
      </x:c>
      <x:c r="C8" s="70" t="n">
        <x:f>B8*0.30</x:f>
        <x:v>1350</x:v>
      </x:c>
      <x:c r="D8" s="70" t="n">
        <x:f>B8*0.30</x:f>
        <x:v>1350</x:v>
      </x:c>
      <x:c r="E8" s="70" t="n">
        <x:f>B8*0.15</x:f>
        <x:v>675</x:v>
      </x:c>
      <x:c r="F8" s="70" t="n">
        <x:f>B8*0.10</x:f>
        <x:v>450</x:v>
      </x:c>
      <x:c r="G8" s="70" t="n">
        <x:f>B8-SUM(C8:F8)</x:f>
        <x:v>675</x:v>
      </x:c>
      <x:c r="H8" s="69" t="n">
        <x:v>3200</x:v>
      </x:c>
      <x:c r="I8" s="26" t="str">
        <x:v>Hydraulic/geotechnical engineering, divers and high-energy machinery</x:v>
      </x:c>
      <x:c r="J8" s="26" t="str">
        <x:v>Universities, apprenticeships, professional licensing and federal test cadres</x:v>
      </x:c>
      <x:c r="K8" s="26" t="str">
        <x:v>PLANNING</x:v>
      </x:c>
    </x:row>
    <x:row r="9">
      <x:c r="A9" s="26" t="str">
        <x:v>Water and environmental process</x:v>
      </x:c>
      <x:c r="B9" s="69" t="n">
        <x:v>3200</x:v>
      </x:c>
      <x:c r="C9" s="70" t="n">
        <x:f>B9*0.30</x:f>
        <x:v>960</x:v>
      </x:c>
      <x:c r="D9" s="70" t="n">
        <x:f>B9*0.30</x:f>
        <x:v>960</x:v>
      </x:c>
      <x:c r="E9" s="70" t="n">
        <x:f>B9*0.15</x:f>
        <x:v>480</x:v>
      </x:c>
      <x:c r="F9" s="70" t="n">
        <x:f>B9*0.10</x:f>
        <x:v>320</x:v>
      </x:c>
      <x:c r="G9" s="70" t="n">
        <x:f>B9-SUM(C9:F9)</x:f>
        <x:v>480</x:v>
      </x:c>
      <x:c r="H9" s="69" t="n">
        <x:v>2800</x:v>
      </x:c>
      <x:c r="I9" s="26" t="str">
        <x:v>Analytical chemistry, toxicology, microbiology and process operations</x:v>
      </x:c>
      <x:c r="J9" s="26" t="str">
        <x:v>Universities, apprenticeships, professional licensing and federal test cadres</x:v>
      </x:c>
      <x:c r="K9" s="26" t="str">
        <x:v>PLANNING</x:v>
      </x:c>
    </x:row>
    <x:row r="10">
      <x:c r="A10" s="26" t="str">
        <x:v>Grid and thermal</x:v>
      </x:c>
      <x:c r="B10" s="69" t="n">
        <x:v>3500</x:v>
      </x:c>
      <x:c r="C10" s="70" t="n">
        <x:f>B10*0.30</x:f>
        <x:v>1050</x:v>
      </x:c>
      <x:c r="D10" s="70" t="n">
        <x:f>B10*0.30</x:f>
        <x:v>1050</x:v>
      </x:c>
      <x:c r="E10" s="70" t="n">
        <x:f>B10*0.15</x:f>
        <x:v>525</x:v>
      </x:c>
      <x:c r="F10" s="70" t="n">
        <x:f>B10*0.10</x:f>
        <x:v>350</x:v>
      </x:c>
      <x:c r="G10" s="70" t="n">
        <x:f>B10-SUM(C10:F10)</x:f>
        <x:v>525</x:v>
      </x:c>
      <x:c r="H10" s="69" t="n">
        <x:v>3500</x:v>
      </x:c>
      <x:c r="I10" s="26" t="str">
        <x:v>Protection engineering, power electronics, thermal systems and utility operations</x:v>
      </x:c>
      <x:c r="J10" s="26" t="str">
        <x:v>Universities, apprenticeships, professional licensing and federal test cadres</x:v>
      </x:c>
      <x:c r="K10" s="26" t="str">
        <x:v>PLANNING</x:v>
      </x:c>
    </x:row>
    <x:row r="11">
      <x:c r="A11" s="26" t="str">
        <x:v>Health and bioresponse</x:v>
      </x:c>
      <x:c r="B11" s="69" t="n">
        <x:v>4200</x:v>
      </x:c>
      <x:c r="C11" s="70" t="n">
        <x:f>B11*0.30</x:f>
        <x:v>1260</x:v>
      </x:c>
      <x:c r="D11" s="70" t="n">
        <x:f>B11*0.30</x:f>
        <x:v>1260</x:v>
      </x:c>
      <x:c r="E11" s="70" t="n">
        <x:f>B11*0.15</x:f>
        <x:v>630</x:v>
      </x:c>
      <x:c r="F11" s="70" t="n">
        <x:f>B11*0.10</x:f>
        <x:v>420</x:v>
      </x:c>
      <x:c r="G11" s="70" t="n">
        <x:f>B11-SUM(C11:F11)</x:f>
        <x:v>630</x:v>
      </x:c>
      <x:c r="H11" s="69" t="n">
        <x:v>5000</x:v>
      </x:c>
      <x:c r="I11" s="26" t="str">
        <x:v>Clinical operations, biosafety, quality release and health data</x:v>
      </x:c>
      <x:c r="J11" s="26" t="str">
        <x:v>Universities, apprenticeships, professional licensing and federal test cadres</x:v>
      </x:c>
      <x:c r="K11" s="26" t="str">
        <x:v>PLANNING</x:v>
      </x:c>
    </x:row>
    <x:row r="12">
      <x:c r="A12" s="26" t="str">
        <x:v>Built environment and ground</x:v>
      </x:c>
      <x:c r="B12" s="69" t="n">
        <x:v>3800</x:v>
      </x:c>
      <x:c r="C12" s="70" t="n">
        <x:f>B12*0.30</x:f>
        <x:v>1140</x:v>
      </x:c>
      <x:c r="D12" s="70" t="n">
        <x:f>B12*0.30</x:f>
        <x:v>1140</x:v>
      </x:c>
      <x:c r="E12" s="70" t="n">
        <x:f>B12*0.15</x:f>
        <x:v>570</x:v>
      </x:c>
      <x:c r="F12" s="70" t="n">
        <x:f>B12*0.10</x:f>
        <x:v>380</x:v>
      </x:c>
      <x:c r="G12" s="70" t="n">
        <x:f>B12-SUM(C12:F12)</x:f>
        <x:v>570</x:v>
      </x:c>
      <x:c r="H12" s="69" t="n">
        <x:v>3200</x:v>
      </x:c>
      <x:c r="I12" s="26" t="str">
        <x:v>Structural/geotechnical engineering, NDE and heavy rigging</x:v>
      </x:c>
      <x:c r="J12" s="26" t="str">
        <x:v>Universities, apprenticeships, professional licensing and federal test cadres</x:v>
      </x:c>
      <x:c r="K12" s="26" t="str">
        <x:v>PLANNING</x:v>
      </x:c>
    </x:row>
    <x:row r="13">
      <x:c r="A13" s="26" t="str">
        <x:v>Mobility, access and autonomy</x:v>
      </x:c>
      <x:c r="B13" s="69" t="n">
        <x:v>3500</x:v>
      </x:c>
      <x:c r="C13" s="70" t="n">
        <x:f>B13*0.30</x:f>
        <x:v>1050</x:v>
      </x:c>
      <x:c r="D13" s="70" t="n">
        <x:f>B13*0.30</x:f>
        <x:v>1050</x:v>
      </x:c>
      <x:c r="E13" s="70" t="n">
        <x:f>B13*0.15</x:f>
        <x:v>525</x:v>
      </x:c>
      <x:c r="F13" s="70" t="n">
        <x:f>B13*0.10</x:f>
        <x:v>350</x:v>
      </x:c>
      <x:c r="G13" s="70" t="n">
        <x:f>B13-SUM(C13:F13)</x:f>
        <x:v>525</x:v>
      </x:c>
      <x:c r="H13" s="69" t="n">
        <x:v>4000</x:v>
      </x:c>
      <x:c r="I13" s="26" t="str">
        <x:v>Flight/marine test, autonomy safety, recovery and human factors</x:v>
      </x:c>
      <x:c r="J13" s="26" t="str">
        <x:v>Universities, apprenticeships, professional licensing and federal test cadres</x:v>
      </x:c>
      <x:c r="K13" s="26" t="str">
        <x:v>PLANNING</x:v>
      </x:c>
    </x:row>
    <x:row r="14">
      <x:c r="A14" s="26" t="str">
        <x:v>Manufacturing and mobilization</x:v>
      </x:c>
      <x:c r="B14" s="69" t="n">
        <x:v>3000</x:v>
      </x:c>
      <x:c r="C14" s="70" t="n">
        <x:f>B14*0.30</x:f>
        <x:v>900</x:v>
      </x:c>
      <x:c r="D14" s="70" t="n">
        <x:f>B14*0.30</x:f>
        <x:v>900</x:v>
      </x:c>
      <x:c r="E14" s="70" t="n">
        <x:f>B14*0.15</x:f>
        <x:v>450</x:v>
      </x:c>
      <x:c r="F14" s="70" t="n">
        <x:f>B14*0.10</x:f>
        <x:v>300</x:v>
      </x:c>
      <x:c r="G14" s="70" t="n">
        <x:f>B14-SUM(C14:F14)</x:f>
        <x:v>450</x:v>
      </x:c>
      <x:c r="H14" s="69" t="n">
        <x:v>4500</x:v>
      </x:c>
      <x:c r="I14" s="26" t="str">
        <x:v>Manufacturing engineering, metrology, skilled trades and configuration control</x:v>
      </x:c>
      <x:c r="J14" s="26" t="str">
        <x:v>Universities, apprenticeships, professional licensing and federal test cadres</x:v>
      </x:c>
      <x:c r="K14" s="26" t="str">
        <x:v>PLANNING</x:v>
      </x:c>
    </x:row>
    <x:row r="15">
      <x:c r="A15" s="26" t="str">
        <x:v>Joint mission and public effect</x:v>
      </x:c>
      <x:c r="B15" s="69" t="n">
        <x:v>4200</x:v>
      </x:c>
      <x:c r="C15" s="70" t="n">
        <x:f>B15*0.30</x:f>
        <x:v>1260</x:v>
      </x:c>
      <x:c r="D15" s="70" t="n">
        <x:f>B15*0.30</x:f>
        <x:v>1260</x:v>
      </x:c>
      <x:c r="E15" s="70" t="n">
        <x:f>B15*0.15</x:f>
        <x:v>630</x:v>
      </x:c>
      <x:c r="F15" s="70" t="n">
        <x:f>B15*0.10</x:f>
        <x:v>420</x:v>
      </x:c>
      <x:c r="G15" s="70" t="n">
        <x:f>B15-SUM(C15:F15)</x:f>
        <x:v>630</x:v>
      </x:c>
      <x:c r="H15" s="69" t="n">
        <x:v>8000</x:v>
      </x:c>
      <x:c r="I15" s="26" t="str">
        <x:v>Exercise science, civil command, public health, social measurement and sustainment</x:v>
      </x:c>
      <x:c r="J15" s="26" t="str">
        <x:v>Universities, apprenticeships, professional licensing and federal test cadres</x:v>
      </x:c>
      <x:c r="K15" s="26" t="str">
        <x:v>PLANNING</x:v>
      </x:c>
    </x:row>
    <x:row r="16">
      <x:c r="A16" s="26"/>
      <x:c r="B16" s="70"/>
      <x:c r="C16" s="70"/>
      <x:c r="D16" s="70"/>
      <x:c r="E16" s="70"/>
      <x:c r="F16" s="70"/>
      <x:c r="G16" s="70"/>
      <x:c r="H16" s="70"/>
      <x:c r="I16" s="26"/>
      <x:c r="J16" s="26"/>
      <x:c r="K16" s="26"/>
    </x:row>
    <x:row r="17">
      <x:c r="A17" s="37" t="str">
        <x:v>TOTAL</x:v>
      </x:c>
      <x:c r="B17" s="71" t="n">
        <x:f>SUM(B6:B15)</x:f>
        <x:v>36700</x:v>
      </x:c>
      <x:c r="C17" s="71" t="n">
        <x:f>SUM(C6:C15)</x:f>
        <x:v>11010</x:v>
      </x:c>
      <x:c r="D17" s="71" t="n">
        <x:f>SUM(D6:D15)</x:f>
        <x:v>11010</x:v>
      </x:c>
      <x:c r="E17" s="71" t="n">
        <x:f>SUM(E6:E15)</x:f>
        <x:v>5505</x:v>
      </x:c>
      <x:c r="F17" s="71" t="n">
        <x:f>SUM(F6:F15)</x:f>
        <x:v>3670</x:v>
      </x:c>
      <x:c r="G17" s="71" t="n">
        <x:f>SUM(G6:G15)</x:f>
        <x:v>5505</x:v>
      </x:c>
      <x:c r="H17" s="71" t="n">
        <x:f>SUM(H6:H15)</x:f>
        <x:v>41700</x:v>
      </x:c>
      <x:c r="I17" s="37" t="str"/>
      <x:c r="J17" s="37" t="str"/>
      <x:c r="K17" s="37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37" hidden="0" customWidth="1"/>
    <x:col min="5" max="5" width="20" hidden="0" customWidth="1"/>
    <x:col min="6" max="6" width="21" hidden="0" customWidth="1"/>
    <x:col min="7" max="7" width="53" hidden="0" customWidth="1"/>
    <x:col min="8" max="8" width="17" hidden="0" customWidth="1"/>
  </x:cols>
  <x:sheetData>
    <x:row r="1">
      <x:c r="A1" s="75" t="str">
        <x:v>Twenty-five-year funding profile</x:v>
      </x:c>
      <x:c r="B1" s="75"/>
      <x:c r="C1" s="75"/>
      <x:c r="D1" s="75"/>
      <x:c r="E1" s="75"/>
      <x:c r="F1" s="75"/>
      <x:c r="G1" s="75"/>
      <x:c r="H1" s="75"/>
    </x:row>
    <x:row r="2">
      <x:c r="A2" s="76" t="str">
        <x:v>Front-loaded design, construction and commissioning followed by trials, renewal and decommission planning.</x:v>
      </x:c>
      <x:c r="B2" s="76"/>
      <x:c r="C2" s="76"/>
      <x:c r="D2" s="76"/>
      <x:c r="E2" s="76"/>
      <x:c r="F2" s="76"/>
      <x:c r="G2" s="76"/>
      <x:c r="H2" s="76"/>
    </x:row>
    <x:row r="3">
      <x:c r="A3" s="77"/>
      <x:c r="B3" s="77"/>
      <x:c r="C3" s="77"/>
      <x:c r="D3" s="77"/>
      <x:c r="E3" s="77"/>
      <x:c r="F3" s="77"/>
      <x:c r="G3" s="77"/>
      <x:c r="H3" s="77"/>
    </x:row>
    <x:row r="4">
      <x:c r="A4" s="22"/>
      <x:c r="B4" s="22"/>
      <x:c r="C4" s="22"/>
      <x:c r="D4" s="22"/>
      <x:c r="E4" s="22"/>
      <x:c r="F4" s="22"/>
      <x:c r="G4" s="22"/>
      <x:c r="H4" s="22"/>
    </x:row>
    <x:row r="5" ht="30" customHeight="1">
      <x:c r="A5" s="21" t="str">
        <x:v>Year</x:v>
      </x:c>
      <x:c r="B5" s="21" t="str">
        <x:v>Share</x:v>
      </x:c>
      <x:c r="C5" s="21" t="str">
        <x:v>Annual $B</x:v>
      </x:c>
      <x:c r="D5" s="21" t="str">
        <x:v>Primary phase</x:v>
      </x:c>
      <x:c r="E5" s="21" t="str">
        <x:v>Cumulative $B</x:v>
      </x:c>
      <x:c r="F5" s="21" t="str">
        <x:v>Cumulative share</x:v>
      </x:c>
      <x:c r="G5" s="21" t="str">
        <x:v>Decision milestone</x:v>
      </x:c>
      <x:c r="H5" s="21" t="str">
        <x:v>Funding state</x:v>
      </x:c>
    </x:row>
    <x:row r="6">
      <x:c r="A6" s="26" t="n">
        <x:v>1</x:v>
      </x:c>
      <x:c r="B6" s="28" t="n">
        <x:v>0.02</x:v>
      </x:c>
      <x:c r="C6" s="29" t="n">
        <x:f>B6*Controls!$B$8</x:f>
        <x:v>6.4</x:v>
      </x:c>
      <x:c r="D6" s="26" t="str">
        <x:v>Constitute and site studies</x:v>
      </x:c>
      <x:c r="E6" s="29" t="n">
        <x:f>SUM($C$6:C6)</x:f>
        <x:v>6.4</x:v>
      </x:c>
      <x:c r="F6" s="56" t="n">
        <x:f>E6/Controls!$B$8</x:f>
        <x:v>0.02</x:v>
      </x:c>
      <x:c r="G6" s="26" t="str">
        <x:v>Architecture and independent review authorities</x:v>
      </x:c>
      <x:c r="H6" s="26" t="str">
        <x:v>PLANNING</x:v>
      </x:c>
    </x:row>
    <x:row r="7">
      <x:c r="A7" s="26" t="n">
        <x:v>2</x:v>
      </x:c>
      <x:c r="B7" s="28" t="n">
        <x:v>0.03</x:v>
      </x:c>
      <x:c r="C7" s="29" t="n">
        <x:f>B7*Controls!$B$8</x:f>
        <x:v>9.6</x:v>
      </x:c>
      <x:c r="D7" s="26" t="str">
        <x:v>Reference design and land options</x:v>
      </x:c>
      <x:c r="E7" s="29" t="n">
        <x:f>SUM($C$6:C7)</x:f>
        <x:v>16</x:v>
      </x:c>
      <x:c r="F7" s="56" t="n">
        <x:f>E7/Controls!$B$8</x:f>
        <x:v>0.05</x:v>
      </x:c>
      <x:c r="G7" s="26" t="str">
        <x:v>Siting alternatives and community agreements</x:v>
      </x:c>
      <x:c r="H7" s="26" t="str">
        <x:v>PLANNING</x:v>
      </x:c>
    </x:row>
    <x:row r="8">
      <x:c r="A8" s="26" t="n">
        <x:v>3</x:v>
      </x:c>
      <x:c r="B8" s="28" t="n">
        <x:v>0.04</x:v>
      </x:c>
      <x:c r="C8" s="29" t="n">
        <x:f>B8*Controls!$B$8</x:f>
        <x:v>12.8</x:v>
      </x:c>
      <x:c r="D8" s="26" t="str">
        <x:v>Early works and mobile assets</x:v>
      </x:c>
      <x:c r="E8" s="29" t="n">
        <x:f>SUM($C$6:C8)</x:f>
        <x:v>28.8</x:v>
      </x:c>
      <x:c r="F8" s="56" t="n">
        <x:f>E8/Controls!$B$8</x:f>
        <x:v>0.09</x:v>
      </x:c>
      <x:c r="G8" s="26" t="str">
        <x:v>First mobile metrology deployed</x:v>
      </x:c>
      <x:c r="H8" s="26" t="str">
        <x:v>PLANNING</x:v>
      </x:c>
    </x:row>
    <x:row r="9">
      <x:c r="A9" s="26" t="n">
        <x:v>4</x:v>
      </x:c>
      <x:c r="B9" s="28" t="n">
        <x:v>0.05</x:v>
      </x:c>
      <x:c r="C9" s="29" t="n">
        <x:f>B9*Controls!$B$8</x:f>
        <x:v>16</x:v>
      </x:c>
      <x:c r="D9" s="26" t="str">
        <x:v>Flagship construction wave 1</x:v>
      </x:c>
      <x:c r="E9" s="29" t="n">
        <x:f>SUM($C$6:C9)</x:f>
        <x:v>44.8</x:v>
      </x:c>
      <x:c r="F9" s="56" t="n">
        <x:f>E9/Controls!$B$8</x:f>
        <x:v>0.13999999999999999</x:v>
      </x:c>
      <x:c r="G9" s="26" t="str">
        <x:v>Fire/hydraulic/grid critical designs</x:v>
      </x:c>
      <x:c r="H9" s="26" t="str">
        <x:v>PLANNING</x:v>
      </x:c>
    </x:row>
    <x:row r="10">
      <x:c r="A10" s="26" t="n">
        <x:v>5</x:v>
      </x:c>
      <x:c r="B10" s="28" t="n">
        <x:v>0.06</x:v>
      </x:c>
      <x:c r="C10" s="29" t="n">
        <x:f>B10*Controls!$B$8</x:f>
        <x:v>19.2</x:v>
      </x:c>
      <x:c r="D10" s="26" t="str">
        <x:v>Flagship construction wave 2</x:v>
      </x:c>
      <x:c r="E10" s="29" t="n">
        <x:f>SUM($C$6:C10)</x:f>
        <x:v>64</x:v>
      </x:c>
      <x:c r="F10" s="56" t="n">
        <x:f>E10/Controls!$B$8</x:f>
        <x:v>0.2</x:v>
      </x:c>
      <x:c r="G10" s="26" t="str">
        <x:v>Water/health/built critical designs</x:v>
      </x:c>
      <x:c r="H10" s="26" t="str">
        <x:v>PLANNING</x:v>
      </x:c>
    </x:row>
    <x:row r="11">
      <x:c r="A11" s="26" t="n">
        <x:v>6</x:v>
      </x:c>
      <x:c r="B11" s="28" t="n">
        <x:v>0.07</x:v>
      </x:c>
      <x:c r="C11" s="29" t="n">
        <x:f>B11*Controls!$B$8</x:f>
        <x:v>22.400000000000002</x:v>
      </x:c>
      <x:c r="D11" s="26" t="str">
        <x:v>Regional construction wave 1</x:v>
      </x:c>
      <x:c r="E11" s="29" t="n">
        <x:f>SUM($C$6:C11)</x:f>
        <x:v>86.4</x:v>
      </x:c>
      <x:c r="F11" s="56" t="n">
        <x:f>E11/Controls!$B$8</x:f>
        <x:v>0.27</x:v>
      </x:c>
      <x:c r="G11" s="26" t="str">
        <x:v>Regional environmental baselines</x:v>
      </x:c>
      <x:c r="H11" s="26" t="str">
        <x:v>PLANNING</x:v>
      </x:c>
    </x:row>
    <x:row r="12">
      <x:c r="A12" s="26" t="n">
        <x:v>7</x:v>
      </x:c>
      <x:c r="B12" s="28" t="n">
        <x:v>0.07</x:v>
      </x:c>
      <x:c r="C12" s="29" t="n">
        <x:f>B12*Controls!$B$8</x:f>
        <x:v>22.400000000000002</x:v>
      </x:c>
      <x:c r="D12" s="26" t="str">
        <x:v>Regional construction wave 2</x:v>
      </x:c>
      <x:c r="E12" s="29" t="n">
        <x:f>SUM($C$6:C12)</x:f>
        <x:v>108.80000000000001</x:v>
      </x:c>
      <x:c r="F12" s="56" t="n">
        <x:f>E12/Controls!$B$8</x:f>
        <x:v>0.34</x:v>
      </x:c>
      <x:c r="G12" s="26" t="str">
        <x:v>Supplier and workforce pipelines</x:v>
      </x:c>
      <x:c r="H12" s="26" t="str">
        <x:v>PLANNING</x:v>
      </x:c>
    </x:row>
    <x:row r="13">
      <x:c r="A13" s="26" t="n">
        <x:v>8</x:v>
      </x:c>
      <x:c r="B13" s="28" t="n">
        <x:v>0.07</x:v>
      </x:c>
      <x:c r="C13" s="29" t="n">
        <x:f>B13*Controls!$B$8</x:f>
        <x:v>22.400000000000002</x:v>
      </x:c>
      <x:c r="D13" s="26" t="str">
        <x:v>Commission first facilities</x:v>
      </x:c>
      <x:c r="E13" s="29" t="n">
        <x:f>SUM($C$6:C13)</x:f>
        <x:v>131.20000000000002</x:v>
      </x:c>
      <x:c r="F13" s="56" t="n">
        <x:f>E13/Controls!$B$8</x:f>
        <x:v>0.41000000000000003</x:v>
      </x:c>
      <x:c r="G13" s="26" t="str">
        <x:v>Independent acceptance of first cells</x:v>
      </x:c>
      <x:c r="H13" s="26" t="str">
        <x:v>PLANNING</x:v>
      </x:c>
    </x:row>
    <x:row r="14">
      <x:c r="A14" s="26" t="n">
        <x:v>9</x:v>
      </x:c>
      <x:c r="B14" s="28" t="n">
        <x:v>0.07</x:v>
      </x:c>
      <x:c r="C14" s="29" t="n">
        <x:f>B14*Controls!$B$8</x:f>
        <x:v>22.400000000000002</x:v>
      </x:c>
      <x:c r="D14" s="26" t="str">
        <x:v>Cross-family trials begin</x:v>
      </x:c>
      <x:c r="E14" s="29" t="n">
        <x:f>SUM($C$6:C14)</x:f>
        <x:v>153.60000000000002</x:v>
      </x:c>
      <x:c r="F14" s="56" t="n">
        <x:f>E14/Controls!$B$8</x:f>
        <x:v>0.4800000000000001</x:v>
      </x:c>
      <x:c r="G14" s="26" t="str">
        <x:v>Seeded-fault cross-family evidence</x:v>
      </x:c>
      <x:c r="H14" s="26" t="str">
        <x:v>PLANNING</x:v>
      </x:c>
    </x:row>
    <x:row r="15">
      <x:c r="A15" s="26" t="n">
        <x:v>10</x:v>
      </x:c>
      <x:c r="B15" s="28" t="n">
        <x:v>0.07</x:v>
      </x:c>
      <x:c r="C15" s="29" t="n">
        <x:f>B15*Controls!$B$8</x:f>
        <x:v>22.400000000000002</x:v>
      </x:c>
      <x:c r="D15" s="26" t="str">
        <x:v>Full flagship commissioning</x:v>
      </x:c>
      <x:c r="E15" s="29" t="n">
        <x:f>SUM($C$6:C15)</x:f>
        <x:v>176.00000000000003</x:v>
      </x:c>
      <x:c r="F15" s="56" t="n">
        <x:f>E15/Controls!$B$8</x:f>
        <x:v>0.55</x:v>
      </x:c>
      <x:c r="G15" s="26" t="str">
        <x:v>Ten flagships available in bounded envelopes</x:v>
      </x:c>
      <x:c r="H15" s="26" t="str">
        <x:v>PLANNING</x:v>
      </x:c>
    </x:row>
    <x:row r="16">
      <x:c r="A16" s="26" t="n">
        <x:v>11</x:v>
      </x:c>
      <x:c r="B16" s="28" t="n">
        <x:v>0.06</x:v>
      </x:c>
      <x:c r="C16" s="29" t="n">
        <x:f>B16*Controls!$B$8</x:f>
        <x:v>19.2</x:v>
      </x:c>
      <x:c r="D16" s="26" t="str">
        <x:v>Regional network commissioning</x:v>
      </x:c>
      <x:c r="E16" s="29" t="n">
        <x:f>SUM($C$6:C16)</x:f>
        <x:v>195.20000000000002</x:v>
      </x:c>
      <x:c r="F16" s="56" t="n">
        <x:f>E16/Controls!$B$8</x:f>
        <x:v>0.6100000000000001</x:v>
      </x:c>
      <x:c r="G16" s="26" t="str">
        <x:v>All 58 requirement sites at initial operating state</x:v>
      </x:c>
      <x:c r="H16" s="26" t="str">
        <x:v>PLANNING</x:v>
      </x:c>
    </x:row>
    <x:row r="17">
      <x:c r="A17" s="26" t="n">
        <x:v>12</x:v>
      </x:c>
      <x:c r="B17" s="28" t="n">
        <x:v>0.06</x:v>
      </x:c>
      <x:c r="C17" s="29" t="n">
        <x:f>B17*Controls!$B$8</x:f>
        <x:v>19.2</x:v>
      </x:c>
      <x:c r="D17" s="26" t="str">
        <x:v>Formation trials scale</x:v>
      </x:c>
      <x:c r="E17" s="29" t="n">
        <x:f>SUM($C$6:C17)</x:f>
        <x:v>214.4</x:v>
      </x:c>
      <x:c r="F17" s="56" t="n">
        <x:f>E17/Controls!$B$8</x:f>
        <x:v>0.67</x:v>
      </x:c>
      <x:c r="G17" s="26" t="str">
        <x:v>L4 trials across five families</x:v>
      </x:c>
      <x:c r="H17" s="26" t="str">
        <x:v>PLANNING</x:v>
      </x:c>
    </x:row>
    <x:row r="18">
      <x:c r="A18" s="26" t="n">
        <x:v>13</x:v>
      </x:c>
      <x:c r="B18" s="28" t="n">
        <x:v>0.05</x:v>
      </x:c>
      <x:c r="C18" s="29" t="n">
        <x:f>B18*Controls!$B$8</x:f>
        <x:v>16</x:v>
      </x:c>
      <x:c r="D18" s="26" t="str">
        <x:v>Construction completion</x:v>
      </x:c>
      <x:c r="E18" s="29" t="n">
        <x:f>SUM($C$6:C18)</x:f>
        <x:v>230.4</x:v>
      </x:c>
      <x:c r="F18" s="56" t="n">
        <x:f>E18/Controls!$B$8</x:f>
        <x:v>0.72</x:v>
      </x:c>
      <x:c r="G18" s="26" t="str">
        <x:v>Capital baseline closed or rebaselined</x:v>
      </x:c>
      <x:c r="H18" s="26" t="str">
        <x:v>PLANNING</x:v>
      </x:c>
    </x:row>
    <x:row r="19">
      <x:c r="A19" s="26" t="n">
        <x:v>14</x:v>
      </x:c>
      <x:c r="B19" s="28" t="n">
        <x:v>0.05</x:v>
      </x:c>
      <x:c r="C19" s="29" t="n">
        <x:f>B19*Controls!$B$8</x:f>
        <x:v>16</x:v>
      </x:c>
      <x:c r="D19" s="26" t="str">
        <x:v>Operational replication</x:v>
      </x:c>
      <x:c r="E19" s="29" t="n">
        <x:f>SUM($C$6:C19)</x:f>
        <x:v>246.4</x:v>
      </x:c>
      <x:c r="F19" s="56" t="n">
        <x:f>E19/Controls!$B$8</x:f>
        <x:v>0.77</x:v>
      </x:c>
      <x:c r="G19" s="26" t="str">
        <x:v>Three-region replication underway</x:v>
      </x:c>
      <x:c r="H19" s="26" t="str">
        <x:v>PLANNING</x:v>
      </x:c>
    </x:row>
    <x:row r="20">
      <x:c r="A20" s="26" t="n">
        <x:v>15</x:v>
      </x:c>
      <x:c r="B20" s="28" t="n">
        <x:v>0.04</x:v>
      </x:c>
      <x:c r="C20" s="29" t="n">
        <x:f>B20*Controls!$B$8</x:f>
        <x:v>12.8</x:v>
      </x:c>
      <x:c r="D20" s="26" t="str">
        <x:v>Joint campaign buildup</x:v>
      </x:c>
      <x:c r="E20" s="29" t="n">
        <x:f>SUM($C$6:C20)</x:f>
        <x:v>259.2</x:v>
      </x:c>
      <x:c r="F20" s="56" t="n">
        <x:f>E20/Controls!$B$8</x:f>
        <x:v>0.8099999999999999</x:v>
      </x:c>
      <x:c r="G20" s="26" t="str">
        <x:v>90-day campaign readiness review</x:v>
      </x:c>
      <x:c r="H20" s="26" t="str">
        <x:v>PLANNING</x:v>
      </x:c>
    </x:row>
    <x:row r="21">
      <x:c r="A21" s="26" t="n">
        <x:v>16</x:v>
      </x:c>
      <x:c r="B21" s="28" t="n">
        <x:v>0.04</x:v>
      </x:c>
      <x:c r="C21" s="29" t="n">
        <x:f>B21*Controls!$B$8</x:f>
        <x:v>12.8</x:v>
      </x:c>
      <x:c r="D21" s="26" t="str">
        <x:v>National synthetic campaign</x:v>
      </x:c>
      <x:c r="E21" s="29" t="n">
        <x:f>SUM($C$6:C21)</x:f>
        <x:v>272</x:v>
      </x:c>
      <x:c r="F21" s="56" t="n">
        <x:f>E21/Controls!$B$8</x:f>
        <x:v>0.85</x:v>
      </x:c>
      <x:c r="G21" s="26" t="str">
        <x:v>National campaign decision</x:v>
      </x:c>
      <x:c r="H21" s="26" t="str">
        <x:v>PLANNING</x:v>
      </x:c>
    </x:row>
    <x:row r="22">
      <x:c r="A22" s="26" t="n">
        <x:v>17</x:v>
      </x:c>
      <x:c r="B22" s="28" t="n">
        <x:v>0.03</x:v>
      </x:c>
      <x:c r="C22" s="29" t="n">
        <x:f>B22*Controls!$B$8</x:f>
        <x:v>9.6</x:v>
      </x:c>
      <x:c r="D22" s="26" t="str">
        <x:v>International/territorial federation</x:v>
      </x:c>
      <x:c r="E22" s="29" t="n">
        <x:f>SUM($C$6:C22)</x:f>
        <x:v>281.6</x:v>
      </x:c>
      <x:c r="F22" s="56" t="n">
        <x:f>E22/Controls!$B$8</x:f>
        <x:v>0.8800000000000001</x:v>
      </x:c>
      <x:c r="G22" s="26" t="str">
        <x:v>Partner sovereignty trials</x:v>
      </x:c>
      <x:c r="H22" s="26" t="str">
        <x:v>PLANNING</x:v>
      </x:c>
    </x:row>
    <x:row r="23">
      <x:c r="A23" s="26" t="n">
        <x:v>18</x:v>
      </x:c>
      <x:c r="B23" s="28" t="n">
        <x:v>0.03</x:v>
      </x:c>
      <x:c r="C23" s="29" t="n">
        <x:f>B23*Controls!$B$8</x:f>
        <x:v>9.6</x:v>
      </x:c>
      <x:c r="D23" s="26" t="str">
        <x:v>Renewal wave 1</x:v>
      </x:c>
      <x:c r="E23" s="29" t="n">
        <x:f>SUM($C$6:C23)</x:f>
        <x:v>291.20000000000005</x:v>
      </x:c>
      <x:c r="F23" s="56" t="n">
        <x:f>E23/Controls!$B$8</x:f>
        <x:v>0.9100000000000001</x:v>
      </x:c>
      <x:c r="G23" s="26" t="str">
        <x:v>First-generation renewal evidence</x:v>
      </x:c>
      <x:c r="H23" s="26" t="str">
        <x:v>PLANNING</x:v>
      </x:c>
    </x:row>
    <x:row r="24">
      <x:c r="A24" s="26" t="n">
        <x:v>19</x:v>
      </x:c>
      <x:c r="B24" s="28" t="n">
        <x:v>0.025</x:v>
      </x:c>
      <x:c r="C24" s="29" t="n">
        <x:f>B24*Controls!$B$8</x:f>
        <x:v>8</x:v>
      </x:c>
      <x:c r="D24" s="26" t="str">
        <x:v>Renewal and adaptation</x:v>
      </x:c>
      <x:c r="E24" s="29" t="n">
        <x:f>SUM($C$6:C24)</x:f>
        <x:v>299.20000000000005</x:v>
      </x:c>
      <x:c r="F24" s="56" t="n">
        <x:f>E24/Controls!$B$8</x:f>
        <x:v>0.9350000000000002</x:v>
      </x:c>
      <x:c r="G24" s="26" t="str">
        <x:v>Adapter and retirement decisions</x:v>
      </x:c>
      <x:c r="H24" s="26" t="str">
        <x:v>PLANNING</x:v>
      </x:c>
    </x:row>
    <x:row r="25">
      <x:c r="A25" s="26" t="n">
        <x:v>20</x:v>
      </x:c>
      <x:c r="B25" s="28" t="n">
        <x:v>0.02</x:v>
      </x:c>
      <x:c r="C25" s="29" t="n">
        <x:f>B25*Controls!$B$8</x:f>
        <x:v>6.4</x:v>
      </x:c>
      <x:c r="D25" s="26" t="str">
        <x:v>Renewal and adaptation</x:v>
      </x:c>
      <x:c r="E25" s="29" t="n">
        <x:f>SUM($C$6:C25)</x:f>
        <x:v>305.6</x:v>
      </x:c>
      <x:c r="F25" s="56" t="n">
        <x:f>E25/Controls!$B$8</x:f>
        <x:v>0.9550000000000001</x:v>
      </x:c>
      <x:c r="G25" s="26" t="str">
        <x:v>Cold supplier/repair mobilization</x:v>
      </x:c>
      <x:c r="H25" s="26" t="str">
        <x:v>PLANNING</x:v>
      </x:c>
    </x:row>
    <x:row r="26">
      <x:c r="A26" s="26" t="n">
        <x:v>21</x:v>
      </x:c>
      <x:c r="B26" s="28" t="n">
        <x:v>0.015</x:v>
      </x:c>
      <x:c r="C26" s="29" t="n">
        <x:f>B26*Controls!$B$8</x:f>
        <x:v>4.8</x:v>
      </x:c>
      <x:c r="D26" s="26" t="str">
        <x:v>Legacy interface transition</x:v>
      </x:c>
      <x:c r="E26" s="29" t="n">
        <x:f>SUM($C$6:C26)</x:f>
        <x:v>310.40000000000003</x:v>
      </x:c>
      <x:c r="F26" s="56" t="n">
        <x:f>E26/Controls!$B$8</x:f>
        <x:v>0.9700000000000001</x:v>
      </x:c>
      <x:c r="G26" s="26" t="str">
        <x:v>Second-generation technology insertion</x:v>
      </x:c>
      <x:c r="H26" s="26" t="str">
        <x:v>PLANNING</x:v>
      </x:c>
    </x:row>
    <x:row r="27">
      <x:c r="A27" s="26" t="n">
        <x:v>22</x:v>
      </x:c>
      <x:c r="B27" s="28" t="n">
        <x:v>0.01</x:v>
      </x:c>
      <x:c r="C27" s="29" t="n">
        <x:f>B27*Controls!$B$8</x:f>
        <x:v>3.2</x:v>
      </x:c>
      <x:c r="D27" s="26" t="str">
        <x:v>Renewal wave 2</x:v>
      </x:c>
      <x:c r="E27" s="29" t="n">
        <x:f>SUM($C$6:C27)</x:f>
        <x:v>313.6</x:v>
      </x:c>
      <x:c r="F27" s="56" t="n">
        <x:f>E27/Controls!$B$8</x:f>
        <x:v>0.9800000000000001</x:v>
      </x:c>
      <x:c r="G27" s="26" t="str">
        <x:v>Environmental restoration audits</x:v>
      </x:c>
      <x:c r="H27" s="26" t="str">
        <x:v>PLANNING</x:v>
      </x:c>
    </x:row>
    <x:row r="28">
      <x:c r="A28" s="26" t="n">
        <x:v>23</x:v>
      </x:c>
      <x:c r="B28" s="28" t="n">
        <x:v>0.0075</x:v>
      </x:c>
      <x:c r="C28" s="29" t="n">
        <x:f>B28*Controls!$B$8</x:f>
        <x:v>2.4</x:v>
      </x:c>
      <x:c r="D28" s="26" t="str">
        <x:v>Decommission pilots</x:v>
      </x:c>
      <x:c r="E28" s="29" t="n">
        <x:f>SUM($C$6:C28)</x:f>
        <x:v>316</x:v>
      </x:c>
      <x:c r="F28" s="56" t="n">
        <x:f>E28/Controls!$B$8</x:f>
        <x:v>0.9875</x:v>
      </x:c>
      <x:c r="G28" s="26" t="str">
        <x:v>Close obsolete cells</x:v>
      </x:c>
      <x:c r="H28" s="26" t="str">
        <x:v>PLANNING</x:v>
      </x:c>
    </x:row>
    <x:row r="29">
      <x:c r="A29" s="26" t="n">
        <x:v>24</x:v>
      </x:c>
      <x:c r="B29" s="28" t="n">
        <x:v>0.0075</x:v>
      </x:c>
      <x:c r="C29" s="29" t="n">
        <x:f>B29*Controls!$B$8</x:f>
        <x:v>2.4</x:v>
      </x:c>
      <x:c r="D29" s="26" t="str">
        <x:v>Recapitalization decision</x:v>
      </x:c>
      <x:c r="E29" s="29" t="n">
        <x:f>SUM($C$6:C29)</x:f>
        <x:v>318.4</x:v>
      </x:c>
      <x:c r="F29" s="56" t="n">
        <x:f>E29/Controls!$B$8</x:f>
        <x:v>0.9949999999999999</x:v>
      </x:c>
      <x:c r="G29" s="26" t="str">
        <x:v>Twenty-five-year independent evaluation</x:v>
      </x:c>
      <x:c r="H29" s="26" t="str">
        <x:v>PLANNING</x:v>
      </x:c>
    </x:row>
    <x:row r="30">
      <x:c r="A30" s="26" t="n">
        <x:v>25</x:v>
      </x:c>
      <x:c r="B30" s="28" t="n">
        <x:v>0.005</x:v>
      </x:c>
      <x:c r="C30" s="29" t="n">
        <x:f>B30*Controls!$B$8</x:f>
        <x:v>1.6</x:v>
      </x:c>
      <x:c r="D30" s="26" t="str">
        <x:v>Next-generation baseline</x:v>
      </x:c>
      <x:c r="E30" s="29" t="n">
        <x:f>SUM($C$6:C30)</x:f>
        <x:v>320</x:v>
      </x:c>
      <x:c r="F30" s="56" t="n">
        <x:f>E30/Controls!$B$8</x:f>
        <x:v>1</x:v>
      </x:c>
      <x:c r="G30" s="26" t="str">
        <x:v>Successor portfolio decision</x:v>
      </x:c>
      <x:c r="H30" s="26" t="str">
        <x:v>PLANNING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47" hidden="0" customWidth="1"/>
    <x:col min="4" max="4" width="36" hidden="0" customWidth="1"/>
    <x:col min="5" max="5" width="52" hidden="0" customWidth="1"/>
    <x:col min="6" max="6" width="51" hidden="0" customWidth="1"/>
    <x:col min="7" max="7" width="41" hidden="0" customWidth="1"/>
    <x:col min="8" max="8" width="42" hidden="0" customWidth="1"/>
    <x:col min="9" max="9" width="37" hidden="0" customWidth="1"/>
    <x:col min="10" max="10" width="43" hidden="0" customWidth="1"/>
  </x:cols>
  <x:sheetData>
    <x:row r="1">
      <x:c r="A1" s="75" t="str">
        <x:v>Facility delivery sequence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>
      <x:c r="A2" s="76" t="str">
        <x:v>Facilities advance through independent decisions; program urgency cannot convert incomplete containment into usable test capacity.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 ht="30" customHeight="1">
      <x:c r="A5" s="21" t="str">
        <x:v>Gate</x:v>
      </x:c>
      <x:c r="B5" s="21" t="str">
        <x:v>Indicative years</x:v>
      </x:c>
      <x:c r="C5" s="21" t="str">
        <x:v>Required product</x:v>
      </x:c>
      <x:c r="D5" s="21" t="str">
        <x:v>Independent review</x:v>
      </x:c>
      <x:c r="E5" s="21" t="str">
        <x:v>Community/environment action</x:v>
      </x:c>
      <x:c r="F5" s="21" t="str">
        <x:v>Technical exit</x:v>
      </x:c>
      <x:c r="G5" s="21" t="str">
        <x:v>Cost/schedule exit</x:v>
      </x:c>
      <x:c r="H5" s="21" t="str">
        <x:v>Operations exit</x:v>
      </x:c>
      <x:c r="I5" s="21" t="str">
        <x:v>If not closed</x:v>
      </x:c>
      <x:c r="J5" s="21" t="str">
        <x:v>Vehicle-rendering consequence</x:v>
      </x:c>
    </x:row>
    <x:row r="6">
      <x:c r="A6" s="26" t="str">
        <x:v>F0 Mission need</x:v>
      </x:c>
      <x:c r="B6" s="26" t="str">
        <x:v>1</x:v>
      </x:c>
      <x:c r="C6" s="26" t="str">
        <x:v>Measured test gap and alternatives</x:v>
      </x:c>
      <x:c r="D6" s="26" t="str">
        <x:v>Secretary + RTEA</x:v>
      </x:c>
      <x:c r="E6" s="26" t="str">
        <x:v>Publish need and affected interests</x:v>
      </x:c>
      <x:c r="F6" s="26" t="str">
        <x:v>No existing/federated method closes claim</x:v>
      </x:c>
      <x:c r="G6" s="26" t="str">
        <x:v>Order-of-magnitude range and uncertainty</x:v>
      </x:c>
      <x:c r="H6" s="26" t="str">
        <x:v>Named evidence customer</x:v>
      </x:c>
      <x:c r="I6" s="26" t="str">
        <x:v>Reject, federate or study</x:v>
      </x:c>
      <x:c r="J6" s="26" t="str">
        <x:v>No effect</x:v>
      </x:c>
    </x:row>
    <x:row r="7">
      <x:c r="A7" s="26" t="str">
        <x:v>F1 Site alternatives</x:v>
      </x:c>
      <x:c r="B7" s="26" t="str">
        <x:v>1–3</x:v>
      </x:c>
      <x:c r="C7" s="26" t="str">
        <x:v>Multiple geography and ownership options</x:v>
      </x:c>
      <x:c r="D7" s="26" t="str">
        <x:v>Independent siting panel</x:v>
      </x:c>
      <x:c r="E7" s="26" t="str">
        <x:v>Tribal, territorial, state, local and community engagement</x:v>
      </x:c>
      <x:c r="F7" s="26" t="str">
        <x:v>Hazard, utility, exclusion and access constraints bounded</x:v>
      </x:c>
      <x:c r="G7" s="26" t="str">
        <x:v>Class 4 estimate range only</x:v>
      </x:c>
      <x:c r="H7" s="26" t="str">
        <x:v>Future operator participates</x:v>
      </x:c>
      <x:c r="I7" s="26" t="str">
        <x:v>Do not select preferred parcel</x:v>
      </x:c>
      <x:c r="J7" s="26" t="str">
        <x:v>No effect</x:v>
      </x:c>
    </x:row>
    <x:row r="8">
      <x:c r="A8" s="26" t="str">
        <x:v>F2 Concept design</x:v>
      </x:c>
      <x:c r="B8" s="26" t="str">
        <x:v>2–4</x:v>
      </x:c>
      <x:c r="C8" s="26" t="str">
        <x:v>Reference facility and experimental program</x:v>
      </x:c>
      <x:c r="D8" s="26" t="str">
        <x:v>External scientific/safety review</x:v>
      </x:c>
      <x:c r="E8" s="26" t="str">
        <x:v>Environmental baseline and justice analysis</x:v>
      </x:c>
      <x:c r="F8" s="26" t="str">
        <x:v>Mass, energy, flow, reaction, waste and data balances close at concept level</x:v>
      </x:c>
      <x:c r="G8" s="26" t="str">
        <x:v>Risk register and schedule logic</x:v>
      </x:c>
      <x:c r="H8" s="26" t="str">
        <x:v>Staffing/training concept</x:v>
      </x:c>
      <x:c r="I8" s="26" t="str">
        <x:v>Compete concepts or stop</x:v>
      </x:c>
      <x:c r="J8" s="26" t="str">
        <x:v>Architecture drawing only</x:v>
      </x:c>
    </x:row>
    <x:row r="9">
      <x:c r="A9" s="26" t="str">
        <x:v>F3 Preliminary design</x:v>
      </x:c>
      <x:c r="B9" s="26" t="str">
        <x:v>3–6</x:v>
      </x:c>
      <x:c r="C9" s="26" t="str">
        <x:v>30% design and test-cell interfaces</x:v>
      </x:c>
      <x:c r="D9" s="26" t="str">
        <x:v>RTEA design authority</x:v>
      </x:c>
      <x:c r="E9" s="26" t="str">
        <x:v>Draft environmental/safety commitments</x:v>
      </x:c>
      <x:c r="F9" s="26" t="str">
        <x:v>Maximum credible events and independent stops bounded</x:v>
      </x:c>
      <x:c r="G9" s="26" t="str">
        <x:v>Independent cost/schedule review</x:v>
      </x:c>
      <x:c r="H9" s="26" t="str">
        <x:v>Commissioning and maintenance plan</x:v>
      </x:c>
      <x:c r="I9" s="26" t="str">
        <x:v>Redesign; no early operating credit</x:v>
      </x:c>
      <x:c r="J9" s="26" t="str">
        <x:v>Subsystem geometry may inform models</x:v>
      </x:c>
    </x:row>
    <x:row r="10">
      <x:c r="A10" s="26" t="str">
        <x:v>F4 Final design/authorization</x:v>
      </x:c>
      <x:c r="B10" s="26" t="str">
        <x:v>4–8</x:v>
      </x:c>
      <x:c r="C10" s="26" t="str">
        <x:v>Configuration-controlled construction baseline</x:v>
      </x:c>
      <x:c r="D10" s="26" t="str">
        <x:v>Relevant regulatory/civil approvals</x:v>
      </x:c>
      <x:c r="E10" s="26" t="str">
        <x:v>Binding mitigation, monitoring and restoration plan</x:v>
      </x:c>
      <x:c r="F10" s="26" t="str">
        <x:v>Safety case and acceptance tests approved</x:v>
      </x:c>
      <x:c r="G10" s="26" t="str">
        <x:v>Performance baseline and management reserve</x:v>
      </x:c>
      <x:c r="H10" s="26" t="str">
        <x:v>Initial operator cadre qualified</x:v>
      </x:c>
      <x:c r="I10" s="26" t="str">
        <x:v>No hazardous construction/test</x:v>
      </x:c>
      <x:c r="J10" s="26" t="str">
        <x:v>No platform gate change</x:v>
      </x:c>
    </x:row>
    <x:row r="11">
      <x:c r="A11" s="26" t="str">
        <x:v>F5 Construction readiness</x:v>
      </x:c>
      <x:c r="B11" s="26" t="str">
        <x:v>5–10</x:v>
      </x:c>
      <x:c r="C11" s="26" t="str">
        <x:v>Packages, suppliers, quality and hold points</x:v>
      </x:c>
      <x:c r="D11" s="26" t="str">
        <x:v>Construction readiness review</x:v>
      </x:c>
      <x:c r="E11" s="26" t="str">
        <x:v>Compliance and community reporting active</x:v>
      </x:c>
      <x:c r="F11" s="26" t="str">
        <x:v>Critical materials/processes qualified</x:v>
      </x:c>
      <x:c r="G11" s="26" t="str">
        <x:v>Schedule reserve and interface ownership</x:v>
      </x:c>
      <x:c r="H11" s="26" t="str">
        <x:v>Maintenance/response teams ready</x:v>
      </x:c>
      <x:c r="I11" s="26" t="str">
        <x:v>Hold package or resequence</x:v>
      </x:c>
      <x:c r="J11" s="26" t="str">
        <x:v>No platform gate change</x:v>
      </x:c>
    </x:row>
    <x:row r="12">
      <x:c r="A12" s="26" t="str">
        <x:v>F6 Commissioning</x:v>
      </x:c>
      <x:c r="B12" s="26" t="str">
        <x:v>7–12</x:v>
      </x:c>
      <x:c r="C12" s="26" t="str">
        <x:v>Dry, wet, energized and fault acceptance sequence</x:v>
      </x:c>
      <x:c r="D12" s="26" t="str">
        <x:v>RTEA witnesses and owns raw data</x:v>
      </x:c>
      <x:c r="E12" s="26" t="str">
        <x:v>Emission/discharge/noise baselines verified</x:v>
      </x:c>
      <x:c r="F12" s="26" t="str">
        <x:v>Seeded faults detected; stops and containment demonstrated</x:v>
      </x:c>
      <x:c r="G12" s="26" t="str">
        <x:v>Cost/schedule baseline reconciled</x:v>
      </x:c>
      <x:c r="H12" s="26" t="str">
        <x:v>Operators pass degraded-mode trials</x:v>
      </x:c>
      <x:c r="I12" s="26" t="str">
        <x:v>Restrict envelope or reject cell</x:v>
      </x:c>
      <x:c r="J12" s="26" t="str">
        <x:v>Only evidence from accepted envelope counts</x:v>
      </x:c>
    </x:row>
    <x:row r="13">
      <x:c r="A13" s="26" t="str">
        <x:v>F7 Initial operations</x:v>
      </x:c>
      <x:c r="B13" s="26" t="str">
        <x:v>8–15</x:v>
      </x:c>
      <x:c r="C13" s="26" t="str">
        <x:v>Bounded campaigns with surveillance</x:v>
      </x:c>
      <x:c r="D13" s="26" t="str">
        <x:v>Independent anomaly board</x:v>
      </x:c>
      <x:c r="E13" s="26" t="str">
        <x:v>Public reporting and corrective actions</x:v>
      </x:c>
      <x:c r="F13" s="26" t="str">
        <x:v>Cross-lab/site repeatability</x:v>
      </x:c>
      <x:c r="G13" s="26" t="str">
        <x:v>Operating cost and turn time measured</x:v>
      </x:c>
      <x:c r="H13" s="26" t="str">
        <x:v>Sustainment and emergency response exercised</x:v>
      </x:c>
      <x:c r="I13" s="26" t="str">
        <x:v>Suspend affected capability</x:v>
      </x:c>
      <x:c r="J13" s="26" t="str">
        <x:v>R3 consideration remains configuration-specific</x:v>
      </x:c>
    </x:row>
    <x:row r="14">
      <x:c r="A14" s="26" t="str">
        <x:v>F8 Full network operations</x:v>
      </x:c>
      <x:c r="B14" s="26" t="str">
        <x:v>12–20</x:v>
      </x:c>
      <x:c r="C14" s="26" t="str">
        <x:v>Cross-family formation and event-response program</x:v>
      </x:c>
      <x:c r="D14" s="26" t="str">
        <x:v>RTEA portfolio evaluation</x:v>
      </x:c>
      <x:c r="E14" s="26" t="str">
        <x:v>Cumulative impact and distribution review</x:v>
      </x:c>
      <x:c r="F14" s="26" t="str">
        <x:v>Replication across sites, crews and suppliers</x:v>
      </x:c>
      <x:c r="G14" s="26" t="str">
        <x:v>Renewal liability funded</x:v>
      </x:c>
      <x:c r="H14" s="26" t="str">
        <x:v>90-day joint campaign completed</x:v>
      </x:c>
      <x:c r="I14" s="26" t="str">
        <x:v>Rebalance, add or retire capacity</x:v>
      </x:c>
      <x:c r="J14" s="26" t="str">
        <x:v>Only closed systems may enter rendering review</x:v>
      </x:c>
    </x:row>
    <x:row r="15">
      <x:c r="A15" s="26" t="str">
        <x:v>F9 Renewal/retirement</x:v>
      </x:c>
      <x:c r="B15" s="26" t="str">
        <x:v>16–25</x:v>
      </x:c>
      <x:c r="C15" s="26" t="str">
        <x:v>New baseline, adapter or restoration package</x:v>
      </x:c>
      <x:c r="D15" s="26" t="str">
        <x:v>Lifecycle authority</x:v>
      </x:c>
      <x:c r="E15" s="26" t="str">
        <x:v>Restoration and long-term stewardship</x:v>
      </x:c>
      <x:c r="F15" s="26" t="str">
        <x:v>No silent compatibility or evidence break</x:v>
      </x:c>
      <x:c r="G15" s="26" t="str">
        <x:v>Full liability recognized</x:v>
      </x:c>
      <x:c r="H15" s="26" t="str">
        <x:v>Records/workforce transferred</x:v>
      </x:c>
      <x:c r="I15" s="26" t="str">
        <x:v>Renew deliberately; do not drift</x:v>
      </x:c>
      <x:c r="J15" s="26" t="str">
        <x:v>Renderings remain versioned to configuration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7" hidden="0" customWidth="1"/>
    <x:col min="3" max="3" width="21" hidden="0" customWidth="1"/>
    <x:col min="4" max="4" width="16" hidden="0" customWidth="1"/>
    <x:col min="5" max="5" width="22" hidden="0" customWidth="1"/>
    <x:col min="6" max="6" width="28" hidden="0" customWidth="1"/>
    <x:col min="7" max="7" width="21" hidden="0" customWidth="1"/>
    <x:col min="8" max="8" width="18" hidden="0" customWidth="1"/>
    <x:col min="9" max="9" width="23" hidden="0" customWidth="1"/>
    <x:col min="10" max="10" width="61" hidden="0" customWidth="1"/>
  </x:cols>
  <x:sheetData>
    <x:row r="1">
      <x:c r="A1" s="75" t="str">
        <x:v>Cost-risk sensitivity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>
      <x:c r="A2" s="76" t="str">
        <x:v>Base need excludes the explicit $16B contingency. Scenario shocks are arithmetic screens, not probabilistic cost estimates.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 ht="30" customHeight="1">
      <x:c r="A5" s="21" t="str">
        <x:v>Cost category</x:v>
      </x:c>
      <x:c r="B5" s="21" t="str">
        <x:v>Base $B</x:v>
      </x:c>
      <x:c r="C5" s="21" t="str">
        <x:v>Share of $320B</x:v>
      </x:c>
      <x:c r="D5" s="21" t="str">
        <x:v>Base</x:v>
      </x:c>
      <x:c r="E5" s="21" t="str">
        <x:v>Facility shock</x:v>
      </x:c>
      <x:c r="F5" s="21" t="str">
        <x:v>Instrumentation shock</x:v>
      </x:c>
      <x:c r="G5" s="21" t="str">
        <x:v>Two-year delay</x:v>
      </x:c>
      <x:c r="H5" s="21" t="str">
        <x:v>Compound</x:v>
      </x:c>
      <x:c r="I5" s="21" t="str">
        <x:v>Severe compound</x:v>
      </x:c>
      <x:c r="J5" s="21" t="str">
        <x:v>Cost meaning</x:v>
      </x:c>
    </x:row>
    <x:row r="6">
      <x:c r="A6" s="26" t="str">
        <x:v>Land, environmental and utility backbone</x:v>
      </x:c>
      <x:c r="B6" s="36" t="n">
        <x:v>38.4</x:v>
      </x:c>
      <x:c r="C6" s="28" t="n">
        <x:v>0.12</x:v>
      </x:c>
      <x:c r="D6" s="28" t="n">
        <x:v>0</x:v>
      </x:c>
      <x:c r="E6" s="28" t="n">
        <x:v>0.25</x:v>
      </x:c>
      <x:c r="F6" s="28" t="n">
        <x:v>0</x:v>
      </x:c>
      <x:c r="G6" s="28" t="n">
        <x:v>0</x:v>
      </x:c>
      <x:c r="H6" s="28" t="n">
        <x:v>0.25</x:v>
      </x:c>
      <x:c r="I6" s="28" t="n">
        <x:v>0.5</x:v>
      </x:c>
      <x:c r="J6" s="26" t="str">
        <x:v>Siting, engagement, remediation, roads, water, power, data and exclusion systems</x:v>
      </x:c>
    </x:row>
    <x:row r="7">
      <x:c r="A7" s="26" t="str">
        <x:v>Major facility construction</x:v>
      </x:c>
      <x:c r="B7" s="36" t="n">
        <x:v>112</x:v>
      </x:c>
      <x:c r="C7" s="28" t="n">
        <x:v>0.35</x:v>
      </x:c>
      <x:c r="D7" s="28" t="n">
        <x:v>0</x:v>
      </x:c>
      <x:c r="E7" s="28" t="n">
        <x:v>0.25</x:v>
      </x:c>
      <x:c r="F7" s="28" t="n">
        <x:v>0</x:v>
      </x:c>
      <x:c r="G7" s="28" t="n">
        <x:v>0</x:v>
      </x:c>
      <x:c r="H7" s="28" t="n">
        <x:v>0.25</x:v>
      </x:c>
      <x:c r="I7" s="28" t="n">
        <x:v>0.5</x:v>
      </x:c>
      <x:c r="J7" s="26" t="str">
        <x:v>Basins, strong floors, exhaust, grid interfaces, containment, structures and synthetic municipality</x:v>
      </x:c>
    </x:row>
    <x:row r="8">
      <x:c r="A8" s="26" t="str">
        <x:v>Instrumentation, metrology and data</x:v>
      </x:c>
      <x:c r="B8" s="36" t="n">
        <x:v>38.4</x:v>
      </x:c>
      <x:c r="C8" s="28" t="n">
        <x:v>0.12</x:v>
      </x:c>
      <x:c r="D8" s="28" t="n">
        <x:v>0</x:v>
      </x:c>
      <x:c r="E8" s="28" t="n">
        <x:v>0</x:v>
      </x:c>
      <x:c r="F8" s="28" t="n">
        <x:v>0.25</x:v>
      </x:c>
      <x:c r="G8" s="28" t="n">
        <x:v>0</x:v>
      </x:c>
      <x:c r="H8" s="28" t="n">
        <x:v>0.2</x:v>
      </x:c>
      <x:c r="I8" s="28" t="n">
        <x:v>0.35</x:v>
      </x:c>
      <x:c r="J8" s="26" t="str">
        <x:v>Traceable measurement, reference systems, secure evidence and simulators</x:v>
      </x:c>
    </x:row>
    <x:row r="9">
      <x:c r="A9" s="26" t="str">
        <x:v>Mobile and reconfigurable test assets</x:v>
      </x:c>
      <x:c r="B9" s="36" t="n">
        <x:v>32</x:v>
      </x:c>
      <x:c r="C9" s="28" t="n">
        <x:v>0.1</x:v>
      </x:c>
      <x:c r="D9" s="28" t="n">
        <x:v>0</x:v>
      </x:c>
      <x:c r="E9" s="28" t="n">
        <x:v>0</x:v>
      </x:c>
      <x:c r="F9" s="28" t="n">
        <x:v>0.2</x:v>
      </x:c>
      <x:c r="G9" s="28" t="n">
        <x:v>0</x:v>
      </x:c>
      <x:c r="H9" s="28" t="n">
        <x:v>0.15</x:v>
      </x:c>
      <x:c r="I9" s="28" t="n">
        <x:v>0.3</x:v>
      </x:c>
      <x:c r="J9" s="26" t="str">
        <x:v>Portable measurement, fault injection, containment and event-response systems</x:v>
      </x:c>
    </x:row>
    <x:row r="10">
      <x:c r="A10" s="26" t="str">
        <x:v>Commissioning and certification</x:v>
      </x:c>
      <x:c r="B10" s="36" t="n">
        <x:v>25.6</x:v>
      </x:c>
      <x:c r="C10" s="28" t="n">
        <x:v>0.08</x:v>
      </x:c>
      <x:c r="D10" s="28" t="n">
        <x:v>0</x:v>
      </x:c>
      <x:c r="E10" s="28" t="n">
        <x:v>0.1</x:v>
      </x:c>
      <x:c r="F10" s="28" t="n">
        <x:v>0.1</x:v>
      </x:c>
      <x:c r="G10" s="28" t="n">
        <x:v>0.05</x:v>
      </x:c>
      <x:c r="H10" s="28" t="n">
        <x:v>0.2</x:v>
      </x:c>
      <x:c r="I10" s="28" t="n">
        <x:v>0.4</x:v>
      </x:c>
      <x:c r="J10" s="26" t="str">
        <x:v>Dry/wet/energized/fault acceptance, operator qualification and independent review</x:v>
      </x:c>
    </x:row>
    <x:row r="11">
      <x:c r="A11" s="26" t="str">
        <x:v>Twenty-five-year operations and trials</x:v>
      </x:c>
      <x:c r="B11" s="36" t="n">
        <x:v>41.6</x:v>
      </x:c>
      <x:c r="C11" s="28" t="n">
        <x:v>0.13</x:v>
      </x:c>
      <x:c r="D11" s="28" t="n">
        <x:v>0</x:v>
      </x:c>
      <x:c r="E11" s="28" t="n">
        <x:v>0</x:v>
      </x:c>
      <x:c r="F11" s="28" t="n">
        <x:v>0</x:v>
      </x:c>
      <x:c r="G11" s="28" t="n">
        <x:v>0.12</x:v>
      </x:c>
      <x:c r="H11" s="28" t="n">
        <x:v>0.15</x:v>
      </x:c>
      <x:c r="I11" s="28" t="n">
        <x:v>0.3</x:v>
      </x:c>
      <x:c r="J11" s="26" t="str">
        <x:v>Range operations, maintenance, consumables, RTEA conduct and cross-site campaigns</x:v>
      </x:c>
    </x:row>
    <x:row r="12">
      <x:c r="A12" s="26" t="str">
        <x:v>Renewal, decommissioning and restoration</x:v>
      </x:c>
      <x:c r="B12" s="36" t="n">
        <x:v>16</x:v>
      </x:c>
      <x:c r="C12" s="28" t="n">
        <x:v>0.05</x:v>
      </x:c>
      <x:c r="D12" s="28" t="n">
        <x:v>0</x:v>
      </x:c>
      <x:c r="E12" s="28" t="n">
        <x:v>0</x:v>
      </x:c>
      <x:c r="F12" s="28" t="n">
        <x:v>0</x:v>
      </x:c>
      <x:c r="G12" s="28" t="n">
        <x:v>0.05</x:v>
      </x:c>
      <x:c r="H12" s="28" t="n">
        <x:v>0.1</x:v>
      </x:c>
      <x:c r="I12" s="28" t="n">
        <x:v>0.25</x:v>
      </x:c>
      <x:c r="J12" s="26" t="str">
        <x:v>Technology refresh, obsolete cell closure and site restoration</x:v>
      </x:c>
    </x:row>
    <x:row r="13">
      <x:c r="A13" s="26" t="str">
        <x:v>Independent contingency</x:v>
      </x:c>
      <x:c r="B13" s="36" t="n">
        <x:v>16</x:v>
      </x:c>
      <x:c r="C13" s="28" t="n">
        <x:v>0.05</x:v>
      </x:c>
      <x:c r="D13" s="28" t="n">
        <x:v>0</x:v>
      </x:c>
      <x:c r="E13" s="28" t="n">
        <x:v>0</x:v>
      </x:c>
      <x:c r="F13" s="28" t="n">
        <x:v>0</x:v>
      </x:c>
      <x:c r="G13" s="28" t="n">
        <x:v>0</x:v>
      </x:c>
      <x:c r="H13" s="28" t="n">
        <x:v>0</x:v>
      </x:c>
      <x:c r="I13" s="28" t="n">
        <x:v>0</x:v>
      </x:c>
      <x:c r="J13" s="26" t="str">
        <x:v>Separate reserve, not a category available to hide base incompleteness</x:v>
      </x:c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37" t="str">
        <x:v>Calculated need</x:v>
      </x:c>
      <x:c r="B16" s="37"/>
      <x:c r="C16" s="37"/>
      <x:c r="D16" s="38" t="n">
        <x:f>SUMPRODUCT($B$6:$B$12,1+D$6:D$12)</x:f>
        <x:v>304</x:v>
      </x:c>
      <x:c r="E16" s="38" t="n">
        <x:f>SUMPRODUCT($B$6:$B$12,1+E$6:E$12)</x:f>
        <x:v>344.16</x:v>
      </x:c>
      <x:c r="F16" s="38" t="n">
        <x:f>SUMPRODUCT($B$6:$B$12,1+F$6:F$12)</x:f>
        <x:v>322.56000000000006</x:v>
      </x:c>
      <x:c r="G16" s="38" t="n">
        <x:f>SUMPRODUCT($B$6:$B$12,1+G$6:G$12)</x:f>
        <x:v>311.072</x:v>
      </x:c>
      <x:c r="H16" s="38" t="n">
        <x:f>SUMPRODUCT($B$6:$B$12,1+H$6:H$12)</x:f>
        <x:v>367.04</x:v>
      </x:c>
      <x:c r="I16" s="38" t="n">
        <x:f>SUMPRODUCT($B$6:$B$12,1+I$6:I$12)</x:f>
        <x:v>428.96</x:v>
      </x:c>
      <x:c r="J16" s="37" t="str">
        <x:v>Excludes contingency from need; shocks apply to categories above</x:v>
      </x:c>
    </x:row>
    <x:row r="17">
      <x:c r="A17" s="37" t="str">
        <x:v>Available envelope</x:v>
      </x:c>
      <x:c r="B17" s="37"/>
      <x:c r="C17" s="37"/>
      <x:c r="D17" s="38" t="n">
        <x:f>Controls!$B$8</x:f>
        <x:v>320</x:v>
      </x:c>
      <x:c r="E17" s="38" t="n">
        <x:f>Controls!$B$8</x:f>
        <x:v>320</x:v>
      </x:c>
      <x:c r="F17" s="38" t="n">
        <x:f>Controls!$B$8</x:f>
        <x:v>320</x:v>
      </x:c>
      <x:c r="G17" s="38" t="n">
        <x:f>Controls!$B$8</x:f>
        <x:v>320</x:v>
      </x:c>
      <x:c r="H17" s="38" t="n">
        <x:f>Controls!$B$8</x:f>
        <x:v>320</x:v>
      </x:c>
      <x:c r="I17" s="38" t="n">
        <x:f>Controls!$B$8</x:f>
        <x:v>320</x:v>
      </x:c>
      <x:c r="J17" s="37" t="str">
        <x:v>Selected $320B network envelope</x:v>
      </x:c>
    </x:row>
    <x:row r="18">
      <x:c r="A18" s="37" t="str">
        <x:v>Headroom / (shortfall)</x:v>
      </x:c>
      <x:c r="B18" s="37"/>
      <x:c r="C18" s="37"/>
      <x:c r="D18" s="38" t="n">
        <x:f>D17-D16</x:f>
        <x:v>16</x:v>
      </x:c>
      <x:c r="E18" s="38" t="n">
        <x:f>E17-E16</x:f>
        <x:v>-24.160000000000025</x:v>
      </x:c>
      <x:c r="F18" s="38" t="n">
        <x:f>F17-F16</x:f>
        <x:v>-2.560000000000059</x:v>
      </x:c>
      <x:c r="G18" s="38" t="n">
        <x:f>G17-G16</x:f>
        <x:v>8.927999999999997</x:v>
      </x:c>
      <x:c r="H18" s="38" t="n">
        <x:f>H17-H16</x:f>
        <x:v>-47.04000000000002</x:v>
      </x:c>
      <x:c r="I18" s="38" t="n">
        <x:f>I17-I16</x:f>
        <x:v>-108.95999999999998</x:v>
      </x:c>
      <x:c r="J18" s="37" t="str">
        <x:v>Negative value requires scope, sequencing or envelope decision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2" hidden="0" customWidth="1"/>
    <x:col min="3" max="3" width="22" hidden="0" customWidth="1"/>
    <x:col min="4" max="4" width="14" hidden="0" customWidth="1"/>
    <x:col min="5" max="5" width="16" hidden="0" customWidth="1"/>
    <x:col min="6" max="6" width="63" hidden="0" customWidth="1"/>
  </x:cols>
  <x:sheetData>
    <x:row r="1">
      <x:c r="A1" s="75" t="str">
        <x:v>Workbook checks</x:v>
      </x:c>
      <x:c r="B1" s="75"/>
      <x:c r="C1" s="75"/>
      <x:c r="D1" s="75"/>
      <x:c r="E1" s="75"/>
      <x:c r="F1" s="75"/>
    </x:row>
    <x:row r="2">
      <x:c r="A2" s="76" t="str">
        <x:v>Arithmetic checks and explicit open conditions. Open safety cases and compound cost exposure are expected research results.</x:v>
      </x:c>
      <x:c r="B2" s="76"/>
      <x:c r="C2" s="76"/>
      <x:c r="D2" s="76"/>
      <x:c r="E2" s="76"/>
      <x:c r="F2" s="76"/>
    </x:row>
    <x:row r="3">
      <x:c r="A3" s="77"/>
      <x:c r="B3" s="77"/>
      <x:c r="C3" s="77"/>
      <x:c r="D3" s="77"/>
      <x:c r="E3" s="77"/>
      <x:c r="F3" s="77"/>
    </x:row>
    <x:row r="4">
      <x:c r="A4" s="22"/>
      <x:c r="B4" s="22"/>
      <x:c r="C4" s="22"/>
      <x:c r="D4" s="22"/>
      <x:c r="E4" s="22"/>
      <x:c r="F4" s="22"/>
    </x:row>
    <x:row r="5" ht="30" customHeight="1">
      <x:c r="A5" s="21" t="str">
        <x:v>Check</x:v>
      </x:c>
      <x:c r="B5" s="21" t="str">
        <x:v>Observed</x:v>
      </x:c>
      <x:c r="C5" s="21" t="str">
        <x:v>Expected/limit</x:v>
      </x:c>
      <x:c r="D5" s="21" t="str">
        <x:v>Rule</x:v>
      </x:c>
      <x:c r="E5" s="21" t="str">
        <x:v>Status</x:v>
      </x:c>
      <x:c r="F5" s="21" t="str">
        <x:v>Meaning</x:v>
      </x:c>
    </x:row>
    <x:row r="6">
      <x:c r="A6" s="26" t="str">
        <x:v>Network envelope</x:v>
      </x:c>
      <x:c r="B6" s="74" t="n">
        <x:f>Controls!B8</x:f>
        <x:v>320</x:v>
      </x:c>
      <x:c r="C6" s="74" t="n">
        <x:v>320</x:v>
      </x:c>
      <x:c r="D6" s="26" t="str">
        <x:v>EQ</x:v>
      </x:c>
      <x:c r="E6" s="26" t="str">
        <x:f>IF(D6="EQ",IF(ABS(B6-C6)&lt;0.0001,"PASS","OPEN"),IF(D6="LE",IF(B6&lt;=C6,"PASS","OPEN"),IF(D6="GE",IF(B6&gt;=C6,"PASS","OPEN"),IF(ABS(B6-C6)&lt;0.01,"PASS","OPEN"))))</x:f>
        <x:v>PASS</x:v>
      </x:c>
      <x:c r="F6" s="26" t="str">
        <x:v>Selected technology share computes to $320B</x:v>
      </x:c>
    </x:row>
    <x:row r="7">
      <x:c r="A7" s="26" t="str">
        <x:v>Family budget reconciliation</x:v>
      </x:c>
      <x:c r="B7" s="74" t="n">
        <x:f>SUM('Network Portfolio'!B6:B15)</x:f>
        <x:v>320</x:v>
      </x:c>
      <x:c r="C7" s="74" t="n">
        <x:f>Controls!B8</x:f>
        <x:v>320</x:v>
      </x:c>
      <x:c r="D7" s="26" t="str">
        <x:v>EQ</x:v>
      </x:c>
      <x:c r="E7" s="26" t="str">
        <x:f>IF(D7="EQ",IF(ABS(B7-C7)&lt;0.0001,"PASS","OPEN"),IF(D7="LE",IF(B7&lt;=C7,"PASS","OPEN"),IF(D7="GE",IF(B7&gt;=C7,"PASS","OPEN"),IF(ABS(B7-C7)&lt;0.01,"PASS","OPEN"))))</x:f>
        <x:v>PASS</x:v>
      </x:c>
      <x:c r="F7" s="26" t="str">
        <x:v>Ten family allocations equal envelope</x:v>
      </x:c>
    </x:row>
    <x:row r="8">
      <x:c r="A8" s="26" t="str">
        <x:v>Portfolio site count</x:v>
      </x:c>
      <x:c r="B8" s="74" t="n">
        <x:f>'Network Portfolio'!F17</x:f>
        <x:v>58</x:v>
      </x:c>
      <x:c r="C8" s="74" t="n">
        <x:v>58</x:v>
      </x:c>
      <x:c r="D8" s="26" t="str">
        <x:v>EQ</x:v>
      </x:c>
      <x:c r="E8" s="26" t="str">
        <x:f>IF(D8="EQ",IF(ABS(B8-C8)&lt;0.0001,"PASS","OPEN"),IF(D8="LE",IF(B8&lt;=C8,"PASS","OPEN"),IF(D8="GE",IF(B8&gt;=C8,"PASS","OPEN"),IF(ABS(B8-C8)&lt;0.01,"PASS","OPEN"))))</x:f>
        <x:v>PASS</x:v>
      </x:c>
      <x:c r="F8" s="26" t="str">
        <x:v>Portfolio declares 58 sites</x:v>
      </x:c>
    </x:row>
    <x:row r="9">
      <x:c r="A9" s="26" t="str">
        <x:v>Site register count</x:v>
      </x:c>
      <x:c r="B9" s="74" t="n">
        <x:f>COUNTA('Site Register'!A6:A63)</x:f>
        <x:v>58</x:v>
      </x:c>
      <x:c r="C9" s="74" t="n">
        <x:v>58</x:v>
      </x:c>
      <x:c r="D9" s="26" t="str">
        <x:v>EQ</x:v>
      </x:c>
      <x:c r="E9" s="26" t="str">
        <x:f>IF(D9="EQ",IF(ABS(B9-C9)&lt;0.0001,"PASS","OPEN"),IF(D9="LE",IF(B9&lt;=C9,"PASS","OPEN"),IF(D9="GE",IF(B9&gt;=C9,"PASS","OPEN"),IF(ABS(B9-C9)&lt;0.01,"PASS","OPEN"))))</x:f>
        <x:v>PASS</x:v>
      </x:c>
      <x:c r="F9" s="26" t="str">
        <x:v>Every site has a record</x:v>
      </x:c>
    </x:row>
    <x:row r="10">
      <x:c r="A10" s="26" t="str">
        <x:v>Flagship count</x:v>
      </x:c>
      <x:c r="B10" s="74" t="n">
        <x:f>COUNTIF('Site Register'!C6:C63,"National flagship")</x:f>
        <x:v>10</x:v>
      </x:c>
      <x:c r="C10" s="74" t="n">
        <x:v>10</x:v>
      </x:c>
      <x:c r="D10" s="26" t="str">
        <x:v>EQ</x:v>
      </x:c>
      <x:c r="E10" s="26" t="str">
        <x:f>IF(D10="EQ",IF(ABS(B10-C10)&lt;0.0001,"PASS","OPEN"),IF(D10="LE",IF(B10&lt;=C10,"PASS","OPEN"),IF(D10="GE",IF(B10&gt;=C10,"PASS","OPEN"),IF(ABS(B10-C10)&lt;0.01,"PASS","OPEN"))))</x:f>
        <x:v>PASS</x:v>
      </x:c>
      <x:c r="F10" s="26" t="str">
        <x:v>One unique flagship per family</x:v>
      </x:c>
    </x:row>
    <x:row r="11">
      <x:c r="A11" s="26" t="str">
        <x:v>Regional range count</x:v>
      </x:c>
      <x:c r="B11" s="74" t="n">
        <x:f>COUNTIF('Site Register'!C6:C63,"Regional range")</x:f>
        <x:v>21</x:v>
      </x:c>
      <x:c r="C11" s="74" t="n">
        <x:v>21</x:v>
      </x:c>
      <x:c r="D11" s="26" t="str">
        <x:v>EQ</x:v>
      </x:c>
      <x:c r="E11" s="26" t="str">
        <x:f>IF(D11="EQ",IF(ABS(B11-C11)&lt;0.0001,"PASS","OPEN"),IF(D11="LE",IF(B11&lt;=C11,"PASS","OPEN"),IF(D11="GE",IF(B11&gt;=C11,"PASS","OPEN"),IF(ABS(B11-C11)&lt;0.01,"PASS","OPEN"))))</x:f>
        <x:v>PASS</x:v>
      </x:c>
      <x:c r="F11" s="26" t="str">
        <x:v>Climate/geography replication layer</x:v>
      </x:c>
    </x:row>
    <x:row r="12">
      <x:c r="A12" s="26" t="str">
        <x:v>Node count</x:v>
      </x:c>
      <x:c r="B12" s="74" t="n">
        <x:f>COUNTIF('Site Register'!C6:C63,"Satellite/conformance node")</x:f>
        <x:v>27</x:v>
      </x:c>
      <x:c r="C12" s="74" t="n">
        <x:v>27</x:v>
      </x:c>
      <x:c r="D12" s="26" t="str">
        <x:v>EQ</x:v>
      </x:c>
      <x:c r="E12" s="26" t="str">
        <x:f>IF(D12="EQ",IF(ABS(B12-C12)&lt;0.0001,"PASS","OPEN"),IF(D12="LE",IF(B12&lt;=C12,"PASS","OPEN"),IF(D12="GE",IF(B12&gt;=C12,"PASS","OPEN"),IF(ABS(B12-C12)&lt;0.01,"PASS","OPEN"))))</x:f>
        <x:v>PASS</x:v>
      </x:c>
      <x:c r="F12" s="26" t="str">
        <x:v>Distributed conformance/event layer</x:v>
      </x:c>
    </x:row>
    <x:row r="13">
      <x:c r="A13" s="26" t="str">
        <x:v>Site budget reconciliation</x:v>
      </x:c>
      <x:c r="B13" s="74" t="n">
        <x:f>SUM('Site Register'!J6:J63)</x:f>
        <x:v>320.00000000000017</x:v>
      </x:c>
      <x:c r="C13" s="74" t="n">
        <x:f>Controls!B8</x:f>
        <x:v>320</x:v>
      </x:c>
      <x:c r="D13" s="26" t="str">
        <x:v>EQ</x:v>
      </x:c>
      <x:c r="E13" s="26" t="str">
        <x:f>IF(D13="EQ",IF(ABS(B13-C13)&lt;0.0001,"PASS","OPEN"),IF(D13="LE",IF(B13&lt;=C13,"PASS","OPEN"),IF(D13="GE",IF(B13&gt;=C13,"PASS","OPEN"),IF(ABS(B13-C13)&lt;0.01,"PASS","OPEN"))))</x:f>
        <x:v>PASS</x:v>
      </x:c>
      <x:c r="F13" s="26" t="str">
        <x:v>Site allocations equal envelope</x:v>
      </x:c>
    </x:row>
    <x:row r="14">
      <x:c r="A14" s="26" t="str">
        <x:v>Maximum family utilization</x:v>
      </x:c>
      <x:c r="B14" s="74" t="n">
        <x:f>MAX('Capacity Demand'!E6:E15)</x:f>
        <x:v>0.7430069930069928</x:v>
      </x:c>
      <x:c r="C14" s="74" t="n">
        <x:f>Controls!B12</x:f>
        <x:v>0.8</x:v>
      </x:c>
      <x:c r="D14" s="26" t="str">
        <x:v>LE</x:v>
      </x:c>
      <x:c r="E14" s="26" t="str">
        <x:f>IF(D14="EQ",IF(ABS(B14-C14)&lt;0.0001,"PASS","OPEN"),IF(D14="LE",IF(B14&lt;=C14,"PASS","OPEN"),IF(D14="GE",IF(B14&gt;=C14,"PASS","OPEN"),IF(ABS(B14-C14)&lt;0.01,"PASS","OPEN"))))</x:f>
        <x:v>PASS</x:v>
      </x:c>
      <x:c r="F14" s="26" t="str">
        <x:v>No family above planning ceiling</x:v>
      </x:c>
    </x:row>
    <x:row r="15">
      <x:c r="A15" s="26" t="str">
        <x:v>Campaign protocol count</x:v>
      </x:c>
      <x:c r="B15" s="74" t="n">
        <x:f>COUNTA('Campaign Protocols'!A6:A25)</x:f>
        <x:v>20</x:v>
      </x:c>
      <x:c r="C15" s="74" t="n">
        <x:v>20</x:v>
      </x:c>
      <x:c r="D15" s="26" t="str">
        <x:v>EQ</x:v>
      </x:c>
      <x:c r="E15" s="26" t="str">
        <x:f>IF(D15="EQ",IF(ABS(B15-C15)&lt;0.0001,"PASS","OPEN"),IF(D15="LE",IF(B15&lt;=C15,"PASS","OPEN"),IF(D15="GE",IF(B15&gt;=C15,"PASS","OPEN"),IF(ABS(B15-C15)&lt;0.01,"PASS","OPEN"))))</x:f>
        <x:v>PASS</x:v>
      </x:c>
      <x:c r="F15" s="26" t="str">
        <x:v>Initial protocol portfolio populated</x:v>
      </x:c>
    </x:row>
    <x:row r="16">
      <x:c r="A16" s="26" t="str">
        <x:v>Mobile asset reconciliation</x:v>
      </x:c>
      <x:c r="B16" s="74" t="n">
        <x:f>'Mobile Test Assets'!D19</x:f>
        <x:v>32</x:v>
      </x:c>
      <x:c r="C16" s="74" t="n">
        <x:v>32</x:v>
      </x:c>
      <x:c r="D16" s="26" t="str">
        <x:v>EQ</x:v>
      </x:c>
      <x:c r="E16" s="26" t="str">
        <x:f>IF(D16="EQ",IF(ABS(B16-C16)&lt;0.0001,"PASS","OPEN"),IF(D16="LE",IF(B16&lt;=C16,"PASS","OPEN"),IF(D16="GE",IF(B16&gt;=C16,"PASS","OPEN"),IF(ABS(B16-C16)&lt;0.01,"PASS","OPEN"))))</x:f>
        <x:v>PASS</x:v>
      </x:c>
      <x:c r="F16" s="26" t="str">
        <x:v>Mobile assets equal designated cost category</x:v>
      </x:c>
    </x:row>
    <x:row r="17">
      <x:c r="A17" s="26" t="str">
        <x:v>Mature resident workforce</x:v>
      </x:c>
      <x:c r="B17" s="74" t="n">
        <x:f>'Workforce'!B17</x:f>
        <x:v>36700</x:v>
      </x:c>
      <x:c r="C17" s="74" t="n">
        <x:v>36700</x:v>
      </x:c>
      <x:c r="D17" s="26" t="str">
        <x:v>EQ</x:v>
      </x:c>
      <x:c r="E17" s="26" t="str">
        <x:f>IF(D17="EQ",IF(ABS(B17-C17)&lt;0.0001,"PASS","OPEN"),IF(D17="LE",IF(B17&lt;=C17,"PASS","OPEN"),IF(D17="GE",IF(B17&gt;=C17,"PASS","OPEN"),IF(ABS(B17-C17)&lt;0.01,"PASS","OPEN"))))</x:f>
        <x:v>PASS</x:v>
      </x:c>
      <x:c r="F17" s="26" t="str">
        <x:v>Workforce classifications reconcile</x:v>
      </x:c>
    </x:row>
    <x:row r="18">
      <x:c r="A18" s="26" t="str">
        <x:v>Annual funding shares</x:v>
      </x:c>
      <x:c r="B18" s="74" t="n">
        <x:f>SUM('Annual Funding'!B6:B30)</x:f>
        <x:v>1.0000000000000002</x:v>
      </x:c>
      <x:c r="C18" s="74" t="n">
        <x:v>1</x:v>
      </x:c>
      <x:c r="D18" s="26" t="str">
        <x:v>EQ</x:v>
      </x:c>
      <x:c r="E18" s="26" t="str">
        <x:f>IF(D18="EQ",IF(ABS(B18-C18)&lt;0.0001,"PASS","OPEN"),IF(D18="LE",IF(B18&lt;=C18,"PASS","OPEN"),IF(D18="GE",IF(B18&gt;=C18,"PASS","OPEN"),IF(ABS(B18-C18)&lt;0.01,"PASS","OPEN"))))</x:f>
        <x:v>PASS</x:v>
      </x:c>
      <x:c r="F18" s="26" t="str">
        <x:v>Twenty-five-year profile sums to 100%</x:v>
      </x:c>
    </x:row>
    <x:row r="19">
      <x:c r="A19" s="26" t="str">
        <x:v>Annual funding dollars</x:v>
      </x:c>
      <x:c r="B19" s="74" t="n">
        <x:f>SUM('Annual Funding'!C6:C30)</x:f>
        <x:v>320</x:v>
      </x:c>
      <x:c r="C19" s="74" t="n">
        <x:f>Controls!B8</x:f>
        <x:v>320</x:v>
      </x:c>
      <x:c r="D19" s="26" t="str">
        <x:v>EQ</x:v>
      </x:c>
      <x:c r="E19" s="26" t="str">
        <x:f>IF(D19="EQ",IF(ABS(B19-C19)&lt;0.0001,"PASS","OPEN"),IF(D19="LE",IF(B19&lt;=C19,"PASS","OPEN"),IF(D19="GE",IF(B19&gt;=C19,"PASS","OPEN"),IF(ABS(B19-C19)&lt;0.01,"PASS","OPEN"))))</x:f>
        <x:v>PASS</x:v>
      </x:c>
      <x:c r="F19" s="26" t="str">
        <x:v>Annual profile sums to envelope</x:v>
      </x:c>
    </x:row>
    <x:row r="20">
      <x:c r="A20" s="26" t="str">
        <x:v>Binary 1% / 95% trials</x:v>
      </x:c>
      <x:c r="B20" s="74" t="n">
        <x:f>'Statistical Power'!D8</x:f>
        <x:v>299</x:v>
      </x:c>
      <x:c r="C20" s="74" t="n">
        <x:v>299</x:v>
      </x:c>
      <x:c r="D20" s="26" t="str">
        <x:v>EQ</x:v>
      </x:c>
      <x:c r="E20" s="26" t="str">
        <x:f>IF(D20="EQ",IF(ABS(B20-C20)&lt;0.0001,"PASS","OPEN"),IF(D20="LE",IF(B20&lt;=C20,"PASS","OPEN"),IF(D20="GE",IF(B20&gt;=C20,"PASS","OPEN"),IF(ABS(B20-C20)&lt;0.01,"PASS","OPEN"))))</x:f>
        <x:v>PASS</x:v>
      </x:c>
      <x:c r="F20" s="26" t="str">
        <x:v>Zero-failure planning equation is transparent</x:v>
      </x:c>
    </x:row>
    <x:row r="21">
      <x:c r="A21" s="26" t="str">
        <x:v>Mean effect 0.5 per arm</x:v>
      </x:c>
      <x:c r="B21" s="74" t="n">
        <x:f>'Statistical Power'!G16</x:f>
        <x:v>63</x:v>
      </x:c>
      <x:c r="C21" s="74" t="n">
        <x:v>63</x:v>
      </x:c>
      <x:c r="D21" s="26" t="str">
        <x:v>EQ</x:v>
      </x:c>
      <x:c r="E21" s="26" t="str">
        <x:f>IF(D21="EQ",IF(ABS(B21-C21)&lt;0.0001,"PASS","OPEN"),IF(D21="LE",IF(B21&lt;=C21,"PASS","OPEN"),IF(D21="GE",IF(B21&gt;=C21,"PASS","OPEN"),IF(ABS(B21-C21)&lt;0.01,"PASS","OPEN"))))</x:f>
        <x:v>PASS</x:v>
      </x:c>
      <x:c r="F21" s="26" t="str">
        <x:v>Normal approximation planning equation</x:v>
      </x:c>
    </x:row>
    <x:row r="22">
      <x:c r="A22" s="26" t="str">
        <x:v>Hydraulic flagship drive</x:v>
      </x:c>
      <x:c r="B22" s="74" t="n">
        <x:f>'Utility Loads'!L8</x:f>
        <x:v>39.239999999999995</x:v>
      </x:c>
      <x:c r="C22" s="74" t="n">
        <x:v>39.24</x:v>
      </x:c>
      <x:c r="D22" s="26" t="str">
        <x:v>TOL</x:v>
      </x:c>
      <x:c r="E22" s="26" t="str">
        <x:f>IF(D22="EQ",IF(ABS(B22-C22)&lt;0.0001,"PASS","OPEN"),IF(D22="LE",IF(B22&lt;=C22,"PASS","OPEN"),IF(D22="GE",IF(B22&gt;=C22,"PASS","OPEN"),IF(ABS(B22-C22)&lt;0.01,"PASS","OPEN"))))</x:f>
        <x:v>PASS</x:v>
      </x:c>
      <x:c r="F22" s="26" t="str">
        <x:v>250 m3/s at 12 m and 75% efficiency</x:v>
      </x:c>
    </x:row>
    <x:row r="23">
      <x:c r="A23" s="26" t="str">
        <x:v>Safety cases closed</x:v>
      </x:c>
      <x:c r="B23" s="74" t="n">
        <x:f>COUNTIF('Safety Cases'!J6:J15,"CLOSED")</x:f>
        <x:v>0</x:v>
      </x:c>
      <x:c r="C23" s="74" t="n">
        <x:v>10</x:v>
      </x:c>
      <x:c r="D23" s="26" t="str">
        <x:v>GE</x:v>
      </x:c>
      <x:c r="E23" s="26" t="str">
        <x:f>IF(D23="EQ",IF(ABS(B23-C23)&lt;0.0001,"PASS","OPEN"),IF(D23="LE",IF(B23&lt;=C23,"PASS","OPEN"),IF(D23="GE",IF(B23&gt;=C23,"PASS","OPEN"),IF(ABS(B23-C23)&lt;0.01,"PASS","OPEN"))))</x:f>
        <x:v>OPEN</x:v>
      </x:c>
      <x:c r="F23" s="26" t="str">
        <x:v>No hazardous facility can operate before closure</x:v>
      </x:c>
    </x:row>
    <x:row r="24">
      <x:c r="A24" s="26" t="str">
        <x:v>Compound case headroom</x:v>
      </x:c>
      <x:c r="B24" s="74" t="n">
        <x:f>'Risk Sensitivity'!H18</x:f>
        <x:v>-47.04000000000002</x:v>
      </x:c>
      <x:c r="C24" s="74" t="n">
        <x:v>0</x:v>
      </x:c>
      <x:c r="D24" s="26" t="str">
        <x:v>GE</x:v>
      </x:c>
      <x:c r="E24" s="26" t="str">
        <x:f>IF(D24="EQ",IF(ABS(B24-C24)&lt;0.0001,"PASS","OPEN"),IF(D24="LE",IF(B24&lt;=C24,"PASS","OPEN"),IF(D24="GE",IF(B24&gt;=C24,"PASS","OPEN"),IF(ABS(B24-C24)&lt;0.01,"PASS","OPEN"))))</x:f>
        <x:v>OPEN</x:v>
      </x:c>
      <x:c r="F24" s="26" t="str">
        <x:v>Selected envelope should absorb compound screen</x:v>
      </x:c>
    </x:row>
    <x:row r="25">
      <x:c r="A25" s="26" t="str">
        <x:v>Source count</x:v>
      </x:c>
      <x:c r="B25" s="74" t="n">
        <x:f>COUNTA(Sources!A6:A20)</x:f>
        <x:v>15</x:v>
      </x:c>
      <x:c r="C25" s="74" t="n">
        <x:v>15</x:v>
      </x:c>
      <x:c r="D25" s="26" t="str">
        <x:v>EQ</x:v>
      </x:c>
      <x:c r="E25" s="26" t="str">
        <x:f>IF(D25="EQ",IF(ABS(B25-C25)&lt;0.0001,"PASS","OPEN"),IF(D25="LE",IF(B25&lt;=C25,"PASS","OPEN"),IF(D25="GE",IF(B25&gt;=C25,"PASS","OPEN"),IF(ABS(B25-C25)&lt;0.01,"PASS","OPEN"))))</x:f>
        <x:v>PASS</x:v>
      </x:c>
      <x:c r="F25" s="26" t="str">
        <x:v>Primary method sources recorded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48" hidden="0" customWidth="1"/>
    <x:col min="3" max="3" width="39" hidden="0" customWidth="1"/>
    <x:col min="4" max="4" width="23" hidden="0" customWidth="1"/>
    <x:col min="5" max="5" width="81" hidden="0" customWidth="1"/>
    <x:col min="6" max="6" width="55" hidden="0" customWidth="1"/>
    <x:col min="7" max="7" width="40" hidden="0" customWidth="1"/>
  </x:cols>
  <x:sheetData>
    <x:row r="1">
      <x:c r="A1" s="75" t="str">
        <x:v>Sources</x:v>
      </x:c>
      <x:c r="B1" s="75"/>
      <x:c r="C1" s="75"/>
      <x:c r="D1" s="75"/>
      <x:c r="E1" s="75"/>
      <x:c r="F1" s="75"/>
      <x:c r="G1" s="75"/>
    </x:row>
    <x:row r="2">
      <x:c r="A2" s="76" t="str">
        <x:v>Official sources define existing methods and lower-bound facility capabilities. Proposed scale, cost and performance remain design hypotheses.</x:v>
      </x:c>
      <x:c r="B2" s="76"/>
      <x:c r="C2" s="76"/>
      <x:c r="D2" s="76"/>
      <x:c r="E2" s="76"/>
      <x:c r="F2" s="76"/>
      <x:c r="G2" s="76"/>
    </x:row>
    <x:row r="3">
      <x:c r="A3" s="77"/>
      <x:c r="B3" s="77"/>
      <x:c r="C3" s="77"/>
      <x:c r="D3" s="77"/>
      <x:c r="E3" s="77"/>
      <x:c r="F3" s="77"/>
      <x:c r="G3" s="77"/>
    </x:row>
    <x:row r="4">
      <x:c r="A4" s="22"/>
      <x:c r="B4" s="22"/>
      <x:c r="C4" s="22"/>
      <x:c r="D4" s="22"/>
      <x:c r="E4" s="22"/>
      <x:c r="F4" s="22"/>
      <x:c r="G4" s="22"/>
    </x:row>
    <x:row r="5" ht="30" customHeight="1">
      <x:c r="A5" s="21" t="str">
        <x:v>ID</x:v>
      </x:c>
      <x:c r="B5" s="21" t="str">
        <x:v>Source</x:v>
      </x:c>
      <x:c r="C5" s="21" t="str">
        <x:v>Publisher</x:v>
      </x:c>
      <x:c r="D5" s="21" t="str">
        <x:v>Date/status</x:v>
      </x:c>
      <x:c r="E5" s="21" t="str">
        <x:v>URL</x:v>
      </x:c>
      <x:c r="F5" s="21" t="str">
        <x:v>Use in model</x:v>
      </x:c>
      <x:c r="G5" s="21" t="str">
        <x:v>Boundary</x:v>
      </x:c>
    </x:row>
    <x:row r="6">
      <x:c r="A6" s="26" t="str">
        <x:v>S01</x:v>
      </x:c>
      <x:c r="B6" s="26" t="str">
        <x:v>Natural Hazards Engineering Research Infrastructure</x:v>
      </x:c>
      <x:c r="C6" s="26" t="str">
        <x:v>National Science Foundation</x:v>
      </x:c>
      <x:c r="D6" s="26" t="str">
        <x:v>Accessed 2026-09-04</x:v>
      </x:c>
      <x:c r="E6" s="26" t="str">
        <x:v>https://www.nsf.gov/eng/nheri</x:v>
      </x:c>
      <x:c r="F6" s="26" t="str">
        <x:v>Distributed experimental facilities, cyberinfrastructure, simulation and reconnaissance</x:v>
      </x:c>
      <x:c r="G6" s="26" t="str">
        <x:v>Method analogue, not proposed scale</x:v>
      </x:c>
    </x:row>
    <x:row r="7">
      <x:c r="A7" s="26" t="str">
        <x:v>S02</x:v>
      </x:c>
      <x:c r="B7" s="26" t="str">
        <x:v>National Fire Research Laboratory</x:v>
      </x:c>
      <x:c r="C7" s="26" t="str">
        <x:v>National Institute of Standards and Technology</x:v>
      </x:c>
      <x:c r="D7" s="26" t="str">
        <x:v>Updated 2026</x:v>
      </x:c>
      <x:c r="E7" s="26" t="str">
        <x:v>https://www.nist.gov/el/fire/national-fire-research-laboratory</x:v>
      </x:c>
      <x:c r="F7" s="26" t="str">
        <x:v>3,000 m2 experimental area and 1/3/10/20 MW calorimetry with emissions control</x:v>
      </x:c>
      <x:c r="G7" s="26" t="str">
        <x:v>Lower-bound controlled-fire reference</x:v>
      </x:c>
    </x:row>
    <x:row r="8">
      <x:c r="A8" s="26" t="str">
        <x:v>S03</x:v>
      </x:c>
      <x:c r="B8" s="26" t="str">
        <x:v>NIST 20 MW Calorimetry Measurement System</x:v>
      </x:c>
      <x:c r="C8" s="26" t="str">
        <x:v>National Institute of Standards and Technology</x:v>
      </x:c>
      <x:c r="D8" s="26" t="str">
        <x:v>2019; updated 2026</x:v>
      </x:c>
      <x:c r="E8" s="26" t="str">
        <x:v>https://www.nist.gov/publications/nist-20-mw-calorimetry-measurement-system-large-fire-research</x:v>
      </x:c>
      <x:c r="F8" s="26" t="str">
        <x:v>Independent heat-release measurement and uncertainty discipline</x:v>
      </x:c>
      <x:c r="G8" s="26" t="str">
        <x:v>Does not validate 250 MW proposal</x:v>
      </x:c>
    </x:row>
    <x:row r="9">
      <x:c r="A9" s="26" t="str">
        <x:v>S04</x:v>
      </x:c>
      <x:c r="B9" s="26" t="str">
        <x:v>CHL Facilities and Products</x:v>
      </x:c>
      <x:c r="C9" s="26" t="str">
        <x:v>U.S. Army Engineer Research and Development Center</x:v>
      </x:c>
      <x:c r="D9" s="26" t="str">
        <x:v>Accessed 2026-09-04</x:v>
      </x:c>
      <x:c r="E9" s="26" t="str">
        <x:v>https://www.erdc.usace.army.mil/Locations/Coastal-and-Hydraulics-Laboratory/CHL-Facilities-and-Products/</x:v>
      </x:c>
      <x:c r="F9" s="26" t="str">
        <x:v>1.5-million-square-foot coastal and hydraulic physical research complex</x:v>
      </x:c>
      <x:c r="G9" s="26" t="str">
        <x:v>Scale/method anchor only</x:v>
      </x:c>
    </x:row>
    <x:row r="10">
      <x:c r="A10" s="26" t="str">
        <x:v>S05</x:v>
      </x:c>
      <x:c r="B10" s="26" t="str">
        <x:v>Full-Scale Levee Breach and Hydraulic Test Facility</x:v>
      </x:c>
      <x:c r="C10" s="26" t="str">
        <x:v>U.S. Army Engineer Research and Development Center</x:v>
      </x:c>
      <x:c r="D10" s="26" t="str">
        <x:v>Updated 2020</x:v>
      </x:c>
      <x:c r="E10" s="26" t="str">
        <x:v>https://www.erdc.usace.army.mil/Media/Fact-Sheets/Fact-Sheet-Article-View/Article/476705/full-scale-levee-breach-and-hydraulic-test-facility/</x:v>
      </x:c>
      <x:c r="F10" s="26" t="str">
        <x:v>11 acres, four million gallons, 40-foot breach and approximately 2,000 cfs tests</x:v>
      </x:c>
      <x:c r="G10" s="26" t="str">
        <x:v>Lower-bound hydraulic reference</x:v>
      </x:c>
    </x:row>
    <x:row r="11">
      <x:c r="A11" s="26" t="str">
        <x:v>S06</x:v>
      </x:c>
      <x:c r="B11" s="26" t="str">
        <x:v>Grid Facilities and ARIES</x:v>
      </x:c>
      <x:c r="C11" s="26" t="str">
        <x:v>National Renewable Energy Laboratory</x:v>
      </x:c>
      <x:c r="D11" s="26" t="str">
        <x:v>Accessed 2026-09-04</x:v>
      </x:c>
      <x:c r="E11" s="26" t="str">
        <x:v>https://www.nrel.gov/grid/facilities.html</x:v>
      </x:c>
      <x:c r="F11" s="26" t="str">
        <x:v>Integrated energy research up to 20 MW with hardware and virtual emulation</x:v>
      </x:c>
      <x:c r="G11" s="26" t="str">
        <x:v>Lower-bound grid reference</x:v>
      </x:c>
    </x:row>
    <x:row r="12">
      <x:c r="A12" s="26" t="str">
        <x:v>S07</x:v>
      </x:c>
      <x:c r="B12" s="26" t="str">
        <x:v>Water Security Test Bed</x:v>
      </x:c>
      <x:c r="C12" s="26" t="str">
        <x:v>Idaho National Laboratory</x:v>
      </x:c>
      <x:c r="D12" s="26" t="str">
        <x:v>Updated 2026</x:v>
      </x:c>
      <x:c r="E12" s="26" t="str">
        <x:v>https://inl.gov/document/water-security-test-bed/</x:v>
      </x:c>
      <x:c r="F12" s="26" t="str">
        <x:v>Detection and decontamination research for chemical, biological and radiological agents</x:v>
      </x:c>
      <x:c r="G12" s="26" t="str">
        <x:v>Method analogue</x:v>
      </x:c>
    </x:row>
    <x:row r="13">
      <x:c r="A13" s="26" t="str">
        <x:v>S08</x:v>
      </x:c>
      <x:c r="B13" s="26" t="str">
        <x:v>Water Treatment and Waste Management</x:v>
      </x:c>
      <x:c r="C13" s="26" t="str">
        <x:v>U.S. Environmental Protection Agency</x:v>
      </x:c>
      <x:c r="D13" s="26" t="str">
        <x:v>Updated 2026-05-07</x:v>
      </x:c>
      <x:c r="E13" s="26" t="str">
        <x:v>https://www.epa.gov/emergency-response-research/water-treatment-and-waste-management</x:v>
      </x:c>
      <x:c r="F13" s="26" t="str">
        <x:v>Complete treatment, toxicity, transformation-product and residual pathway</x:v>
      </x:c>
      <x:c r="G13" s="26" t="str">
        <x:v>Method and decision-boundary source</x:v>
      </x:c>
    </x:row>
    <x:row r="14">
      <x:c r="A14" s="26" t="str">
        <x:v>S09</x:v>
      </x:c>
      <x:c r="B14" s="26" t="str">
        <x:v>Biosafety in Microbiological and Biomedical Laboratories, 6th ed.</x:v>
      </x:c>
      <x:c r="C14" s="26" t="str">
        <x:v>NIH/CDC</x:v>
      </x:c>
      <x:c r="D14" s="26" t="str">
        <x:v>2020</x:v>
      </x:c>
      <x:c r="E14" s="26" t="str">
        <x:v>https://ors.od.nih.gov/sr/dohs/Documents/biosafety-in-microbiological-and-biomedical-laboratories.PDF</x:v>
      </x:c>
      <x:c r="F14" s="26" t="str">
        <x:v>Facility, engineering, practice and waste controls by biosafety level</x:v>
      </x:c>
      <x:c r="G14" s="26" t="str">
        <x:v>Biosafety baseline; no facility determination</x:v>
      </x:c>
    </x:row>
    <x:row r="15">
      <x:c r="A15" s="26" t="str">
        <x:v>S10</x:v>
      </x:c>
      <x:c r="B15" s="26" t="str">
        <x:v>Performance of Emergency Response Robots</x:v>
      </x:c>
      <x:c r="C15" s="26" t="str">
        <x:v>National Institute of Standards and Technology</x:v>
      </x:c>
      <x:c r="D15" s="26" t="str">
        <x:v>Updated 2026-04-24</x:v>
      </x:c>
      <x:c r="E15" s="26" t="str">
        <x:v>https://www.nist.gov/programs-projects/performance-emergency-response-robots</x:v>
      </x:c>
      <x:c r="F15" s="26" t="str">
        <x:v>Repeatable elemental tests, mission profiles and operator proficiency</x:v>
      </x:c>
      <x:c r="G15" s="26" t="str">
        <x:v>Method analogue</x:v>
      </x:c>
    </x:row>
    <x:row r="16">
      <x:c r="A16" s="26" t="str">
        <x:v>S11</x:v>
      </x:c>
      <x:c r="B16" s="26" t="str">
        <x:v>Homeland Security Exercise and Evaluation Program Doctrine</x:v>
      </x:c>
      <x:c r="C16" s="26" t="str">
        <x:v>Federal Emergency Management Agency</x:v>
      </x:c>
      <x:c r="D16" s="26" t="str">
        <x:v>2020</x:v>
      </x:c>
      <x:c r="E16" s="26" t="str">
        <x:v>https://www.fema.gov/sites/default/files/2020-04/Homeland-Security-Exercise-and-Evaluation-Program-Doctrine-2020-Revision-2-2-25.pdf</x:v>
      </x:c>
      <x:c r="F16" s="26" t="str">
        <x:v>Objectives, conduct, evaluation, after-action and corrective-action structure</x:v>
      </x:c>
      <x:c r="G16" s="26" t="str">
        <x:v>Exercise baseline, extended with engineering control</x:v>
      </x:c>
    </x:row>
    <x:row r="17">
      <x:c r="A17" s="26" t="str">
        <x:v>S12</x:v>
      </x:c>
      <x:c r="B17" s="26" t="str">
        <x:v>NIST/SEMATECH Engineering Statistics Handbook</x:v>
      </x:c>
      <x:c r="C17" s="26" t="str">
        <x:v>National Institute of Standards and Technology</x:v>
      </x:c>
      <x:c r="D17" s="26" t="str">
        <x:v>Updated 2025-03-26</x:v>
      </x:c>
      <x:c r="E17" s="26" t="str">
        <x:v>https://www.nist.gov/programs-projects/nistsematech-engineering-statistics-handbook</x:v>
      </x:c>
      <x:c r="F17" s="26" t="str">
        <x:v>Experimental design, measurement and reliability method</x:v>
      </x:c>
      <x:c r="G17" s="26" t="str">
        <x:v>Equations here are simplified planning screens</x:v>
      </x:c>
    </x:row>
    <x:row r="18">
      <x:c r="A18" s="26" t="str">
        <x:v>S13</x:v>
      </x:c>
      <x:c r="B18" s="26" t="str">
        <x:v>DOE project-management directives</x:v>
      </x:c>
      <x:c r="C18" s="26" t="str">
        <x:v>U.S. Department of Energy</x:v>
      </x:c>
      <x:c r="D18" s="26" t="str">
        <x:v>Current page 2026</x:v>
      </x:c>
      <x:c r="E18" s="26" t="str">
        <x:v>https://www.energy.gov/projectmanagement/directives</x:v>
      </x:c>
      <x:c r="F18" s="26" t="str">
        <x:v>Capital asset performance baselines, independent review and safety/environment requirements</x:v>
      </x:c>
      <x:c r="G18" s="26" t="str">
        <x:v>Governance analogue; not a cost estimate</x:v>
      </x:c>
    </x:row>
    <x:row r="19">
      <x:c r="A19" s="26" t="str">
        <x:v>S14</x:v>
      </x:c>
      <x:c r="B19" s="26" t="str">
        <x:v>NASA Systems Engineering Handbook, Rev. 2</x:v>
      </x:c>
      <x:c r="C19" s="26" t="str">
        <x:v>National Aeronautics and Space Administration</x:v>
      </x:c>
      <x:c r="D19" s="26" t="str">
        <x:v>2016</x:v>
      </x:c>
      <x:c r="E19" s="26" t="str">
        <x:v>https://www.nasa.gov/wp-content/uploads/2018/09/nasa_systems_engineering_handbook_0.pdf</x:v>
      </x:c>
      <x:c r="F19" s="26" t="str">
        <x:v>Requirements, interfaces, configuration, verification and validation</x:v>
      </x:c>
      <x:c r="G19" s="26" t="str">
        <x:v>Method analogue</x:v>
      </x:c>
    </x:row>
    <x:row r="20">
      <x:c r="A20" s="26" t="str">
        <x:v>S15</x:v>
      </x:c>
      <x:c r="B20" s="26" t="str">
        <x:v>Common Resilience Technical Architecture</x:v>
      </x:c>
      <x:c r="C20" s="26" t="str">
        <x:v>Disaster Force research program</x:v>
      </x:c>
      <x:c r="D20" s="26" t="str">
        <x:v>Pass 17</x:v>
      </x:c>
      <x:c r="E20" s="26" t="str">
        <x:v>../research/28-common-resilience-technical-architecture.md</x:v>
      </x:c>
      <x:c r="F20" s="26" t="str">
        <x:v>Authority, degraded modes, interfaces, digital thread and conformance trials</x:v>
      </x:c>
      <x:c r="G20" s="26" t="str">
        <x:v>Internal design baseline</x:v>
      </x:c>
    </x:row>
  </x:sheetData>
  <x:pageMargins left="0.7" right="0.7" top="0.75" bottom="0.75" header="0.3" footer="0.3"/>
</x:worksheet>
</file>