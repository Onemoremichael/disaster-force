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4f9a7233748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ecision" sheetId="1" r:id="R3000aa376a4d40da"/>
    <x:sheet xmlns:r="http://schemas.openxmlformats.org/officeDocument/2006/relationships" name="01 Registration" sheetId="2" r:id="R80631fc9d5e74d60"/>
    <x:sheet xmlns:r="http://schemas.openxmlformats.org/officeDocument/2006/relationships" name="02 Preflight Results" sheetId="3" r:id="Rb1dd8cf5351545bd"/>
    <x:sheet xmlns:r="http://schemas.openxmlformats.org/officeDocument/2006/relationships" name="03 Source Validation" sheetId="4" r:id="Ra35951ec60c947d3"/>
    <x:sheet xmlns:r="http://schemas.openxmlformats.org/officeDocument/2006/relationships" name="04 Row Basis" sheetId="5" r:id="R553a78f7c5bc4bb2"/>
    <x:sheet xmlns:r="http://schemas.openxmlformats.org/officeDocument/2006/relationships" name="05 Cov Completion" sheetId="6" r:id="Rf687b5a9ef4c496c"/>
    <x:sheet xmlns:r="http://schemas.openxmlformats.org/officeDocument/2006/relationships" name="06 Matrix PD" sheetId="7" r:id="Rac9ceb302d4c4d5b"/>
    <x:sheet xmlns:r="http://schemas.openxmlformats.org/officeDocument/2006/relationships" name="07 Simulation Summary" sheetId="8" r:id="R77b4239971624cea"/>
    <x:sheet xmlns:r="http://schemas.openxmlformats.org/officeDocument/2006/relationships" name="08 Simulation Paths" sheetId="9" r:id="Rc3661cb108f44892"/>
    <x:sheet xmlns:r="http://schemas.openxmlformats.org/officeDocument/2006/relationships" name="09 Propriety" sheetId="10" r:id="R8c3fcb3a6ecb40ae"/>
    <x:sheet xmlns:r="http://schemas.openxmlformats.org/officeDocument/2006/relationships" name="10 Connectivity" sheetId="11" r:id="R79537e1abe844368"/>
    <x:sheet xmlns:r="http://schemas.openxmlformats.org/officeDocument/2006/relationships" name="11 Failure Tests" sheetId="12" r:id="R837a320beab54e0a"/>
    <x:sheet xmlns:r="http://schemas.openxmlformats.org/officeDocument/2006/relationships" name="12 Amendment" sheetId="13" r:id="R7e9d77d44488439c"/>
    <x:sheet xmlns:r="http://schemas.openxmlformats.org/officeDocument/2006/relationships" name="13 Empty Outputs" sheetId="14" r:id="R7e3f4cd3285d4c66"/>
    <x:sheet xmlns:r="http://schemas.openxmlformats.org/officeDocument/2006/relationships" name="14 Sources" sheetId="15" r:id="Rb1f957ad62214055"/>
    <x:sheet xmlns:r="http://schemas.openxmlformats.org/officeDocument/2006/relationships" name="15 Integrity" sheetId="16" r:id="Rdebb3c1d48a347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000000"/>
    <x:numFmt numFmtId="202" formatCode="0.000000"/>
  </x:numFmts>
  <x:fonts count="9">
    <x:font>
      <x:sz val="11"/>
      <x:name val="Carlito"/>
    </x:font>
    <x:font>
      <x:b/>
      <x:sz val="15"/>
      <x:color rgb="FF1F2933"/>
      <x:name val="Arial"/>
    </x:font>
    <x:font>
      <x:i/>
      <x:sz val="10"/>
      <x:color rgb="FF657786"/>
      <x:name val="Arial"/>
    </x:font>
    <x:font>
      <x:b/>
      <x:sz val="10"/>
      <x:color rgb="FF17365D"/>
      <x:name val="Arial"/>
    </x:font>
    <x:font>
      <x:b/>
      <x:sz val="14"/>
      <x:color rgb="FF9C0006"/>
      <x:name val="Arial"/>
    </x:font>
    <x:font>
      <x:b/>
      <x:sz val="10"/>
      <x:color rgb="FFFFFFFF"/>
      <x:name val="Arial"/>
    </x:font>
    <x:font>
      <x:sz val="9"/>
      <x:color rgb="FF1F2933"/>
      <x:name val="Arial"/>
    </x:font>
    <x:font>
      <x:b/>
      <x:sz val="11"/>
      <x:color rgb="FF9C0006"/>
      <x:name val="Arial"/>
    </x:font>
    <x:font>
      <x:b/>
      <x:sz val="11"/>
      <x:color rgb="FF1F293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CE8E6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8">
    <x:border/>
    <x:border>
      <x:bottom style="thin">
        <x:color rgb="FFB8C6D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8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4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0" borderId="5" xfId="0" applyNumberFormat="1" applyFont="1" applyFill="1" applyBorder="1" applyAlignment="1">
      <x:alignment vertical="top"/>
    </x:xf>
    <x:xf numFmtId="0" fontId="6" fillId="0" borderId="6" xfId="0" applyNumberFormat="1" applyFont="1" applyFill="1" applyBorder="1" applyAlignment="1">
      <x:alignment vertical="top"/>
    </x:xf>
    <x:xf numFmtId="0" fontId="6" fillId="0" borderId="7" xfId="0" applyNumberFormat="1" applyFont="1" applyFill="1" applyBorder="1" applyAlignment="1">
      <x:alignment vertical="top"/>
    </x:xf>
    <x:xf numFmtId="200" fontId="6" fillId="0" borderId="5" xfId="0" applyNumberFormat="1" applyFont="1" applyFill="1" applyBorder="1" applyAlignment="1">
      <x:alignment vertical="top"/>
    </x:xf>
    <x:xf numFmtId="200" fontId="6" fillId="0" borderId="6" xfId="0" applyNumberFormat="1" applyFont="1" applyFill="1" applyBorder="1" applyAlignment="1">
      <x:alignment vertical="top"/>
    </x:xf>
    <x:xf numFmtId="200" fontId="6" fillId="0" borderId="7" xfId="0" applyNumberFormat="1" applyFont="1" applyFill="1" applyBorder="1" applyAlignment="1">
      <x:alignment vertical="top"/>
    </x:xf>
    <x:xf numFmtId="0" fontId="6" fillId="3" borderId="5" xfId="0" applyNumberFormat="1" applyFont="1" applyFill="1" applyBorder="1" applyAlignment="1">
      <x:alignment vertical="top"/>
    </x:xf>
    <x:xf numFmtId="0" fontId="6" fillId="3" borderId="6" xfId="0" applyNumberFormat="1" applyFont="1" applyFill="1" applyBorder="1" applyAlignment="1">
      <x:alignment vertical="top"/>
    </x:xf>
    <x:xf numFmtId="0" fontId="6" fillId="5" borderId="6" xfId="0" applyNumberFormat="1" applyFont="1" applyFill="1" applyBorder="1" applyAlignment="1">
      <x:alignment vertical="top"/>
    </x:xf>
    <x:xf numFmtId="0" fontId="6" fillId="5" borderId="7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0" fontId="6" fillId="3" borderId="6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top"/>
    </x:xf>
    <x:xf numFmtId="201" fontId="6" fillId="0" borderId="6" xfId="0" applyNumberFormat="1" applyFont="1" applyFill="1" applyBorder="1" applyAlignment="1">
      <x:alignment vertical="top"/>
    </x:xf>
    <x:xf numFmtId="201" fontId="6" fillId="0" borderId="7" xfId="0" applyNumberFormat="1" applyFont="1" applyFill="1" applyBorder="1" applyAlignment="1">
      <x:alignment vertical="top"/>
    </x:xf>
    <x:xf numFmtId="201" fontId="6" fillId="0" borderId="5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2" fontId="6" fillId="0" borderId="5" xfId="0" applyNumberFormat="1" applyFont="1" applyFill="1" applyBorder="1" applyAlignment="1">
      <x:alignment vertical="top"/>
    </x:xf>
    <x:xf numFmtId="202" fontId="6" fillId="0" borderId="6" xfId="0" applyNumberFormat="1" applyFont="1" applyFill="1" applyBorder="1" applyAlignment="1">
      <x:alignment vertical="top"/>
    </x:xf>
    <x:xf numFmtId="202" fontId="6" fillId="0" borderId="7" xfId="0" applyNumberFormat="1" applyFont="1" applyFill="1" applyBorder="1" applyAlignment="1">
      <x:alignment vertical="top"/>
    </x:xf>
    <x:xf numFmtId="0" fontId="6" fillId="3" borderId="7" xfId="0" applyNumberFormat="1" applyFont="1" applyFill="1" applyBorder="1" applyAlignment="1">
      <x:alignment vertical="top"/>
    </x:xf>
    <x:xf numFmtId="202" fontId="6" fillId="0" borderId="5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202" fontId="6" fillId="0" borderId="7" xfId="0" applyNumberFormat="1" applyFont="1" applyFill="1" applyBorder="1" applyAlignment="1">
      <x:alignment vertical="center"/>
    </x:xf>
    <x:xf numFmtId="0" fontId="6" fillId="3" borderId="7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cc3a3202274264" /><Relationship Type="http://schemas.openxmlformats.org/officeDocument/2006/relationships/theme" Target="/xl/theme/theme1.xml" Id="Re02929d9e8174cfd" /><Relationship Type="http://schemas.openxmlformats.org/officeDocument/2006/relationships/sharedStrings" Target="/xl/sharedStrings.xml" Id="R19f8f632e2424eff" /><Relationship Type="http://schemas.openxmlformats.org/officeDocument/2006/relationships/worksheet" Target="/xl/worksheets/sheet1.xml" Id="R3000aa376a4d40da" /><Relationship Type="http://schemas.openxmlformats.org/officeDocument/2006/relationships/worksheet" Target="/xl/worksheets/sheet2.xml" Id="R80631fc9d5e74d60" /><Relationship Type="http://schemas.openxmlformats.org/officeDocument/2006/relationships/worksheet" Target="/xl/worksheets/sheet3.xml" Id="Rb1dd8cf5351545bd" /><Relationship Type="http://schemas.openxmlformats.org/officeDocument/2006/relationships/worksheet" Target="/xl/worksheets/sheet4.xml" Id="Ra35951ec60c947d3" /><Relationship Type="http://schemas.openxmlformats.org/officeDocument/2006/relationships/worksheet" Target="/xl/worksheets/sheet5.xml" Id="R553a78f7c5bc4bb2" /><Relationship Type="http://schemas.openxmlformats.org/officeDocument/2006/relationships/worksheet" Target="/xl/worksheets/sheet6.xml" Id="Rf687b5a9ef4c496c" /><Relationship Type="http://schemas.openxmlformats.org/officeDocument/2006/relationships/worksheet" Target="/xl/worksheets/sheet7.xml" Id="Rac9ceb302d4c4d5b" /><Relationship Type="http://schemas.openxmlformats.org/officeDocument/2006/relationships/worksheet" Target="/xl/worksheets/sheet8.xml" Id="R77b4239971624cea" /><Relationship Type="http://schemas.openxmlformats.org/officeDocument/2006/relationships/worksheet" Target="/xl/worksheets/sheet9.xml" Id="Rc3661cb108f44892" /><Relationship Type="http://schemas.openxmlformats.org/officeDocument/2006/relationships/worksheet" Target="/xl/worksheets/sheet10.xml" Id="R8c3fcb3a6ecb40ae" /><Relationship Type="http://schemas.openxmlformats.org/officeDocument/2006/relationships/worksheet" Target="/xl/worksheets/sheet11.xml" Id="R79537e1abe844368" /><Relationship Type="http://schemas.openxmlformats.org/officeDocument/2006/relationships/worksheet" Target="/xl/worksheets/sheet12.xml" Id="R837a320beab54e0a" /><Relationship Type="http://schemas.openxmlformats.org/officeDocument/2006/relationships/worksheet" Target="/xl/worksheets/sheet13.xml" Id="R7e9d77d44488439c" /><Relationship Type="http://schemas.openxmlformats.org/officeDocument/2006/relationships/worksheet" Target="/xl/worksheets/sheet14.xml" Id="R7e3f4cd3285d4c66" /><Relationship Type="http://schemas.openxmlformats.org/officeDocument/2006/relationships/worksheet" Target="/xl/worksheets/sheet15.xml" Id="Rb1f957ad62214055" /><Relationship Type="http://schemas.openxmlformats.org/officeDocument/2006/relationships/worksheet" Target="/xl/worksheets/sheet16.xml" Id="Rdebb3c1d48a347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2" customHeight="1">
      <x:c r="A1" s="38" t="str">
        <x:v>Decision</x:v>
      </x:c>
      <x:c r="B1" s="39"/>
      <x:c r="C1" s="39"/>
      <x:c r="D1" s="39"/>
      <x:c r="E1" s="39"/>
      <x:c r="F1" s="39"/>
      <x:c r="G1" s="39"/>
      <x:c r="H1" s="39"/>
    </x:row>
    <x:row r="2" ht="22" customHeight="1">
      <x:c r="A2" s="40" t="str">
        <x:v>Architecture-blind preflight of the registered v3C0 likelihood and move constitution</x:v>
      </x:c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39"/>
      <x:c r="B4" s="39"/>
      <x:c r="C4" s="39"/>
      <x:c r="D4" s="39"/>
      <x:c r="E4" s="39"/>
      <x:c r="F4" s="39"/>
      <x:c r="G4" s="39"/>
      <x:c r="H4" s="39"/>
    </x:row>
    <x:row r="5">
      <x:c r="A5" s="41" t="str">
        <x:v>Decision</x:v>
      </x:c>
      <x:c r="B5" s="41" t="str">
        <x:v>Decision</x:v>
      </x:c>
      <x:c r="C5" s="41" t="str">
        <x:v>Decision</x:v>
      </x:c>
      <x:c r="D5" s="41" t="str">
        <x:v>Decision</x:v>
      </x:c>
      <x:c r="E5" s="41" t="str">
        <x:v>Decision</x:v>
      </x:c>
      <x:c r="F5" s="41" t="str">
        <x:v>Decision</x:v>
      </x:c>
      <x:c r="G5" s="41" t="str">
        <x:v>Decision</x:v>
      </x:c>
      <x:c r="H5" s="41" t="str">
        <x:v>Decision</x:v>
      </x:c>
    </x:row>
    <x:row r="6">
      <x:c r="A6" s="42" t="str">
        <x:v>STOP: amend G04 before full posterior execution</x:v>
      </x:c>
      <x:c r="B6" s="43"/>
      <x:c r="C6" s="43"/>
      <x:c r="D6" s="43"/>
      <x:c r="E6" s="43"/>
      <x:c r="F6" s="43"/>
      <x:c r="G6" s="43"/>
      <x:c r="H6" s="43"/>
    </x:row>
    <x:row r="7">
      <x:c r="A7" s="43"/>
      <x:c r="B7" s="43"/>
      <x:c r="C7" s="43"/>
      <x:c r="D7" s="43"/>
      <x:c r="E7" s="43"/>
      <x:c r="F7" s="43"/>
      <x:c r="G7" s="43"/>
      <x:c r="H7" s="43"/>
    </x:row>
    <x:row r="8">
      <x:c r="A8" s="39"/>
      <x:c r="B8" s="39"/>
      <x:c r="C8" s="39"/>
      <x:c r="D8" s="39"/>
      <x:c r="E8" s="39"/>
      <x:c r="F8" s="39"/>
      <x:c r="G8" s="39"/>
      <x:c r="H8" s="39"/>
    </x:row>
    <x:row r="9">
      <x:c r="A9" s="39"/>
      <x:c r="B9" s="39"/>
      <x:c r="C9" s="39"/>
      <x:c r="D9" s="39"/>
      <x:c r="E9" s="39"/>
      <x:c r="F9" s="39"/>
      <x:c r="G9" s="39"/>
      <x:c r="H9" s="39"/>
    </x:row>
    <x:row r="10">
      <x:c r="A10" s="41" t="str">
        <x:v>Binding evidence</x:v>
      </x:c>
      <x:c r="B10" s="41" t="str">
        <x:v>Binding evidence</x:v>
      </x:c>
      <x:c r="C10" s="41" t="str">
        <x:v>Binding evidence</x:v>
      </x:c>
      <x:c r="D10" s="41" t="str">
        <x:v>Binding evidence</x:v>
      </x:c>
      <x:c r="E10" s="41" t="str">
        <x:v>Binding evidence</x:v>
      </x:c>
      <x:c r="F10" s="41" t="str">
        <x:v>Binding evidence</x:v>
      </x:c>
      <x:c r="G10" s="41" t="str">
        <x:v>Binding evidence</x:v>
      </x:c>
      <x:c r="H10" s="41" t="str">
        <x:v>Binding evidence</x:v>
      </x:c>
    </x:row>
    <x:row r="11">
      <x:c r="A11" s="19" t="str">
        <x:v>Measure</x:v>
      </x:c>
      <x:c r="B11" s="20" t="str">
        <x:v>Observed</x:v>
      </x:c>
      <x:c r="C11" s="20" t="str">
        <x:v>Required</x:v>
      </x:c>
      <x:c r="D11" s="21" t="str">
        <x:v>Decision</x:v>
      </x:c>
      <x:c r="E11" s="39"/>
      <x:c r="F11" s="39"/>
      <x:c r="G11" s="39"/>
      <x:c r="H11" s="39"/>
    </x:row>
    <x:row r="12">
      <x:c r="A12" s="44" t="str">
        <x:v>G04 paths passing</x:v>
      </x:c>
      <x:c r="B12" s="45" t="n">
        <x:v>37</x:v>
      </x:c>
      <x:c r="C12" s="45" t="n">
        <x:v>48</x:v>
      </x:c>
      <x:c r="D12" s="46" t="str">
        <x:v>STOP</x:v>
      </x:c>
      <x:c r="E12" s="39"/>
      <x:c r="F12" s="39"/>
      <x:c r="G12" s="39"/>
      <x:c r="H12" s="39"/>
    </x:row>
    <x:row r="13">
      <x:c r="A13" s="47" t="str">
        <x:v>G04 paths failing</x:v>
      </x:c>
      <x:c r="B13" s="48" t="n">
        <x:v>11</x:v>
      </x:c>
      <x:c r="C13" s="48" t="n">
        <x:v>0</x:v>
      </x:c>
      <x:c r="D13" s="49" t="str">
        <x:v>STOP</x:v>
      </x:c>
      <x:c r="E13" s="39"/>
      <x:c r="F13" s="39"/>
      <x:c r="G13" s="39"/>
      <x:c r="H13" s="39"/>
    </x:row>
    <x:row r="14">
      <x:c r="A14" s="47" t="str">
        <x:v>Transition proposals executed</x:v>
      </x:c>
      <x:c r="B14" s="48" t="n">
        <x:v>0</x:v>
      </x:c>
      <x:c r="C14" s="48" t="n">
        <x:v>0</x:v>
      </x:c>
      <x:c r="D14" s="50" t="str">
        <x:v>Met</x:v>
      </x:c>
      <x:c r="E14" s="39"/>
      <x:c r="F14" s="39"/>
      <x:c r="G14" s="39"/>
      <x:c r="H14" s="39"/>
    </x:row>
    <x:row r="15">
      <x:c r="A15" s="47" t="str">
        <x:v>Posterior states created</x:v>
      </x:c>
      <x:c r="B15" s="48" t="n">
        <x:v>0</x:v>
      </x:c>
      <x:c r="C15" s="48" t="n">
        <x:v>0</x:v>
      </x:c>
      <x:c r="D15" s="50" t="str">
        <x:v>Met</x:v>
      </x:c>
      <x:c r="E15" s="39"/>
      <x:c r="F15" s="39"/>
      <x:c r="G15" s="39"/>
      <x:c r="H15" s="39"/>
    </x:row>
    <x:row r="16">
      <x:c r="A16" s="51" t="str">
        <x:v>Architecture outcome reads</x:v>
      </x:c>
      <x:c r="B16" s="52" t="n">
        <x:v>0</x:v>
      </x:c>
      <x:c r="C16" s="52" t="n">
        <x:v>0</x:v>
      </x:c>
      <x:c r="D16" s="53" t="str">
        <x:v>Met</x:v>
      </x:c>
      <x:c r="E16" s="39"/>
      <x:c r="F16" s="39"/>
      <x:c r="G16" s="39"/>
      <x:c r="H16" s="39"/>
    </x:row>
    <x:row r="17">
      <x:c r="A17" s="39"/>
      <x:c r="B17" s="39"/>
      <x:c r="C17" s="39"/>
      <x:c r="D17" s="39"/>
      <x:c r="E17" s="39"/>
      <x:c r="F17" s="39"/>
      <x:c r="G17" s="39"/>
      <x:c r="H17" s="39"/>
    </x:row>
    <x:row r="18">
      <x:c r="A18" s="39"/>
      <x:c r="B18" s="39"/>
      <x:c r="C18" s="39"/>
      <x:c r="D18" s="39"/>
      <x:c r="E18" s="39"/>
      <x:c r="F18" s="39"/>
      <x:c r="G18" s="39"/>
      <x:c r="H18" s="39"/>
    </x:row>
    <x:row r="19">
      <x:c r="A19" s="41" t="str">
        <x:v>Interpretation</x:v>
      </x:c>
      <x:c r="B19" s="41" t="str">
        <x:v>Interpretation</x:v>
      </x:c>
      <x:c r="C19" s="41" t="str">
        <x:v>Interpretation</x:v>
      </x:c>
      <x:c r="D19" s="41" t="str">
        <x:v>Interpretation</x:v>
      </x:c>
      <x:c r="E19" s="41" t="str">
        <x:v>Interpretation</x:v>
      </x:c>
      <x:c r="F19" s="41" t="str">
        <x:v>Interpretation</x:v>
      </x:c>
      <x:c r="G19" s="41" t="str">
        <x:v>Interpretation</x:v>
      </x:c>
      <x:c r="H19" s="41" t="str">
        <x:v>Interpretation</x:v>
      </x:c>
    </x:row>
    <x:row r="20">
      <x:c r="A20" s="36" t="str">
        <x:v>The likelihood construction, propriety proof and reduced-support move grammar pass preflight, but the registered one-shot covariance gate is statistically scale-dependent and fails at least one path. Full posterior execution is prohibited until a versioned amendment replaces G04 with a sampling-calibrated discrepancy rule.</x:v>
      </x:c>
      <x:c r="B20" s="36"/>
      <x:c r="C20" s="36"/>
      <x:c r="D20" s="36"/>
      <x:c r="E20" s="36"/>
      <x:c r="F20" s="36"/>
      <x:c r="G20" s="36"/>
      <x:c r="H20" s="36"/>
    </x:row>
    <x:row r="21">
      <x:c r="A21" s="36"/>
      <x:c r="B21" s="36"/>
      <x:c r="C21" s="36"/>
      <x:c r="D21" s="36"/>
      <x:c r="E21" s="36"/>
      <x:c r="F21" s="36"/>
      <x:c r="G21" s="36"/>
      <x:c r="H21" s="36"/>
    </x:row>
    <x:row r="22">
      <x:c r="A22" s="36"/>
      <x:c r="B22" s="36"/>
      <x:c r="C22" s="36"/>
      <x:c r="D22" s="36"/>
      <x:c r="E22" s="36"/>
      <x:c r="F22" s="36"/>
      <x:c r="G22" s="36"/>
      <x:c r="H22" s="36"/>
    </x:row>
    <x:row r="23">
      <x:c r="A23" s="36"/>
      <x:c r="B23" s="36"/>
      <x:c r="C23" s="36"/>
      <x:c r="D23" s="36"/>
      <x:c r="E23" s="36"/>
      <x:c r="F23" s="36"/>
      <x:c r="G23" s="36"/>
      <x:c r="H23" s="36"/>
    </x:row>
    <x:row r="24">
      <x:c r="A24" s="39"/>
      <x:c r="B24" s="39"/>
      <x:c r="C24" s="39"/>
      <x:c r="D24" s="39"/>
      <x:c r="E24" s="39"/>
      <x:c r="F24" s="39"/>
      <x:c r="G24" s="39"/>
      <x:c r="H24" s="39"/>
    </x:row>
    <x:row r="25">
      <x:c r="A25" s="39"/>
      <x:c r="B25" s="39"/>
      <x:c r="C25" s="39"/>
      <x:c r="D25" s="39"/>
      <x:c r="E25" s="39"/>
      <x:c r="F25" s="39"/>
      <x:c r="G25" s="39"/>
      <x:c r="H25" s="39"/>
    </x:row>
    <x:row r="26">
      <x:c r="A26" s="41" t="str">
        <x:v>Authorized next action</x:v>
      </x:c>
      <x:c r="B26" s="41" t="str">
        <x:v>Authorized next action</x:v>
      </x:c>
      <x:c r="C26" s="41" t="str">
        <x:v>Authorized next action</x:v>
      </x:c>
      <x:c r="D26" s="41" t="str">
        <x:v>Authorized next action</x:v>
      </x:c>
      <x:c r="E26" s="41" t="str">
        <x:v>Authorized next action</x:v>
      </x:c>
      <x:c r="F26" s="41" t="str">
        <x:v>Authorized next action</x:v>
      </x:c>
      <x:c r="G26" s="41" t="str">
        <x:v>Authorized next action</x:v>
      </x:c>
      <x:c r="H26" s="41" t="str">
        <x:v>Authorized next action</x:v>
      </x:c>
    </x:row>
    <x:row r="27">
      <x:c r="A27" s="54" t="str">
        <x:v>Issue v3C0A with a whitened, familywise-calibrated covariance test. Rerun all 48 fixed-state paths from the committed seed grammar. Do not begin posterior chains, donor fitting, synthesis, building assignment or architecture evaluation.</x:v>
      </x:c>
      <x:c r="B27" s="54"/>
      <x:c r="C27" s="54"/>
      <x:c r="D27" s="54"/>
      <x:c r="E27" s="54"/>
      <x:c r="F27" s="54"/>
      <x:c r="G27" s="54"/>
      <x:c r="H27" s="54"/>
    </x:row>
    <x:row r="28">
      <x:c r="A28" s="54"/>
      <x:c r="B28" s="54"/>
      <x:c r="C28" s="54"/>
      <x:c r="D28" s="54"/>
      <x:c r="E28" s="54"/>
      <x:c r="F28" s="54"/>
      <x:c r="G28" s="54"/>
      <x:c r="H28" s="54"/>
    </x:row>
    <x:row r="29">
      <x:c r="A29" s="54"/>
      <x:c r="B29" s="54"/>
      <x:c r="C29" s="54"/>
      <x:c r="D29" s="54"/>
      <x:c r="E29" s="54"/>
      <x:c r="F29" s="54"/>
      <x:c r="G29" s="54"/>
      <x:c r="H29" s="54"/>
    </x:row>
    <x:row r="30">
      <x:c r="A30" s="54"/>
      <x:c r="B30" s="54"/>
      <x:c r="C30" s="54"/>
      <x:c r="D30" s="54"/>
      <x:c r="E30" s="54"/>
      <x:c r="F30" s="54"/>
      <x:c r="G30" s="54"/>
      <x:c r="H30" s="5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2" hidden="0" customWidth="1"/>
    <x:col min="2" max="2" width="100" hidden="0" customWidth="1"/>
  </x:cols>
  <x:sheetData>
    <x:row r="1" ht="22" customHeight="1">
      <x:c r="A1" s="38" t="str">
        <x:v>Registration</x:v>
      </x:c>
      <x:c r="B1" s="39"/>
    </x:row>
    <x:row r="2" ht="22" customHeight="1">
      <x:c r="A2" s="40" t="str">
        <x:v>Version identity, scope, execution boundary and stop state</x:v>
      </x:c>
      <x:c r="B2" s="39"/>
    </x:row>
    <x:row r="3">
      <x:c r="A3" s="39"/>
      <x:c r="B3" s="39"/>
    </x:row>
    <x:row r="4">
      <x:c r="A4" s="39"/>
      <x:c r="B4" s="39"/>
    </x:row>
    <x:row r="5">
      <x:c r="A5" s="39"/>
      <x:c r="B5" s="39"/>
    </x:row>
    <x:row r="6">
      <x:c r="A6" s="19" t="str">
        <x:v>Field</x:v>
      </x:c>
      <x:c r="B6" s="21" t="str">
        <x:v>Registered value</x:v>
      </x:c>
    </x:row>
    <x:row r="7">
      <x:c r="A7" s="44" t="str">
        <x:v>registration_id</x:v>
      </x:c>
      <x:c r="B7" s="58" t="str">
        <x:v>DF-NYC-L0-PR55-POSTERIOR-PREFLIGHT-v3C0</x:v>
      </x:c>
    </x:row>
    <x:row r="8">
      <x:c r="A8" s="47" t="str">
        <x:v>parent_registration</x:v>
      </x:c>
      <x:c r="B8" s="59" t="str">
        <x:v>DF-NYC-L0-PR54-ATOMIC-POSTERIOR-v3C0</x:v>
      </x:c>
    </x:row>
    <x:row r="9">
      <x:c r="A9" s="47" t="str">
        <x:v>access_date</x:v>
      </x:c>
      <x:c r="B9" s="59" t="str">
        <x:v>2026-09-07</x:v>
      </x:c>
    </x:row>
    <x:row r="10">
      <x:c r="A10" s="47" t="str">
        <x:v>state</x:v>
      </x:c>
      <x:c r="B10" s="59" t="str">
        <x:v>STOP_AMEND_BEFORE_FULL_EXECUTION</x:v>
      </x:c>
    </x:row>
    <x:row r="11">
      <x:c r="A11" s="47" t="str">
        <x:v>catchments</x:v>
      </x:c>
      <x:c r="B11" s="59" t="n">
        <x:v>12</x:v>
      </x:c>
    </x:row>
    <x:row r="12">
      <x:c r="A12" s="47" t="str">
        <x:v>metrics</x:v>
      </x:c>
      <x:c r="B12" s="59" t="n">
        <x:v>39</x:v>
      </x:c>
    </x:row>
    <x:row r="13">
      <x:c r="A13" s="47" t="str">
        <x:v>atomic_cells</x:v>
      </x:c>
      <x:c r="B13" s="59" t="n">
        <x:v>1557</x:v>
      </x:c>
    </x:row>
    <x:row r="14">
      <x:c r="A14" s="47" t="str">
        <x:v>row_rank</x:v>
      </x:c>
      <x:c r="B14" s="59" t="n">
        <x:v>33</x:v>
      </x:c>
    </x:row>
    <x:row r="15">
      <x:c r="A15" s="47" t="str">
        <x:v>likelihood_cases</x:v>
      </x:c>
      <x:c r="B15" s="59" t="n">
        <x:v>4</x:v>
      </x:c>
    </x:row>
    <x:row r="16">
      <x:c r="A16" s="47" t="str">
        <x:v>prior_cases</x:v>
      </x:c>
      <x:c r="B16" s="59" t="n">
        <x:v>3</x:v>
      </x:c>
    </x:row>
    <x:row r="17">
      <x:c r="A17" s="47" t="str">
        <x:v>factorial_cases</x:v>
      </x:c>
      <x:c r="B17" s="59" t="n">
        <x:v>12</x:v>
      </x:c>
    </x:row>
    <x:row r="18">
      <x:c r="A18" s="47" t="str">
        <x:v>fixed_state_draws_per_path</x:v>
      </x:c>
      <x:c r="B18" s="59" t="n">
        <x:v>100000</x:v>
      </x:c>
    </x:row>
    <x:row r="19">
      <x:c r="A19" s="47" t="str">
        <x:v>fixed_state_paths</x:v>
      </x:c>
      <x:c r="B19" s="59" t="n">
        <x:v>48</x:v>
      </x:c>
    </x:row>
    <x:row r="20">
      <x:c r="A20" s="47" t="str">
        <x:v>fixed_state_draws_total</x:v>
      </x:c>
      <x:c r="B20" s="59" t="n">
        <x:v>4800000</x:v>
      </x:c>
    </x:row>
    <x:row r="21">
      <x:c r="A21" s="47" t="str">
        <x:v>candidate_posterior_states</x:v>
      </x:c>
      <x:c r="B21" s="59" t="n">
        <x:v>0</x:v>
      </x:c>
    </x:row>
    <x:row r="22">
      <x:c r="A22" s="47" t="str">
        <x:v>transition_proposals_executed</x:v>
      </x:c>
      <x:c r="B22" s="59" t="n">
        <x:v>0</x:v>
      </x:c>
    </x:row>
    <x:row r="23">
      <x:c r="A23" s="51" t="str">
        <x:v>architecture_reads</x:v>
      </x:c>
      <x:c r="B23" s="60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42" hidden="0" customWidth="1"/>
    <x:col min="3" max="3" width="88" hidden="0" customWidth="1"/>
    <x:col min="4" max="4" width="16" hidden="0" customWidth="1"/>
    <x:col min="5" max="5" width="16" hidden="0" customWidth="1"/>
    <x:col min="6" max="6" width="18" hidden="0" customWidth="1"/>
  </x:cols>
  <x:sheetData>
    <x:row r="1" ht="22" customHeight="1">
      <x:c r="A1" s="38" t="str">
        <x:v>Preflight Results</x:v>
      </x:c>
      <x:c r="B1" s="39"/>
      <x:c r="C1" s="39"/>
      <x:c r="D1" s="39"/>
      <x:c r="E1" s="39"/>
      <x:c r="F1" s="39"/>
    </x:row>
    <x:row r="2" ht="22" customHeight="1">
      <x:c r="A2" s="40" t="str">
        <x:v>Co-governing preflight decisions; one STOP prohibits the full posterior run</x:v>
      </x:c>
      <x:c r="B2" s="39"/>
      <x:c r="C2" s="39"/>
      <x:c r="D2" s="39"/>
      <x:c r="E2" s="39"/>
      <x:c r="F2" s="39"/>
    </x:row>
    <x:row r="3">
      <x:c r="A3" s="39"/>
      <x:c r="B3" s="39"/>
      <x:c r="C3" s="39"/>
      <x:c r="D3" s="39"/>
      <x:c r="E3" s="39"/>
      <x:c r="F3" s="39"/>
    </x:row>
    <x:row r="4">
      <x:c r="A4" s="39"/>
      <x:c r="B4" s="39"/>
      <x:c r="C4" s="39"/>
      <x:c r="D4" s="39"/>
      <x:c r="E4" s="39"/>
      <x:c r="F4" s="39"/>
    </x:row>
    <x:row r="5">
      <x:c r="A5" s="39"/>
      <x:c r="B5" s="39"/>
      <x:c r="C5" s="39"/>
      <x:c r="D5" s="39"/>
      <x:c r="E5" s="39"/>
      <x:c r="F5" s="39"/>
    </x:row>
    <x:row r="6">
      <x:c r="A6" s="19" t="str">
        <x:v>Gate</x:v>
      </x:c>
      <x:c r="B6" s="20" t="str">
        <x:v>Object</x:v>
      </x:c>
      <x:c r="C6" s="20" t="str">
        <x:v>Threshold</x:v>
      </x:c>
      <x:c r="D6" s="20" t="str">
        <x:v>Observed</x:v>
      </x:c>
      <x:c r="E6" s="20" t="str">
        <x:v>Expected</x:v>
      </x:c>
      <x:c r="F6" s="21" t="str">
        <x:v>Status</x:v>
      </x:c>
    </x:row>
    <x:row r="7">
      <x:c r="A7" s="44" t="str">
        <x:v>PF01</x:v>
      </x:c>
      <x:c r="B7" s="58" t="str">
        <x:v>source reconstruction</x:v>
      </x:c>
      <x:c r="C7" s="58" t="str">
        <x:v>all VRE points exact and SE difference &lt;=1e-9</x:v>
      </x:c>
      <x:c r="D7" s="44" t="n">
        <x:f>COUNTIFS('03 Source Validation'!I7:I282,"Met")</x:f>
        <x:v>276</x:v>
      </x:c>
      <x:c r="E7" s="44" t="n">
        <x:v>276</x:v>
      </x:c>
      <x:c r="F7" s="44" t="str">
        <x:f>IF(D7=E7,"Met","STOP")</x:f>
        <x:v>Met</x:v>
      </x:c>
    </x:row>
    <x:row r="8">
      <x:c r="A8" s="47" t="str">
        <x:v>PF02</x:v>
      </x:c>
      <x:c r="B8" s="59" t="str">
        <x:v>atomic row basis</x:v>
      </x:c>
      <x:c r="C8" s="59" t="str">
        <x:v>rank 33 and relative residual &lt;=1e-10</x:v>
      </x:c>
      <x:c r="D8" s="47" t="n">
        <x:f>IF(AND('04 Row Basis'!B9=33,'04 Row Basis'!B12&lt;=1E-10),33,0)</x:f>
        <x:v>33</x:v>
      </x:c>
      <x:c r="E8" s="47" t="n">
        <x:v>33</x:v>
      </x:c>
      <x:c r="F8" s="47" t="str">
        <x:f>IF(D8=E8,"Met","STOP")</x:f>
        <x:v>Met</x:v>
      </x:c>
    </x:row>
    <x:row r="9">
      <x:c r="A9" s="47" t="str">
        <x:v>PF03</x:v>
      </x:c>
      <x:c r="B9" s="59" t="str">
        <x:v>covariance completion</x:v>
      </x:c>
      <x:c r="C9" s="59" t="str">
        <x:v>all three cases reconcile &lt;=1e-10</x:v>
      </x:c>
      <x:c r="D9" s="47" t="n">
        <x:f>COUNTIFS('05 Cov Completion'!G7:G9,"Met")</x:f>
        <x:v>3</x:v>
      </x:c>
      <x:c r="E9" s="47" t="n">
        <x:v>3</x:v>
      </x:c>
      <x:c r="F9" s="47" t="str">
        <x:f>IF(D9=E9,"Met","STOP")</x:f>
        <x:v>Met</x:v>
      </x:c>
    </x:row>
    <x:row r="10">
      <x:c r="A10" s="47" t="str">
        <x:v>PF04</x:v>
      </x:c>
      <x:c r="B10" s="59" t="str">
        <x:v>reduced covariance</x:v>
      </x:c>
      <x:c r="C10" s="59" t="str">
        <x:v>all 36 completed Gaussian catchment matrices positive definite above 1e-10 ratio; t7 reuses R0 covariance</x:v>
      </x:c>
      <x:c r="D10" s="47" t="n">
        <x:f>COUNTIFS('06 Matrix PD'!J7:J42,"Met")</x:f>
        <x:v>36</x:v>
      </x:c>
      <x:c r="E10" s="47" t="n">
        <x:v>36</x:v>
      </x:c>
      <x:c r="F10" s="47" t="str">
        <x:f>IF(D10=E10,"Met","STOP")</x:f>
        <x:v>Met</x:v>
      </x:c>
    </x:row>
    <x:row r="11">
      <x:c r="A11" s="47" t="str">
        <x:v>PF05</x:v>
      </x:c>
      <x:c r="B11" s="59" t="str">
        <x:v>posterior propriety</x:v>
      </x:c>
      <x:c r="C11" s="59" t="str">
        <x:v>proof closes for all 12 likelihood-prior cases</x:v>
      </x:c>
      <x:c r="D11" s="47" t="n">
        <x:f>COUNTIFS('09 Propriety'!G7:G18,"Met")</x:f>
        <x:v>12</x:v>
      </x:c>
      <x:c r="E11" s="47" t="n">
        <x:v>12</x:v>
      </x:c>
      <x:c r="F11" s="47" t="str">
        <x:f>IF(D11=E11,"Met","STOP")</x:f>
        <x:v>Met</x:v>
      </x:c>
    </x:row>
    <x:row r="12">
      <x:c r="A12" s="47" t="str">
        <x:v>PF06</x:v>
      </x:c>
      <x:c r="B12" s="59" t="str">
        <x:v>reduced-support connectivity</x:v>
      </x:c>
      <x:c r="C12" s="59" t="str">
        <x:v>all five enumerated supports meet registered test</x:v>
      </x:c>
      <x:c r="D12" s="47" t="n">
        <x:f>COUNTIFS('10 Connectivity'!M7:M11,"Met")</x:f>
        <x:v>5</x:v>
      </x:c>
      <x:c r="E12" s="47" t="n">
        <x:v>5</x:v>
      </x:c>
      <x:c r="F12" s="47" t="str">
        <x:f>IF(D12=E12,"Met","STOP")</x:f>
        <x:v>Met</x:v>
      </x:c>
    </x:row>
    <x:row r="13">
      <x:c r="A13" s="47" t="str">
        <x:v>PF07</x:v>
      </x:c>
      <x:c r="B13" s="59" t="str">
        <x:v>failure injections</x:v>
      </x:c>
      <x:c r="C13" s="59" t="str">
        <x:v>all five injected defects detected</x:v>
      </x:c>
      <x:c r="D13" s="47" t="n">
        <x:f>COUNTIFS('11 Failure Tests'!F7:F11,"Detected")</x:f>
        <x:v>5</x:v>
      </x:c>
      <x:c r="E13" s="47" t="n">
        <x:v>5</x:v>
      </x:c>
      <x:c r="F13" s="47" t="str">
        <x:f>IF(D13=E13,"Met","STOP")</x:f>
        <x:v>Met</x:v>
      </x:c>
    </x:row>
    <x:row r="14">
      <x:c r="A14" s="47" t="str">
        <x:v>G04</x:v>
      </x:c>
      <x:c r="B14" s="59" t="str">
        <x:v>100,000-draw covariance recovery</x:v>
      </x:c>
      <x:c r="C14" s="59" t="str">
        <x:v>all 48 paths: diagonal 0.98–1.02 and relative Frobenius &lt;=0.01</x:v>
      </x:c>
      <x:c r="D14" s="47" t="n">
        <x:f>COUNTIFS('08 Simulation Paths'!M7:M54,"Met")</x:f>
        <x:v>37</x:v>
      </x:c>
      <x:c r="E14" s="47" t="n">
        <x:v>48</x:v>
      </x:c>
      <x:c r="F14" s="47" t="str">
        <x:f>IF(D14=E14,"Met","STOP")</x:f>
        <x:v>STOP</x:v>
      </x:c>
    </x:row>
    <x:row r="15">
      <x:c r="A15" s="47" t="str">
        <x:v>PF08</x:v>
      </x:c>
      <x:c r="B15" s="59" t="str">
        <x:v>architecture access</x:v>
      </x:c>
      <x:c r="C15" s="59" t="str">
        <x:v>zero outcome reads and zero outcome rows</x:v>
      </x:c>
      <x:c r="D15" s="47" t="n">
        <x:f>'01 Registration'!B23</x:f>
        <x:v>0</x:v>
      </x:c>
      <x:c r="E15" s="47" t="n">
        <x:v>0</x:v>
      </x:c>
      <x:c r="F15" s="47" t="str">
        <x:f>IF(D15=E15,"Met","STOP")</x:f>
        <x:v>Met</x:v>
      </x:c>
    </x:row>
    <x:row r="16">
      <x:c r="A16" s="51" t="str">
        <x:v>PF09</x:v>
      </x:c>
      <x:c r="B16" s="60" t="str">
        <x:v>posterior outputs</x:v>
      </x:c>
      <x:c r="C16" s="60" t="str">
        <x:v>zero posterior states</x:v>
      </x:c>
      <x:c r="D16" s="51" t="n">
        <x:f>SUM('13 Empty Outputs'!B7:B12)</x:f>
        <x:v>0</x:v>
      </x:c>
      <x:c r="E16" s="51" t="n">
        <x:v>0</x:v>
      </x:c>
      <x:c r="F16" s="51" t="str">
        <x:f>IF(D16=E16,"Met","STOP")</x:f>
        <x:v>Met</x:v>
      </x:c>
    </x:row>
    <x:row r="17">
      <x:c r="A17" s="39"/>
      <x:c r="B17" s="39"/>
      <x:c r="C17" s="39"/>
      <x:c r="D17" s="39"/>
      <x:c r="E17" s="39"/>
      <x:c r="F17" s="39"/>
    </x:row>
    <x:row r="18">
      <x:c r="A18" s="39"/>
      <x:c r="B18" s="39"/>
      <x:c r="C18" s="39"/>
      <x:c r="D18" s="39"/>
      <x:c r="E18" s="39"/>
      <x:c r="F18" s="39"/>
    </x:row>
    <x:row r="19">
      <x:c r="A19" s="41" t="str">
        <x:v>Overall</x:v>
      </x:c>
      <x:c r="B19" s="41" t="str">
        <x:v>Overall</x:v>
      </x:c>
      <x:c r="C19" s="41" t="str">
        <x:v>Overall</x:v>
      </x:c>
      <x:c r="D19" s="41" t="str">
        <x:v>Overall</x:v>
      </x:c>
      <x:c r="E19" s="41" t="str">
        <x:v>Overall</x:v>
      </x:c>
      <x:c r="F19" s="41" t="str">
        <x:v>Overall</x:v>
      </x:c>
    </x:row>
    <x:row r="20">
      <x:c r="A20" s="62" t="str">
        <x:v>Preflight decision</x:v>
      </x:c>
      <x:c r="B20" s="62" t="str">
        <x:f>IF(COUNTIFS(F7:F16,"STOP")&gt;0,"STOP: amend before full execution","Advance")</x:f>
        <x:v>STOP: amend before full execution</x:v>
      </x:c>
      <x:c r="C20" s="39"/>
      <x:c r="D20" s="39"/>
      <x:c r="E20" s="39"/>
      <x:c r="F20" s="3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2" hidden="0" customWidth="1"/>
    <x:col min="5" max="5" width="22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</x:cols>
  <x:sheetData>
    <x:row r="1" ht="22" customHeight="1">
      <x:c r="A1" s="38" t="str">
        <x:v>Source Validation</x:v>
      </x:c>
      <x:c r="B1" s="39"/>
      <x:c r="C1" s="39"/>
      <x:c r="D1" s="39"/>
      <x:c r="E1" s="39"/>
      <x:c r="F1" s="39"/>
      <x:c r="G1" s="39"/>
      <x:c r="H1" s="39"/>
      <x:c r="I1" s="39"/>
    </x:row>
    <x:row r="2" ht="22" customHeight="1">
      <x:c r="A2" s="40" t="str">
        <x:v>Exact reconstruction of all variance-replicate point and standard-error authorities</x:v>
      </x:c>
      <x:c r="B2" s="39"/>
      <x:c r="C2" s="39"/>
      <x:c r="D2" s="39"/>
      <x:c r="E2" s="39"/>
      <x:c r="F2" s="39"/>
      <x:c r="G2" s="39"/>
      <x:c r="H2" s="39"/>
      <x:c r="I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</x:row>
    <x:row r="6">
      <x:c r="A6" s="19" t="str">
        <x:v>Table</x:v>
      </x:c>
      <x:c r="B6" s="20" t="str">
        <x:v>Catchment</x:v>
      </x:c>
      <x:c r="C6" s="20" t="str">
        <x:v>Metric</x:v>
      </x:c>
      <x:c r="D6" s="20" t="str">
        <x:v>Point difference</x:v>
      </x:c>
      <x:c r="E6" s="20" t="str">
        <x:v>SE difference</x:v>
      </x:c>
      <x:c r="F6" s="20" t="str">
        <x:v>Point exact</x:v>
      </x:c>
      <x:c r="G6" s="20" t="str">
        <x:v>SE within 1e-9</x:v>
      </x:c>
      <x:c r="H6" s="20" t="str">
        <x:v>Required</x:v>
      </x:c>
      <x:c r="I6" s="21" t="str">
        <x:v>Status</x:v>
      </x:c>
    </x:row>
    <x:row r="7">
      <x:c r="A7" s="44" t="str">
        <x:v>B01001</x:v>
      </x:c>
      <x:c r="B7" s="44" t="str">
        <x:v>NYC-V1-R01</x:v>
      </x:c>
      <x:c r="C7" s="44" t="str">
        <x:v>acs_population</x:v>
      </x:c>
      <x:c r="D7" s="66" t="n">
        <x:v>0</x:v>
      </x:c>
      <x:c r="E7" s="66" t="n">
        <x:v>2.2737367544323206e-13</x:v>
      </x:c>
      <x:c r="F7" s="44" t="n">
        <x:v>1</x:v>
      </x:c>
      <x:c r="G7" s="44" t="n">
        <x:v>1</x:v>
      </x:c>
      <x:c r="H7" s="44" t="n">
        <x:v>1</x:v>
      </x:c>
      <x:c r="I7" s="44" t="str">
        <x:f>IF(AND(F7=H7,G7=H7),"Met","STOP")</x:f>
        <x:v>Met</x:v>
      </x:c>
    </x:row>
    <x:row r="8">
      <x:c r="A8" s="47" t="str">
        <x:v>B01001</x:v>
      </x:c>
      <x:c r="B8" s="47" t="str">
        <x:v>NYC-V1-R01</x:v>
      </x:c>
      <x:c r="C8" s="47" t="str">
        <x:v>age_under_18</x:v>
      </x:c>
      <x:c r="D8" s="67" t="n">
        <x:v>0</x:v>
      </x:c>
      <x:c r="E8" s="67" t="n">
        <x:v>0</x:v>
      </x:c>
      <x:c r="F8" s="47" t="n">
        <x:v>1</x:v>
      </x:c>
      <x:c r="G8" s="47" t="n">
        <x:v>1</x:v>
      </x:c>
      <x:c r="H8" s="47" t="n">
        <x:v>1</x:v>
      </x:c>
      <x:c r="I8" s="47" t="str">
        <x:f>IF(AND(F8=H8,G8=H8),"Met","STOP")</x:f>
        <x:v>Met</x:v>
      </x:c>
    </x:row>
    <x:row r="9">
      <x:c r="A9" s="47" t="str">
        <x:v>B01001</x:v>
      </x:c>
      <x:c r="B9" s="47" t="str">
        <x:v>NYC-V1-R01</x:v>
      </x:c>
      <x:c r="C9" s="47" t="str">
        <x:v>age_under_5</x:v>
      </x:c>
      <x:c r="D9" s="67" t="n">
        <x:v>0</x:v>
      </x:c>
      <x:c r="E9" s="67" t="n">
        <x:v>0</x:v>
      </x:c>
      <x:c r="F9" s="47" t="n">
        <x:v>1</x:v>
      </x:c>
      <x:c r="G9" s="47" t="n">
        <x:v>1</x:v>
      </x:c>
      <x:c r="H9" s="47" t="n">
        <x:v>1</x:v>
      </x:c>
      <x:c r="I9" s="47" t="str">
        <x:f>IF(AND(F9=H9,G9=H9),"Met","STOP")</x:f>
        <x:v>Met</x:v>
      </x:c>
    </x:row>
    <x:row r="10">
      <x:c r="A10" s="47" t="str">
        <x:v>B01001</x:v>
      </x:c>
      <x:c r="B10" s="47" t="str">
        <x:v>NYC-V1-R01</x:v>
      </x:c>
      <x:c r="C10" s="47" t="str">
        <x:v>age_65_plus</x:v>
      </x:c>
      <x:c r="D10" s="67" t="n">
        <x:v>0</x:v>
      </x:c>
      <x:c r="E10" s="67" t="n">
        <x:v>0</x:v>
      </x:c>
      <x:c r="F10" s="47" t="n">
        <x:v>1</x:v>
      </x:c>
      <x:c r="G10" s="47" t="n">
        <x:v>1</x:v>
      </x:c>
      <x:c r="H10" s="47" t="n">
        <x:v>1</x:v>
      </x:c>
      <x:c r="I10" s="47" t="str">
        <x:f>IF(AND(F10=H10,G10=H10),"Met","STOP")</x:f>
        <x:v>Met</x:v>
      </x:c>
    </x:row>
    <x:row r="11">
      <x:c r="A11" s="47" t="str">
        <x:v>B01001</x:v>
      </x:c>
      <x:c r="B11" s="47" t="str">
        <x:v>NYC-V1-R01</x:v>
      </x:c>
      <x:c r="C11" s="47" t="str">
        <x:v>age_75_plus</x:v>
      </x:c>
      <x:c r="D11" s="67" t="n">
        <x:v>0</x:v>
      </x:c>
      <x:c r="E11" s="67" t="n">
        <x:v>0</x:v>
      </x:c>
      <x:c r="F11" s="47" t="n">
        <x:v>1</x:v>
      </x:c>
      <x:c r="G11" s="47" t="n">
        <x:v>1</x:v>
      </x:c>
      <x:c r="H11" s="47" t="n">
        <x:v>1</x:v>
      </x:c>
      <x:c r="I11" s="47" t="str">
        <x:f>IF(AND(F11=H11,G11=H11),"Met","STOP")</x:f>
        <x:v>Met</x:v>
      </x:c>
    </x:row>
    <x:row r="12">
      <x:c r="A12" s="47" t="str">
        <x:v>B01001</x:v>
      </x:c>
      <x:c r="B12" s="47" t="str">
        <x:v>NYC-V1-R01</x:v>
      </x:c>
      <x:c r="C12" s="47" t="str">
        <x:v>age_85_plus</x:v>
      </x:c>
      <x:c r="D12" s="67" t="n">
        <x:v>0</x:v>
      </x:c>
      <x:c r="E12" s="67" t="n">
        <x:v>0</x:v>
      </x:c>
      <x:c r="F12" s="47" t="n">
        <x:v>1</x:v>
      </x:c>
      <x:c r="G12" s="47" t="n">
        <x:v>1</x:v>
      </x:c>
      <x:c r="H12" s="47" t="n">
        <x:v>1</x:v>
      </x:c>
      <x:c r="I12" s="47" t="str">
        <x:f>IF(AND(F12=H12,G12=H12),"Met","STOP")</x:f>
        <x:v>Met</x:v>
      </x:c>
    </x:row>
    <x:row r="13">
      <x:c r="A13" s="47" t="str">
        <x:v>B01001</x:v>
      </x:c>
      <x:c r="B13" s="47" t="str">
        <x:v>NYC-V1-R02</x:v>
      </x:c>
      <x:c r="C13" s="47" t="str">
        <x:v>acs_population</x:v>
      </x:c>
      <x:c r="D13" s="67" t="n">
        <x:v>0</x:v>
      </x:c>
      <x:c r="E13" s="67" t="n">
        <x:v>0</x:v>
      </x:c>
      <x:c r="F13" s="47" t="n">
        <x:v>1</x:v>
      </x:c>
      <x:c r="G13" s="47" t="n">
        <x:v>1</x:v>
      </x:c>
      <x:c r="H13" s="47" t="n">
        <x:v>1</x:v>
      </x:c>
      <x:c r="I13" s="47" t="str">
        <x:f>IF(AND(F13=H13,G13=H13),"Met","STOP")</x:f>
        <x:v>Met</x:v>
      </x:c>
    </x:row>
    <x:row r="14">
      <x:c r="A14" s="47" t="str">
        <x:v>B01001</x:v>
      </x:c>
      <x:c r="B14" s="47" t="str">
        <x:v>NYC-V1-R02</x:v>
      </x:c>
      <x:c r="C14" s="47" t="str">
        <x:v>age_under_18</x:v>
      </x:c>
      <x:c r="D14" s="67" t="n">
        <x:v>0</x:v>
      </x:c>
      <x:c r="E14" s="67" t="n">
        <x:v>0</x:v>
      </x:c>
      <x:c r="F14" s="47" t="n">
        <x:v>1</x:v>
      </x:c>
      <x:c r="G14" s="47" t="n">
        <x:v>1</x:v>
      </x:c>
      <x:c r="H14" s="47" t="n">
        <x:v>1</x:v>
      </x:c>
      <x:c r="I14" s="47" t="str">
        <x:f>IF(AND(F14=H14,G14=H14),"Met","STOP")</x:f>
        <x:v>Met</x:v>
      </x:c>
    </x:row>
    <x:row r="15">
      <x:c r="A15" s="47" t="str">
        <x:v>B01001</x:v>
      </x:c>
      <x:c r="B15" s="47" t="str">
        <x:v>NYC-V1-R02</x:v>
      </x:c>
      <x:c r="C15" s="47" t="str">
        <x:v>age_under_5</x:v>
      </x:c>
      <x:c r="D15" s="67" t="n">
        <x:v>0</x:v>
      </x:c>
      <x:c r="E15" s="67" t="n">
        <x:v>0</x:v>
      </x:c>
      <x:c r="F15" s="47" t="n">
        <x:v>1</x:v>
      </x:c>
      <x:c r="G15" s="47" t="n">
        <x:v>1</x:v>
      </x:c>
      <x:c r="H15" s="47" t="n">
        <x:v>1</x:v>
      </x:c>
      <x:c r="I15" s="47" t="str">
        <x:f>IF(AND(F15=H15,G15=H15),"Met","STOP")</x:f>
        <x:v>Met</x:v>
      </x:c>
    </x:row>
    <x:row r="16">
      <x:c r="A16" s="47" t="str">
        <x:v>B01001</x:v>
      </x:c>
      <x:c r="B16" s="47" t="str">
        <x:v>NYC-V1-R02</x:v>
      </x:c>
      <x:c r="C16" s="47" t="str">
        <x:v>age_65_plus</x:v>
      </x:c>
      <x:c r="D16" s="67" t="n">
        <x:v>0</x:v>
      </x:c>
      <x:c r="E16" s="67" t="n">
        <x:v>0</x:v>
      </x:c>
      <x:c r="F16" s="47" t="n">
        <x:v>1</x:v>
      </x:c>
      <x:c r="G16" s="47" t="n">
        <x:v>1</x:v>
      </x:c>
      <x:c r="H16" s="47" t="n">
        <x:v>1</x:v>
      </x:c>
      <x:c r="I16" s="47" t="str">
        <x:f>IF(AND(F16=H16,G16=H16),"Met","STOP")</x:f>
        <x:v>Met</x:v>
      </x:c>
    </x:row>
    <x:row r="17">
      <x:c r="A17" s="47" t="str">
        <x:v>B01001</x:v>
      </x:c>
      <x:c r="B17" s="47" t="str">
        <x:v>NYC-V1-R02</x:v>
      </x:c>
      <x:c r="C17" s="47" t="str">
        <x:v>age_75_plus</x:v>
      </x:c>
      <x:c r="D17" s="67" t="n">
        <x:v>0</x:v>
      </x:c>
      <x:c r="E17" s="67" t="n">
        <x:v>0</x:v>
      </x:c>
      <x:c r="F17" s="47" t="n">
        <x:v>1</x:v>
      </x:c>
      <x:c r="G17" s="47" t="n">
        <x:v>1</x:v>
      </x:c>
      <x:c r="H17" s="47" t="n">
        <x:v>1</x:v>
      </x:c>
      <x:c r="I17" s="47" t="str">
        <x:f>IF(AND(F17=H17,G17=H17),"Met","STOP")</x:f>
        <x:v>Met</x:v>
      </x:c>
    </x:row>
    <x:row r="18">
      <x:c r="A18" s="47" t="str">
        <x:v>B01001</x:v>
      </x:c>
      <x:c r="B18" s="47" t="str">
        <x:v>NYC-V1-R02</x:v>
      </x:c>
      <x:c r="C18" s="47" t="str">
        <x:v>age_85_plus</x:v>
      </x:c>
      <x:c r="D18" s="67" t="n">
        <x:v>0</x:v>
      </x:c>
      <x:c r="E18" s="67" t="n">
        <x:v>0</x:v>
      </x:c>
      <x:c r="F18" s="47" t="n">
        <x:v>1</x:v>
      </x:c>
      <x:c r="G18" s="47" t="n">
        <x:v>1</x:v>
      </x:c>
      <x:c r="H18" s="47" t="n">
        <x:v>1</x:v>
      </x:c>
      <x:c r="I18" s="47" t="str">
        <x:f>IF(AND(F18=H18,G18=H18),"Met","STOP")</x:f>
        <x:v>Met</x:v>
      </x:c>
    </x:row>
    <x:row r="19">
      <x:c r="A19" s="47" t="str">
        <x:v>B01001</x:v>
      </x:c>
      <x:c r="B19" s="47" t="str">
        <x:v>NYC-V1-R03</x:v>
      </x:c>
      <x:c r="C19" s="47" t="str">
        <x:v>acs_population</x:v>
      </x:c>
      <x:c r="D19" s="67" t="n">
        <x:v>0</x:v>
      </x:c>
      <x:c r="E19" s="67" t="n">
        <x:v>0</x:v>
      </x:c>
      <x:c r="F19" s="47" t="n">
        <x:v>1</x:v>
      </x:c>
      <x:c r="G19" s="47" t="n">
        <x:v>1</x:v>
      </x:c>
      <x:c r="H19" s="47" t="n">
        <x:v>1</x:v>
      </x:c>
      <x:c r="I19" s="47" t="str">
        <x:f>IF(AND(F19=H19,G19=H19),"Met","STOP")</x:f>
        <x:v>Met</x:v>
      </x:c>
    </x:row>
    <x:row r="20">
      <x:c r="A20" s="47" t="str">
        <x:v>B01001</x:v>
      </x:c>
      <x:c r="B20" s="47" t="str">
        <x:v>NYC-V1-R03</x:v>
      </x:c>
      <x:c r="C20" s="47" t="str">
        <x:v>age_under_18</x:v>
      </x:c>
      <x:c r="D20" s="67" t="n">
        <x:v>0</x:v>
      </x:c>
      <x:c r="E20" s="67" t="n">
        <x:v>0</x:v>
      </x:c>
      <x:c r="F20" s="47" t="n">
        <x:v>1</x:v>
      </x:c>
      <x:c r="G20" s="47" t="n">
        <x:v>1</x:v>
      </x:c>
      <x:c r="H20" s="47" t="n">
        <x:v>1</x:v>
      </x:c>
      <x:c r="I20" s="47" t="str">
        <x:f>IF(AND(F20=H20,G20=H20),"Met","STOP")</x:f>
        <x:v>Met</x:v>
      </x:c>
    </x:row>
    <x:row r="21">
      <x:c r="A21" s="47" t="str">
        <x:v>B01001</x:v>
      </x:c>
      <x:c r="B21" s="47" t="str">
        <x:v>NYC-V1-R03</x:v>
      </x:c>
      <x:c r="C21" s="47" t="str">
        <x:v>age_under_5</x:v>
      </x:c>
      <x:c r="D21" s="67" t="n">
        <x:v>0</x:v>
      </x:c>
      <x:c r="E21" s="67" t="n">
        <x:v>0</x:v>
      </x:c>
      <x:c r="F21" s="47" t="n">
        <x:v>1</x:v>
      </x:c>
      <x:c r="G21" s="47" t="n">
        <x:v>1</x:v>
      </x:c>
      <x:c r="H21" s="47" t="n">
        <x:v>1</x:v>
      </x:c>
      <x:c r="I21" s="47" t="str">
        <x:f>IF(AND(F21=H21,G21=H21),"Met","STOP")</x:f>
        <x:v>Met</x:v>
      </x:c>
    </x:row>
    <x:row r="22">
      <x:c r="A22" s="47" t="str">
        <x:v>B01001</x:v>
      </x:c>
      <x:c r="B22" s="47" t="str">
        <x:v>NYC-V1-R03</x:v>
      </x:c>
      <x:c r="C22" s="47" t="str">
        <x:v>age_65_plus</x:v>
      </x:c>
      <x:c r="D22" s="67" t="n">
        <x:v>0</x:v>
      </x:c>
      <x:c r="E22" s="67" t="n">
        <x:v>0</x:v>
      </x:c>
      <x:c r="F22" s="47" t="n">
        <x:v>1</x:v>
      </x:c>
      <x:c r="G22" s="47" t="n">
        <x:v>1</x:v>
      </x:c>
      <x:c r="H22" s="47" t="n">
        <x:v>1</x:v>
      </x:c>
      <x:c r="I22" s="47" t="str">
        <x:f>IF(AND(F22=H22,G22=H22),"Met","STOP")</x:f>
        <x:v>Met</x:v>
      </x:c>
    </x:row>
    <x:row r="23">
      <x:c r="A23" s="47" t="str">
        <x:v>B01001</x:v>
      </x:c>
      <x:c r="B23" s="47" t="str">
        <x:v>NYC-V1-R03</x:v>
      </x:c>
      <x:c r="C23" s="47" t="str">
        <x:v>age_75_plus</x:v>
      </x:c>
      <x:c r="D23" s="67" t="n">
        <x:v>0</x:v>
      </x:c>
      <x:c r="E23" s="67" t="n">
        <x:v>0</x:v>
      </x:c>
      <x:c r="F23" s="47" t="n">
        <x:v>1</x:v>
      </x:c>
      <x:c r="G23" s="47" t="n">
        <x:v>1</x:v>
      </x:c>
      <x:c r="H23" s="47" t="n">
        <x:v>1</x:v>
      </x:c>
      <x:c r="I23" s="47" t="str">
        <x:f>IF(AND(F23=H23,G23=H23),"Met","STOP")</x:f>
        <x:v>Met</x:v>
      </x:c>
    </x:row>
    <x:row r="24">
      <x:c r="A24" s="47" t="str">
        <x:v>B01001</x:v>
      </x:c>
      <x:c r="B24" s="47" t="str">
        <x:v>NYC-V1-R03</x:v>
      </x:c>
      <x:c r="C24" s="47" t="str">
        <x:v>age_85_plus</x:v>
      </x:c>
      <x:c r="D24" s="67" t="n">
        <x:v>0</x:v>
      </x:c>
      <x:c r="E24" s="67" t="n">
        <x:v>0</x:v>
      </x:c>
      <x:c r="F24" s="47" t="n">
        <x:v>1</x:v>
      </x:c>
      <x:c r="G24" s="47" t="n">
        <x:v>1</x:v>
      </x:c>
      <x:c r="H24" s="47" t="n">
        <x:v>1</x:v>
      </x:c>
      <x:c r="I24" s="47" t="str">
        <x:f>IF(AND(F24=H24,G24=H24),"Met","STOP")</x:f>
        <x:v>Met</x:v>
      </x:c>
    </x:row>
    <x:row r="25">
      <x:c r="A25" s="47" t="str">
        <x:v>B01001</x:v>
      </x:c>
      <x:c r="B25" s="47" t="str">
        <x:v>NYC-V1-R04</x:v>
      </x:c>
      <x:c r="C25" s="47" t="str">
        <x:v>acs_population</x:v>
      </x:c>
      <x:c r="D25" s="67" t="n">
        <x:v>0</x:v>
      </x:c>
      <x:c r="E25" s="67" t="n">
        <x:v>0</x:v>
      </x:c>
      <x:c r="F25" s="47" t="n">
        <x:v>1</x:v>
      </x:c>
      <x:c r="G25" s="47" t="n">
        <x:v>1</x:v>
      </x:c>
      <x:c r="H25" s="47" t="n">
        <x:v>1</x:v>
      </x:c>
      <x:c r="I25" s="47" t="str">
        <x:f>IF(AND(F25=H25,G25=H25),"Met","STOP")</x:f>
        <x:v>Met</x:v>
      </x:c>
    </x:row>
    <x:row r="26">
      <x:c r="A26" s="47" t="str">
        <x:v>B01001</x:v>
      </x:c>
      <x:c r="B26" s="47" t="str">
        <x:v>NYC-V1-R04</x:v>
      </x:c>
      <x:c r="C26" s="47" t="str">
        <x:v>age_under_18</x:v>
      </x:c>
      <x:c r="D26" s="67" t="n">
        <x:v>0</x:v>
      </x:c>
      <x:c r="E26" s="67" t="n">
        <x:v>0</x:v>
      </x:c>
      <x:c r="F26" s="47" t="n">
        <x:v>1</x:v>
      </x:c>
      <x:c r="G26" s="47" t="n">
        <x:v>1</x:v>
      </x:c>
      <x:c r="H26" s="47" t="n">
        <x:v>1</x:v>
      </x:c>
      <x:c r="I26" s="47" t="str">
        <x:f>IF(AND(F26=H26,G26=H26),"Met","STOP")</x:f>
        <x:v>Met</x:v>
      </x:c>
    </x:row>
    <x:row r="27">
      <x:c r="A27" s="47" t="str">
        <x:v>B01001</x:v>
      </x:c>
      <x:c r="B27" s="47" t="str">
        <x:v>NYC-V1-R04</x:v>
      </x:c>
      <x:c r="C27" s="47" t="str">
        <x:v>age_under_5</x:v>
      </x:c>
      <x:c r="D27" s="67" t="n">
        <x:v>0</x:v>
      </x:c>
      <x:c r="E27" s="67" t="n">
        <x:v>0</x:v>
      </x:c>
      <x:c r="F27" s="47" t="n">
        <x:v>1</x:v>
      </x:c>
      <x:c r="G27" s="47" t="n">
        <x:v>1</x:v>
      </x:c>
      <x:c r="H27" s="47" t="n">
        <x:v>1</x:v>
      </x:c>
      <x:c r="I27" s="47" t="str">
        <x:f>IF(AND(F27=H27,G27=H27),"Met","STOP")</x:f>
        <x:v>Met</x:v>
      </x:c>
    </x:row>
    <x:row r="28">
      <x:c r="A28" s="47" t="str">
        <x:v>B01001</x:v>
      </x:c>
      <x:c r="B28" s="47" t="str">
        <x:v>NYC-V1-R04</x:v>
      </x:c>
      <x:c r="C28" s="47" t="str">
        <x:v>age_65_plus</x:v>
      </x:c>
      <x:c r="D28" s="67" t="n">
        <x:v>0</x:v>
      </x:c>
      <x:c r="E28" s="67" t="n">
        <x:v>0</x:v>
      </x:c>
      <x:c r="F28" s="47" t="n">
        <x:v>1</x:v>
      </x:c>
      <x:c r="G28" s="47" t="n">
        <x:v>1</x:v>
      </x:c>
      <x:c r="H28" s="47" t="n">
        <x:v>1</x:v>
      </x:c>
      <x:c r="I28" s="47" t="str">
        <x:f>IF(AND(F28=H28,G28=H28),"Met","STOP")</x:f>
        <x:v>Met</x:v>
      </x:c>
    </x:row>
    <x:row r="29">
      <x:c r="A29" s="47" t="str">
        <x:v>B01001</x:v>
      </x:c>
      <x:c r="B29" s="47" t="str">
        <x:v>NYC-V1-R04</x:v>
      </x:c>
      <x:c r="C29" s="47" t="str">
        <x:v>age_75_plus</x:v>
      </x:c>
      <x:c r="D29" s="67" t="n">
        <x:v>0</x:v>
      </x:c>
      <x:c r="E29" s="67" t="n">
        <x:v>0</x:v>
      </x:c>
      <x:c r="F29" s="47" t="n">
        <x:v>1</x:v>
      </x:c>
      <x:c r="G29" s="47" t="n">
        <x:v>1</x:v>
      </x:c>
      <x:c r="H29" s="47" t="n">
        <x:v>1</x:v>
      </x:c>
      <x:c r="I29" s="47" t="str">
        <x:f>IF(AND(F29=H29,G29=H29),"Met","STOP")</x:f>
        <x:v>Met</x:v>
      </x:c>
    </x:row>
    <x:row r="30">
      <x:c r="A30" s="47" t="str">
        <x:v>B01001</x:v>
      </x:c>
      <x:c r="B30" s="47" t="str">
        <x:v>NYC-V1-R04</x:v>
      </x:c>
      <x:c r="C30" s="47" t="str">
        <x:v>age_85_plus</x:v>
      </x:c>
      <x:c r="D30" s="67" t="n">
        <x:v>0</x:v>
      </x:c>
      <x:c r="E30" s="67" t="n">
        <x:v>0</x:v>
      </x:c>
      <x:c r="F30" s="47" t="n">
        <x:v>1</x:v>
      </x:c>
      <x:c r="G30" s="47" t="n">
        <x:v>1</x:v>
      </x:c>
      <x:c r="H30" s="47" t="n">
        <x:v>1</x:v>
      </x:c>
      <x:c r="I30" s="47" t="str">
        <x:f>IF(AND(F30=H30,G30=H30),"Met","STOP")</x:f>
        <x:v>Met</x:v>
      </x:c>
    </x:row>
    <x:row r="31">
      <x:c r="A31" s="47" t="str">
        <x:v>B01001</x:v>
      </x:c>
      <x:c r="B31" s="47" t="str">
        <x:v>NYC-V2-R01</x:v>
      </x:c>
      <x:c r="C31" s="47" t="str">
        <x:v>acs_population</x:v>
      </x:c>
      <x:c r="D31" s="67" t="n">
        <x:v>0</x:v>
      </x:c>
      <x:c r="E31" s="67" t="n">
        <x:v>-2.2737367544323206e-13</x:v>
      </x:c>
      <x:c r="F31" s="47" t="n">
        <x:v>1</x:v>
      </x:c>
      <x:c r="G31" s="47" t="n">
        <x:v>1</x:v>
      </x:c>
      <x:c r="H31" s="47" t="n">
        <x:v>1</x:v>
      </x:c>
      <x:c r="I31" s="47" t="str">
        <x:f>IF(AND(F31=H31,G31=H31),"Met","STOP")</x:f>
        <x:v>Met</x:v>
      </x:c>
    </x:row>
    <x:row r="32">
      <x:c r="A32" s="47" t="str">
        <x:v>B01001</x:v>
      </x:c>
      <x:c r="B32" s="47" t="str">
        <x:v>NYC-V2-R01</x:v>
      </x:c>
      <x:c r="C32" s="47" t="str">
        <x:v>age_under_18</x:v>
      </x:c>
      <x:c r="D32" s="67" t="n">
        <x:v>0</x:v>
      </x:c>
      <x:c r="E32" s="67" t="n">
        <x:v>0</x:v>
      </x:c>
      <x:c r="F32" s="47" t="n">
        <x:v>1</x:v>
      </x:c>
      <x:c r="G32" s="47" t="n">
        <x:v>1</x:v>
      </x:c>
      <x:c r="H32" s="47" t="n">
        <x:v>1</x:v>
      </x:c>
      <x:c r="I32" s="47" t="str">
        <x:f>IF(AND(F32=H32,G32=H32),"Met","STOP")</x:f>
        <x:v>Met</x:v>
      </x:c>
    </x:row>
    <x:row r="33">
      <x:c r="A33" s="47" t="str">
        <x:v>B01001</x:v>
      </x:c>
      <x:c r="B33" s="47" t="str">
        <x:v>NYC-V2-R01</x:v>
      </x:c>
      <x:c r="C33" s="47" t="str">
        <x:v>age_under_5</x:v>
      </x:c>
      <x:c r="D33" s="67" t="n">
        <x:v>0</x:v>
      </x:c>
      <x:c r="E33" s="67" t="n">
        <x:v>0</x:v>
      </x:c>
      <x:c r="F33" s="47" t="n">
        <x:v>1</x:v>
      </x:c>
      <x:c r="G33" s="47" t="n">
        <x:v>1</x:v>
      </x:c>
      <x:c r="H33" s="47" t="n">
        <x:v>1</x:v>
      </x:c>
      <x:c r="I33" s="47" t="str">
        <x:f>IF(AND(F33=H33,G33=H33),"Met","STOP")</x:f>
        <x:v>Met</x:v>
      </x:c>
    </x:row>
    <x:row r="34">
      <x:c r="A34" s="47" t="str">
        <x:v>B01001</x:v>
      </x:c>
      <x:c r="B34" s="47" t="str">
        <x:v>NYC-V2-R01</x:v>
      </x:c>
      <x:c r="C34" s="47" t="str">
        <x:v>age_65_plus</x:v>
      </x:c>
      <x:c r="D34" s="67" t="n">
        <x:v>0</x:v>
      </x:c>
      <x:c r="E34" s="67" t="n">
        <x:v>0</x:v>
      </x:c>
      <x:c r="F34" s="47" t="n">
        <x:v>1</x:v>
      </x:c>
      <x:c r="G34" s="47" t="n">
        <x:v>1</x:v>
      </x:c>
      <x:c r="H34" s="47" t="n">
        <x:v>1</x:v>
      </x:c>
      <x:c r="I34" s="47" t="str">
        <x:f>IF(AND(F34=H34,G34=H34),"Met","STOP")</x:f>
        <x:v>Met</x:v>
      </x:c>
    </x:row>
    <x:row r="35">
      <x:c r="A35" s="47" t="str">
        <x:v>B01001</x:v>
      </x:c>
      <x:c r="B35" s="47" t="str">
        <x:v>NYC-V2-R01</x:v>
      </x:c>
      <x:c r="C35" s="47" t="str">
        <x:v>age_75_plus</x:v>
      </x:c>
      <x:c r="D35" s="67" t="n">
        <x:v>0</x:v>
      </x:c>
      <x:c r="E35" s="67" t="n">
        <x:v>0</x:v>
      </x:c>
      <x:c r="F35" s="47" t="n">
        <x:v>1</x:v>
      </x:c>
      <x:c r="G35" s="47" t="n">
        <x:v>1</x:v>
      </x:c>
      <x:c r="H35" s="47" t="n">
        <x:v>1</x:v>
      </x:c>
      <x:c r="I35" s="47" t="str">
        <x:f>IF(AND(F35=H35,G35=H35),"Met","STOP")</x:f>
        <x:v>Met</x:v>
      </x:c>
    </x:row>
    <x:row r="36">
      <x:c r="A36" s="47" t="str">
        <x:v>B01001</x:v>
      </x:c>
      <x:c r="B36" s="47" t="str">
        <x:v>NYC-V2-R01</x:v>
      </x:c>
      <x:c r="C36" s="47" t="str">
        <x:v>age_85_plus</x:v>
      </x:c>
      <x:c r="D36" s="67" t="n">
        <x:v>0</x:v>
      </x:c>
      <x:c r="E36" s="67" t="n">
        <x:v>0</x:v>
      </x:c>
      <x:c r="F36" s="47" t="n">
        <x:v>1</x:v>
      </x:c>
      <x:c r="G36" s="47" t="n">
        <x:v>1</x:v>
      </x:c>
      <x:c r="H36" s="47" t="n">
        <x:v>1</x:v>
      </x:c>
      <x:c r="I36" s="47" t="str">
        <x:f>IF(AND(F36=H36,G36=H36),"Met","STOP")</x:f>
        <x:v>Met</x:v>
      </x:c>
    </x:row>
    <x:row r="37">
      <x:c r="A37" s="47" t="str">
        <x:v>B01001</x:v>
      </x:c>
      <x:c r="B37" s="47" t="str">
        <x:v>NYC-V2-R02</x:v>
      </x:c>
      <x:c r="C37" s="47" t="str">
        <x:v>acs_population</x:v>
      </x:c>
      <x:c r="D37" s="67" t="n">
        <x:v>0</x:v>
      </x:c>
      <x:c r="E37" s="67" t="n">
        <x:v>0</x:v>
      </x:c>
      <x:c r="F37" s="47" t="n">
        <x:v>1</x:v>
      </x:c>
      <x:c r="G37" s="47" t="n">
        <x:v>1</x:v>
      </x:c>
      <x:c r="H37" s="47" t="n">
        <x:v>1</x:v>
      </x:c>
      <x:c r="I37" s="47" t="str">
        <x:f>IF(AND(F37=H37,G37=H37),"Met","STOP")</x:f>
        <x:v>Met</x:v>
      </x:c>
    </x:row>
    <x:row r="38">
      <x:c r="A38" s="47" t="str">
        <x:v>B01001</x:v>
      </x:c>
      <x:c r="B38" s="47" t="str">
        <x:v>NYC-V2-R02</x:v>
      </x:c>
      <x:c r="C38" s="47" t="str">
        <x:v>age_under_18</x:v>
      </x:c>
      <x:c r="D38" s="67" t="n">
        <x:v>0</x:v>
      </x:c>
      <x:c r="E38" s="67" t="n">
        <x:v>0</x:v>
      </x:c>
      <x:c r="F38" s="47" t="n">
        <x:v>1</x:v>
      </x:c>
      <x:c r="G38" s="47" t="n">
        <x:v>1</x:v>
      </x:c>
      <x:c r="H38" s="47" t="n">
        <x:v>1</x:v>
      </x:c>
      <x:c r="I38" s="47" t="str">
        <x:f>IF(AND(F38=H38,G38=H38),"Met","STOP")</x:f>
        <x:v>Met</x:v>
      </x:c>
    </x:row>
    <x:row r="39">
      <x:c r="A39" s="47" t="str">
        <x:v>B01001</x:v>
      </x:c>
      <x:c r="B39" s="47" t="str">
        <x:v>NYC-V2-R02</x:v>
      </x:c>
      <x:c r="C39" s="47" t="str">
        <x:v>age_under_5</x:v>
      </x:c>
      <x:c r="D39" s="67" t="n">
        <x:v>0</x:v>
      </x:c>
      <x:c r="E39" s="67" t="n">
        <x:v>0</x:v>
      </x:c>
      <x:c r="F39" s="47" t="n">
        <x:v>1</x:v>
      </x:c>
      <x:c r="G39" s="47" t="n">
        <x:v>1</x:v>
      </x:c>
      <x:c r="H39" s="47" t="n">
        <x:v>1</x:v>
      </x:c>
      <x:c r="I39" s="47" t="str">
        <x:f>IF(AND(F39=H39,G39=H39),"Met","STOP")</x:f>
        <x:v>Met</x:v>
      </x:c>
    </x:row>
    <x:row r="40">
      <x:c r="A40" s="47" t="str">
        <x:v>B01001</x:v>
      </x:c>
      <x:c r="B40" s="47" t="str">
        <x:v>NYC-V2-R02</x:v>
      </x:c>
      <x:c r="C40" s="47" t="str">
        <x:v>age_65_plus</x:v>
      </x:c>
      <x:c r="D40" s="67" t="n">
        <x:v>0</x:v>
      </x:c>
      <x:c r="E40" s="67" t="n">
        <x:v>5.684341886080802e-14</x:v>
      </x:c>
      <x:c r="F40" s="47" t="n">
        <x:v>1</x:v>
      </x:c>
      <x:c r="G40" s="47" t="n">
        <x:v>1</x:v>
      </x:c>
      <x:c r="H40" s="47" t="n">
        <x:v>1</x:v>
      </x:c>
      <x:c r="I40" s="47" t="str">
        <x:f>IF(AND(F40=H40,G40=H40),"Met","STOP")</x:f>
        <x:v>Met</x:v>
      </x:c>
    </x:row>
    <x:row r="41">
      <x:c r="A41" s="47" t="str">
        <x:v>B01001</x:v>
      </x:c>
      <x:c r="B41" s="47" t="str">
        <x:v>NYC-V2-R02</x:v>
      </x:c>
      <x:c r="C41" s="47" t="str">
        <x:v>age_75_plus</x:v>
      </x:c>
      <x:c r="D41" s="67" t="n">
        <x:v>0</x:v>
      </x:c>
      <x:c r="E41" s="67" t="n">
        <x:v>0</x:v>
      </x:c>
      <x:c r="F41" s="47" t="n">
        <x:v>1</x:v>
      </x:c>
      <x:c r="G41" s="47" t="n">
        <x:v>1</x:v>
      </x:c>
      <x:c r="H41" s="47" t="n">
        <x:v>1</x:v>
      </x:c>
      <x:c r="I41" s="47" t="str">
        <x:f>IF(AND(F41=H41,G41=H41),"Met","STOP")</x:f>
        <x:v>Met</x:v>
      </x:c>
    </x:row>
    <x:row r="42">
      <x:c r="A42" s="47" t="str">
        <x:v>B01001</x:v>
      </x:c>
      <x:c r="B42" s="47" t="str">
        <x:v>NYC-V2-R02</x:v>
      </x:c>
      <x:c r="C42" s="47" t="str">
        <x:v>age_85_plus</x:v>
      </x:c>
      <x:c r="D42" s="67" t="n">
        <x:v>0</x:v>
      </x:c>
      <x:c r="E42" s="67" t="n">
        <x:v>0</x:v>
      </x:c>
      <x:c r="F42" s="47" t="n">
        <x:v>1</x:v>
      </x:c>
      <x:c r="G42" s="47" t="n">
        <x:v>1</x:v>
      </x:c>
      <x:c r="H42" s="47" t="n">
        <x:v>1</x:v>
      </x:c>
      <x:c r="I42" s="47" t="str">
        <x:f>IF(AND(F42=H42,G42=H42),"Met","STOP")</x:f>
        <x:v>Met</x:v>
      </x:c>
    </x:row>
    <x:row r="43">
      <x:c r="A43" s="47" t="str">
        <x:v>B01001</x:v>
      </x:c>
      <x:c r="B43" s="47" t="str">
        <x:v>NYC-V2-R03</x:v>
      </x:c>
      <x:c r="C43" s="47" t="str">
        <x:v>acs_population</x:v>
      </x:c>
      <x:c r="D43" s="67" t="n">
        <x:v>0</x:v>
      </x:c>
      <x:c r="E43" s="67" t="n">
        <x:v>2.2737367544323206e-13</x:v>
      </x:c>
      <x:c r="F43" s="47" t="n">
        <x:v>1</x:v>
      </x:c>
      <x:c r="G43" s="47" t="n">
        <x:v>1</x:v>
      </x:c>
      <x:c r="H43" s="47" t="n">
        <x:v>1</x:v>
      </x:c>
      <x:c r="I43" s="47" t="str">
        <x:f>IF(AND(F43=H43,G43=H43),"Met","STOP")</x:f>
        <x:v>Met</x:v>
      </x:c>
    </x:row>
    <x:row r="44">
      <x:c r="A44" s="47" t="str">
        <x:v>B01001</x:v>
      </x:c>
      <x:c r="B44" s="47" t="str">
        <x:v>NYC-V2-R03</x:v>
      </x:c>
      <x:c r="C44" s="47" t="str">
        <x:v>age_under_18</x:v>
      </x:c>
      <x:c r="D44" s="67" t="n">
        <x:v>0</x:v>
      </x:c>
      <x:c r="E44" s="67" t="n">
        <x:v>0</x:v>
      </x:c>
      <x:c r="F44" s="47" t="n">
        <x:v>1</x:v>
      </x:c>
      <x:c r="G44" s="47" t="n">
        <x:v>1</x:v>
      </x:c>
      <x:c r="H44" s="47" t="n">
        <x:v>1</x:v>
      </x:c>
      <x:c r="I44" s="47" t="str">
        <x:f>IF(AND(F44=H44,G44=H44),"Met","STOP")</x:f>
        <x:v>Met</x:v>
      </x:c>
    </x:row>
    <x:row r="45">
      <x:c r="A45" s="47" t="str">
        <x:v>B01001</x:v>
      </x:c>
      <x:c r="B45" s="47" t="str">
        <x:v>NYC-V2-R03</x:v>
      </x:c>
      <x:c r="C45" s="47" t="str">
        <x:v>age_under_5</x:v>
      </x:c>
      <x:c r="D45" s="67" t="n">
        <x:v>0</x:v>
      </x:c>
      <x:c r="E45" s="67" t="n">
        <x:v>0</x:v>
      </x:c>
      <x:c r="F45" s="47" t="n">
        <x:v>1</x:v>
      </x:c>
      <x:c r="G45" s="47" t="n">
        <x:v>1</x:v>
      </x:c>
      <x:c r="H45" s="47" t="n">
        <x:v>1</x:v>
      </x:c>
      <x:c r="I45" s="47" t="str">
        <x:f>IF(AND(F45=H45,G45=H45),"Met","STOP")</x:f>
        <x:v>Met</x:v>
      </x:c>
    </x:row>
    <x:row r="46">
      <x:c r="A46" s="47" t="str">
        <x:v>B01001</x:v>
      </x:c>
      <x:c r="B46" s="47" t="str">
        <x:v>NYC-V2-R03</x:v>
      </x:c>
      <x:c r="C46" s="47" t="str">
        <x:v>age_65_plus</x:v>
      </x:c>
      <x:c r="D46" s="67" t="n">
        <x:v>0</x:v>
      </x:c>
      <x:c r="E46" s="67" t="n">
        <x:v>0</x:v>
      </x:c>
      <x:c r="F46" s="47" t="n">
        <x:v>1</x:v>
      </x:c>
      <x:c r="G46" s="47" t="n">
        <x:v>1</x:v>
      </x:c>
      <x:c r="H46" s="47" t="n">
        <x:v>1</x:v>
      </x:c>
      <x:c r="I46" s="47" t="str">
        <x:f>IF(AND(F46=H46,G46=H46),"Met","STOP")</x:f>
        <x:v>Met</x:v>
      </x:c>
    </x:row>
    <x:row r="47">
      <x:c r="A47" s="47" t="str">
        <x:v>B01001</x:v>
      </x:c>
      <x:c r="B47" s="47" t="str">
        <x:v>NYC-V2-R03</x:v>
      </x:c>
      <x:c r="C47" s="47" t="str">
        <x:v>age_75_plus</x:v>
      </x:c>
      <x:c r="D47" s="67" t="n">
        <x:v>0</x:v>
      </x:c>
      <x:c r="E47" s="67" t="n">
        <x:v>0</x:v>
      </x:c>
      <x:c r="F47" s="47" t="n">
        <x:v>1</x:v>
      </x:c>
      <x:c r="G47" s="47" t="n">
        <x:v>1</x:v>
      </x:c>
      <x:c r="H47" s="47" t="n">
        <x:v>1</x:v>
      </x:c>
      <x:c r="I47" s="47" t="str">
        <x:f>IF(AND(F47=H47,G47=H47),"Met","STOP")</x:f>
        <x:v>Met</x:v>
      </x:c>
    </x:row>
    <x:row r="48">
      <x:c r="A48" s="47" t="str">
        <x:v>B01001</x:v>
      </x:c>
      <x:c r="B48" s="47" t="str">
        <x:v>NYC-V2-R03</x:v>
      </x:c>
      <x:c r="C48" s="47" t="str">
        <x:v>age_85_plus</x:v>
      </x:c>
      <x:c r="D48" s="67" t="n">
        <x:v>0</x:v>
      </x:c>
      <x:c r="E48" s="67" t="n">
        <x:v>0</x:v>
      </x:c>
      <x:c r="F48" s="47" t="n">
        <x:v>1</x:v>
      </x:c>
      <x:c r="G48" s="47" t="n">
        <x:v>1</x:v>
      </x:c>
      <x:c r="H48" s="47" t="n">
        <x:v>1</x:v>
      </x:c>
      <x:c r="I48" s="47" t="str">
        <x:f>IF(AND(F48=H48,G48=H48),"Met","STOP")</x:f>
        <x:v>Met</x:v>
      </x:c>
    </x:row>
    <x:row r="49">
      <x:c r="A49" s="47" t="str">
        <x:v>B01001</x:v>
      </x:c>
      <x:c r="B49" s="47" t="str">
        <x:v>NYC-V2-R04</x:v>
      </x:c>
      <x:c r="C49" s="47" t="str">
        <x:v>acs_population</x:v>
      </x:c>
      <x:c r="D49" s="67" t="n">
        <x:v>0</x:v>
      </x:c>
      <x:c r="E49" s="67" t="n">
        <x:v>0</x:v>
      </x:c>
      <x:c r="F49" s="47" t="n">
        <x:v>1</x:v>
      </x:c>
      <x:c r="G49" s="47" t="n">
        <x:v>1</x:v>
      </x:c>
      <x:c r="H49" s="47" t="n">
        <x:v>1</x:v>
      </x:c>
      <x:c r="I49" s="47" t="str">
        <x:f>IF(AND(F49=H49,G49=H49),"Met","STOP")</x:f>
        <x:v>Met</x:v>
      </x:c>
    </x:row>
    <x:row r="50">
      <x:c r="A50" s="47" t="str">
        <x:v>B01001</x:v>
      </x:c>
      <x:c r="B50" s="47" t="str">
        <x:v>NYC-V2-R04</x:v>
      </x:c>
      <x:c r="C50" s="47" t="str">
        <x:v>age_under_18</x:v>
      </x:c>
      <x:c r="D50" s="67" t="n">
        <x:v>0</x:v>
      </x:c>
      <x:c r="E50" s="67" t="n">
        <x:v>0</x:v>
      </x:c>
      <x:c r="F50" s="47" t="n">
        <x:v>1</x:v>
      </x:c>
      <x:c r="G50" s="47" t="n">
        <x:v>1</x:v>
      </x:c>
      <x:c r="H50" s="47" t="n">
        <x:v>1</x:v>
      </x:c>
      <x:c r="I50" s="47" t="str">
        <x:f>IF(AND(F50=H50,G50=H50),"Met","STOP")</x:f>
        <x:v>Met</x:v>
      </x:c>
    </x:row>
    <x:row r="51">
      <x:c r="A51" s="47" t="str">
        <x:v>B01001</x:v>
      </x:c>
      <x:c r="B51" s="47" t="str">
        <x:v>NYC-V2-R04</x:v>
      </x:c>
      <x:c r="C51" s="47" t="str">
        <x:v>age_under_5</x:v>
      </x:c>
      <x:c r="D51" s="67" t="n">
        <x:v>0</x:v>
      </x:c>
      <x:c r="E51" s="67" t="n">
        <x:v>0</x:v>
      </x:c>
      <x:c r="F51" s="47" t="n">
        <x:v>1</x:v>
      </x:c>
      <x:c r="G51" s="47" t="n">
        <x:v>1</x:v>
      </x:c>
      <x:c r="H51" s="47" t="n">
        <x:v>1</x:v>
      </x:c>
      <x:c r="I51" s="47" t="str">
        <x:f>IF(AND(F51=H51,G51=H51),"Met","STOP")</x:f>
        <x:v>Met</x:v>
      </x:c>
    </x:row>
    <x:row r="52">
      <x:c r="A52" s="47" t="str">
        <x:v>B01001</x:v>
      </x:c>
      <x:c r="B52" s="47" t="str">
        <x:v>NYC-V2-R04</x:v>
      </x:c>
      <x:c r="C52" s="47" t="str">
        <x:v>age_65_plus</x:v>
      </x:c>
      <x:c r="D52" s="67" t="n">
        <x:v>0</x:v>
      </x:c>
      <x:c r="E52" s="67" t="n">
        <x:v>0</x:v>
      </x:c>
      <x:c r="F52" s="47" t="n">
        <x:v>1</x:v>
      </x:c>
      <x:c r="G52" s="47" t="n">
        <x:v>1</x:v>
      </x:c>
      <x:c r="H52" s="47" t="n">
        <x:v>1</x:v>
      </x:c>
      <x:c r="I52" s="47" t="str">
        <x:f>IF(AND(F52=H52,G52=H52),"Met","STOP")</x:f>
        <x:v>Met</x:v>
      </x:c>
    </x:row>
    <x:row r="53">
      <x:c r="A53" s="47" t="str">
        <x:v>B01001</x:v>
      </x:c>
      <x:c r="B53" s="47" t="str">
        <x:v>NYC-V2-R04</x:v>
      </x:c>
      <x:c r="C53" s="47" t="str">
        <x:v>age_75_plus</x:v>
      </x:c>
      <x:c r="D53" s="67" t="n">
        <x:v>0</x:v>
      </x:c>
      <x:c r="E53" s="67" t="n">
        <x:v>0</x:v>
      </x:c>
      <x:c r="F53" s="47" t="n">
        <x:v>1</x:v>
      </x:c>
      <x:c r="G53" s="47" t="n">
        <x:v>1</x:v>
      </x:c>
      <x:c r="H53" s="47" t="n">
        <x:v>1</x:v>
      </x:c>
      <x:c r="I53" s="47" t="str">
        <x:f>IF(AND(F53=H53,G53=H53),"Met","STOP")</x:f>
        <x:v>Met</x:v>
      </x:c>
    </x:row>
    <x:row r="54">
      <x:c r="A54" s="47" t="str">
        <x:v>B01001</x:v>
      </x:c>
      <x:c r="B54" s="47" t="str">
        <x:v>NYC-V2-R04</x:v>
      </x:c>
      <x:c r="C54" s="47" t="str">
        <x:v>age_85_plus</x:v>
      </x:c>
      <x:c r="D54" s="67" t="n">
        <x:v>0</x:v>
      </x:c>
      <x:c r="E54" s="67" t="n">
        <x:v>0</x:v>
      </x:c>
      <x:c r="F54" s="47" t="n">
        <x:v>1</x:v>
      </x:c>
      <x:c r="G54" s="47" t="n">
        <x:v>1</x:v>
      </x:c>
      <x:c r="H54" s="47" t="n">
        <x:v>1</x:v>
      </x:c>
      <x:c r="I54" s="47" t="str">
        <x:f>IF(AND(F54=H54,G54=H54),"Met","STOP")</x:f>
        <x:v>Met</x:v>
      </x:c>
    </x:row>
    <x:row r="55">
      <x:c r="A55" s="47" t="str">
        <x:v>B01001</x:v>
      </x:c>
      <x:c r="B55" s="47" t="str">
        <x:v>NYC-V3-R01</x:v>
      </x:c>
      <x:c r="C55" s="47" t="str">
        <x:v>acs_population</x:v>
      </x:c>
      <x:c r="D55" s="67" t="n">
        <x:v>0</x:v>
      </x:c>
      <x:c r="E55" s="67" t="n">
        <x:v>0</x:v>
      </x:c>
      <x:c r="F55" s="47" t="n">
        <x:v>1</x:v>
      </x:c>
      <x:c r="G55" s="47" t="n">
        <x:v>1</x:v>
      </x:c>
      <x:c r="H55" s="47" t="n">
        <x:v>1</x:v>
      </x:c>
      <x:c r="I55" s="47" t="str">
        <x:f>IF(AND(F55=H55,G55=H55),"Met","STOP")</x:f>
        <x:v>Met</x:v>
      </x:c>
    </x:row>
    <x:row r="56">
      <x:c r="A56" s="47" t="str">
        <x:v>B01001</x:v>
      </x:c>
      <x:c r="B56" s="47" t="str">
        <x:v>NYC-V3-R01</x:v>
      </x:c>
      <x:c r="C56" s="47" t="str">
        <x:v>age_under_18</x:v>
      </x:c>
      <x:c r="D56" s="67" t="n">
        <x:v>0</x:v>
      </x:c>
      <x:c r="E56" s="67" t="n">
        <x:v>0</x:v>
      </x:c>
      <x:c r="F56" s="47" t="n">
        <x:v>1</x:v>
      </x:c>
      <x:c r="G56" s="47" t="n">
        <x:v>1</x:v>
      </x:c>
      <x:c r="H56" s="47" t="n">
        <x:v>1</x:v>
      </x:c>
      <x:c r="I56" s="47" t="str">
        <x:f>IF(AND(F56=H56,G56=H56),"Met","STOP")</x:f>
        <x:v>Met</x:v>
      </x:c>
    </x:row>
    <x:row r="57">
      <x:c r="A57" s="47" t="str">
        <x:v>B01001</x:v>
      </x:c>
      <x:c r="B57" s="47" t="str">
        <x:v>NYC-V3-R01</x:v>
      </x:c>
      <x:c r="C57" s="47" t="str">
        <x:v>age_under_5</x:v>
      </x:c>
      <x:c r="D57" s="67" t="n">
        <x:v>0</x:v>
      </x:c>
      <x:c r="E57" s="67" t="n">
        <x:v>0</x:v>
      </x:c>
      <x:c r="F57" s="47" t="n">
        <x:v>1</x:v>
      </x:c>
      <x:c r="G57" s="47" t="n">
        <x:v>1</x:v>
      </x:c>
      <x:c r="H57" s="47" t="n">
        <x:v>1</x:v>
      </x:c>
      <x:c r="I57" s="47" t="str">
        <x:f>IF(AND(F57=H57,G57=H57),"Met","STOP")</x:f>
        <x:v>Met</x:v>
      </x:c>
    </x:row>
    <x:row r="58">
      <x:c r="A58" s="47" t="str">
        <x:v>B01001</x:v>
      </x:c>
      <x:c r="B58" s="47" t="str">
        <x:v>NYC-V3-R01</x:v>
      </x:c>
      <x:c r="C58" s="47" t="str">
        <x:v>age_65_plus</x:v>
      </x:c>
      <x:c r="D58" s="67" t="n">
        <x:v>0</x:v>
      </x:c>
      <x:c r="E58" s="67" t="n">
        <x:v>0</x:v>
      </x:c>
      <x:c r="F58" s="47" t="n">
        <x:v>1</x:v>
      </x:c>
      <x:c r="G58" s="47" t="n">
        <x:v>1</x:v>
      </x:c>
      <x:c r="H58" s="47" t="n">
        <x:v>1</x:v>
      </x:c>
      <x:c r="I58" s="47" t="str">
        <x:f>IF(AND(F58=H58,G58=H58),"Met","STOP")</x:f>
        <x:v>Met</x:v>
      </x:c>
    </x:row>
    <x:row r="59">
      <x:c r="A59" s="47" t="str">
        <x:v>B01001</x:v>
      </x:c>
      <x:c r="B59" s="47" t="str">
        <x:v>NYC-V3-R01</x:v>
      </x:c>
      <x:c r="C59" s="47" t="str">
        <x:v>age_75_plus</x:v>
      </x:c>
      <x:c r="D59" s="67" t="n">
        <x:v>0</x:v>
      </x:c>
      <x:c r="E59" s="67" t="n">
        <x:v>0</x:v>
      </x:c>
      <x:c r="F59" s="47" t="n">
        <x:v>1</x:v>
      </x:c>
      <x:c r="G59" s="47" t="n">
        <x:v>1</x:v>
      </x:c>
      <x:c r="H59" s="47" t="n">
        <x:v>1</x:v>
      </x:c>
      <x:c r="I59" s="47" t="str">
        <x:f>IF(AND(F59=H59,G59=H59),"Met","STOP")</x:f>
        <x:v>Met</x:v>
      </x:c>
    </x:row>
    <x:row r="60">
      <x:c r="A60" s="47" t="str">
        <x:v>B01001</x:v>
      </x:c>
      <x:c r="B60" s="47" t="str">
        <x:v>NYC-V3-R01</x:v>
      </x:c>
      <x:c r="C60" s="47" t="str">
        <x:v>age_85_plus</x:v>
      </x:c>
      <x:c r="D60" s="67" t="n">
        <x:v>0</x:v>
      </x:c>
      <x:c r="E60" s="67" t="n">
        <x:v>0</x:v>
      </x:c>
      <x:c r="F60" s="47" t="n">
        <x:v>1</x:v>
      </x:c>
      <x:c r="G60" s="47" t="n">
        <x:v>1</x:v>
      </x:c>
      <x:c r="H60" s="47" t="n">
        <x:v>1</x:v>
      </x:c>
      <x:c r="I60" s="47" t="str">
        <x:f>IF(AND(F60=H60,G60=H60),"Met","STOP")</x:f>
        <x:v>Met</x:v>
      </x:c>
    </x:row>
    <x:row r="61">
      <x:c r="A61" s="47" t="str">
        <x:v>B01001</x:v>
      </x:c>
      <x:c r="B61" s="47" t="str">
        <x:v>NYC-V3-R02</x:v>
      </x:c>
      <x:c r="C61" s="47" t="str">
        <x:v>acs_population</x:v>
      </x:c>
      <x:c r="D61" s="67" t="n">
        <x:v>0</x:v>
      </x:c>
      <x:c r="E61" s="67" t="n">
        <x:v>0</x:v>
      </x:c>
      <x:c r="F61" s="47" t="n">
        <x:v>1</x:v>
      </x:c>
      <x:c r="G61" s="47" t="n">
        <x:v>1</x:v>
      </x:c>
      <x:c r="H61" s="47" t="n">
        <x:v>1</x:v>
      </x:c>
      <x:c r="I61" s="47" t="str">
        <x:f>IF(AND(F61=H61,G61=H61),"Met","STOP")</x:f>
        <x:v>Met</x:v>
      </x:c>
    </x:row>
    <x:row r="62">
      <x:c r="A62" s="47" t="str">
        <x:v>B01001</x:v>
      </x:c>
      <x:c r="B62" s="47" t="str">
        <x:v>NYC-V3-R02</x:v>
      </x:c>
      <x:c r="C62" s="47" t="str">
        <x:v>age_under_18</x:v>
      </x:c>
      <x:c r="D62" s="67" t="n">
        <x:v>0</x:v>
      </x:c>
      <x:c r="E62" s="67" t="n">
        <x:v>0</x:v>
      </x:c>
      <x:c r="F62" s="47" t="n">
        <x:v>1</x:v>
      </x:c>
      <x:c r="G62" s="47" t="n">
        <x:v>1</x:v>
      </x:c>
      <x:c r="H62" s="47" t="n">
        <x:v>1</x:v>
      </x:c>
      <x:c r="I62" s="47" t="str">
        <x:f>IF(AND(F62=H62,G62=H62),"Met","STOP")</x:f>
        <x:v>Met</x:v>
      </x:c>
    </x:row>
    <x:row r="63">
      <x:c r="A63" s="47" t="str">
        <x:v>B01001</x:v>
      </x:c>
      <x:c r="B63" s="47" t="str">
        <x:v>NYC-V3-R02</x:v>
      </x:c>
      <x:c r="C63" s="47" t="str">
        <x:v>age_under_5</x:v>
      </x:c>
      <x:c r="D63" s="67" t="n">
        <x:v>0</x:v>
      </x:c>
      <x:c r="E63" s="67" t="n">
        <x:v>0</x:v>
      </x:c>
      <x:c r="F63" s="47" t="n">
        <x:v>1</x:v>
      </x:c>
      <x:c r="G63" s="47" t="n">
        <x:v>1</x:v>
      </x:c>
      <x:c r="H63" s="47" t="n">
        <x:v>1</x:v>
      </x:c>
      <x:c r="I63" s="47" t="str">
        <x:f>IF(AND(F63=H63,G63=H63),"Met","STOP")</x:f>
        <x:v>Met</x:v>
      </x:c>
    </x:row>
    <x:row r="64">
      <x:c r="A64" s="47" t="str">
        <x:v>B01001</x:v>
      </x:c>
      <x:c r="B64" s="47" t="str">
        <x:v>NYC-V3-R02</x:v>
      </x:c>
      <x:c r="C64" s="47" t="str">
        <x:v>age_65_plus</x:v>
      </x:c>
      <x:c r="D64" s="67" t="n">
        <x:v>0</x:v>
      </x:c>
      <x:c r="E64" s="67" t="n">
        <x:v>0</x:v>
      </x:c>
      <x:c r="F64" s="47" t="n">
        <x:v>1</x:v>
      </x:c>
      <x:c r="G64" s="47" t="n">
        <x:v>1</x:v>
      </x:c>
      <x:c r="H64" s="47" t="n">
        <x:v>1</x:v>
      </x:c>
      <x:c r="I64" s="47" t="str">
        <x:f>IF(AND(F64=H64,G64=H64),"Met","STOP")</x:f>
        <x:v>Met</x:v>
      </x:c>
    </x:row>
    <x:row r="65">
      <x:c r="A65" s="47" t="str">
        <x:v>B01001</x:v>
      </x:c>
      <x:c r="B65" s="47" t="str">
        <x:v>NYC-V3-R02</x:v>
      </x:c>
      <x:c r="C65" s="47" t="str">
        <x:v>age_75_plus</x:v>
      </x:c>
      <x:c r="D65" s="67" t="n">
        <x:v>0</x:v>
      </x:c>
      <x:c r="E65" s="67" t="n">
        <x:v>0</x:v>
      </x:c>
      <x:c r="F65" s="47" t="n">
        <x:v>1</x:v>
      </x:c>
      <x:c r="G65" s="47" t="n">
        <x:v>1</x:v>
      </x:c>
      <x:c r="H65" s="47" t="n">
        <x:v>1</x:v>
      </x:c>
      <x:c r="I65" s="47" t="str">
        <x:f>IF(AND(F65=H65,G65=H65),"Met","STOP")</x:f>
        <x:v>Met</x:v>
      </x:c>
    </x:row>
    <x:row r="66">
      <x:c r="A66" s="47" t="str">
        <x:v>B01001</x:v>
      </x:c>
      <x:c r="B66" s="47" t="str">
        <x:v>NYC-V3-R02</x:v>
      </x:c>
      <x:c r="C66" s="47" t="str">
        <x:v>age_85_plus</x:v>
      </x:c>
      <x:c r="D66" s="67" t="n">
        <x:v>0</x:v>
      </x:c>
      <x:c r="E66" s="67" t="n">
        <x:v>0</x:v>
      </x:c>
      <x:c r="F66" s="47" t="n">
        <x:v>1</x:v>
      </x:c>
      <x:c r="G66" s="47" t="n">
        <x:v>1</x:v>
      </x:c>
      <x:c r="H66" s="47" t="n">
        <x:v>1</x:v>
      </x:c>
      <x:c r="I66" s="47" t="str">
        <x:f>IF(AND(F66=H66,G66=H66),"Met","STOP")</x:f>
        <x:v>Met</x:v>
      </x:c>
    </x:row>
    <x:row r="67">
      <x:c r="A67" s="47" t="str">
        <x:v>B01001</x:v>
      </x:c>
      <x:c r="B67" s="47" t="str">
        <x:v>NYC-V3-R03</x:v>
      </x:c>
      <x:c r="C67" s="47" t="str">
        <x:v>acs_population</x:v>
      </x:c>
      <x:c r="D67" s="67" t="n">
        <x:v>0</x:v>
      </x:c>
      <x:c r="E67" s="67" t="n">
        <x:v>0</x:v>
      </x:c>
      <x:c r="F67" s="47" t="n">
        <x:v>1</x:v>
      </x:c>
      <x:c r="G67" s="47" t="n">
        <x:v>1</x:v>
      </x:c>
      <x:c r="H67" s="47" t="n">
        <x:v>1</x:v>
      </x:c>
      <x:c r="I67" s="47" t="str">
        <x:f>IF(AND(F67=H67,G67=H67),"Met","STOP")</x:f>
        <x:v>Met</x:v>
      </x:c>
    </x:row>
    <x:row r="68">
      <x:c r="A68" s="47" t="str">
        <x:v>B01001</x:v>
      </x:c>
      <x:c r="B68" s="47" t="str">
        <x:v>NYC-V3-R03</x:v>
      </x:c>
      <x:c r="C68" s="47" t="str">
        <x:v>age_under_18</x:v>
      </x:c>
      <x:c r="D68" s="67" t="n">
        <x:v>0</x:v>
      </x:c>
      <x:c r="E68" s="67" t="n">
        <x:v>0</x:v>
      </x:c>
      <x:c r="F68" s="47" t="n">
        <x:v>1</x:v>
      </x:c>
      <x:c r="G68" s="47" t="n">
        <x:v>1</x:v>
      </x:c>
      <x:c r="H68" s="47" t="n">
        <x:v>1</x:v>
      </x:c>
      <x:c r="I68" s="47" t="str">
        <x:f>IF(AND(F68=H68,G68=H68),"Met","STOP")</x:f>
        <x:v>Met</x:v>
      </x:c>
    </x:row>
    <x:row r="69">
      <x:c r="A69" s="47" t="str">
        <x:v>B01001</x:v>
      </x:c>
      <x:c r="B69" s="47" t="str">
        <x:v>NYC-V3-R03</x:v>
      </x:c>
      <x:c r="C69" s="47" t="str">
        <x:v>age_under_5</x:v>
      </x:c>
      <x:c r="D69" s="67" t="n">
        <x:v>0</x:v>
      </x:c>
      <x:c r="E69" s="67" t="n">
        <x:v>0</x:v>
      </x:c>
      <x:c r="F69" s="47" t="n">
        <x:v>1</x:v>
      </x:c>
      <x:c r="G69" s="47" t="n">
        <x:v>1</x:v>
      </x:c>
      <x:c r="H69" s="47" t="n">
        <x:v>1</x:v>
      </x:c>
      <x:c r="I69" s="47" t="str">
        <x:f>IF(AND(F69=H69,G69=H69),"Met","STOP")</x:f>
        <x:v>Met</x:v>
      </x:c>
    </x:row>
    <x:row r="70">
      <x:c r="A70" s="47" t="str">
        <x:v>B01001</x:v>
      </x:c>
      <x:c r="B70" s="47" t="str">
        <x:v>NYC-V3-R03</x:v>
      </x:c>
      <x:c r="C70" s="47" t="str">
        <x:v>age_65_plus</x:v>
      </x:c>
      <x:c r="D70" s="67" t="n">
        <x:v>0</x:v>
      </x:c>
      <x:c r="E70" s="67" t="n">
        <x:v>0</x:v>
      </x:c>
      <x:c r="F70" s="47" t="n">
        <x:v>1</x:v>
      </x:c>
      <x:c r="G70" s="47" t="n">
        <x:v>1</x:v>
      </x:c>
      <x:c r="H70" s="47" t="n">
        <x:v>1</x:v>
      </x:c>
      <x:c r="I70" s="47" t="str">
        <x:f>IF(AND(F70=H70,G70=H70),"Met","STOP")</x:f>
        <x:v>Met</x:v>
      </x:c>
    </x:row>
    <x:row r="71">
      <x:c r="A71" s="47" t="str">
        <x:v>B01001</x:v>
      </x:c>
      <x:c r="B71" s="47" t="str">
        <x:v>NYC-V3-R03</x:v>
      </x:c>
      <x:c r="C71" s="47" t="str">
        <x:v>age_75_plus</x:v>
      </x:c>
      <x:c r="D71" s="67" t="n">
        <x:v>0</x:v>
      </x:c>
      <x:c r="E71" s="67" t="n">
        <x:v>0</x:v>
      </x:c>
      <x:c r="F71" s="47" t="n">
        <x:v>1</x:v>
      </x:c>
      <x:c r="G71" s="47" t="n">
        <x:v>1</x:v>
      </x:c>
      <x:c r="H71" s="47" t="n">
        <x:v>1</x:v>
      </x:c>
      <x:c r="I71" s="47" t="str">
        <x:f>IF(AND(F71=H71,G71=H71),"Met","STOP")</x:f>
        <x:v>Met</x:v>
      </x:c>
    </x:row>
    <x:row r="72">
      <x:c r="A72" s="47" t="str">
        <x:v>B01001</x:v>
      </x:c>
      <x:c r="B72" s="47" t="str">
        <x:v>NYC-V3-R03</x:v>
      </x:c>
      <x:c r="C72" s="47" t="str">
        <x:v>age_85_plus</x:v>
      </x:c>
      <x:c r="D72" s="67" t="n">
        <x:v>0</x:v>
      </x:c>
      <x:c r="E72" s="67" t="n">
        <x:v>0</x:v>
      </x:c>
      <x:c r="F72" s="47" t="n">
        <x:v>1</x:v>
      </x:c>
      <x:c r="G72" s="47" t="n">
        <x:v>1</x:v>
      </x:c>
      <x:c r="H72" s="47" t="n">
        <x:v>1</x:v>
      </x:c>
      <x:c r="I72" s="47" t="str">
        <x:f>IF(AND(F72=H72,G72=H72),"Met","STOP")</x:f>
        <x:v>Met</x:v>
      </x:c>
    </x:row>
    <x:row r="73">
      <x:c r="A73" s="47" t="str">
        <x:v>B01001</x:v>
      </x:c>
      <x:c r="B73" s="47" t="str">
        <x:v>NYC-V3-R04</x:v>
      </x:c>
      <x:c r="C73" s="47" t="str">
        <x:v>acs_population</x:v>
      </x:c>
      <x:c r="D73" s="67" t="n">
        <x:v>0</x:v>
      </x:c>
      <x:c r="E73" s="67" t="n">
        <x:v>-2.2737367544323206e-13</x:v>
      </x:c>
      <x:c r="F73" s="47" t="n">
        <x:v>1</x:v>
      </x:c>
      <x:c r="G73" s="47" t="n">
        <x:v>1</x:v>
      </x:c>
      <x:c r="H73" s="47" t="n">
        <x:v>1</x:v>
      </x:c>
      <x:c r="I73" s="47" t="str">
        <x:f>IF(AND(F73=H73,G73=H73),"Met","STOP")</x:f>
        <x:v>Met</x:v>
      </x:c>
    </x:row>
    <x:row r="74">
      <x:c r="A74" s="47" t="str">
        <x:v>B01001</x:v>
      </x:c>
      <x:c r="B74" s="47" t="str">
        <x:v>NYC-V3-R04</x:v>
      </x:c>
      <x:c r="C74" s="47" t="str">
        <x:v>age_under_18</x:v>
      </x:c>
      <x:c r="D74" s="67" t="n">
        <x:v>0</x:v>
      </x:c>
      <x:c r="E74" s="67" t="n">
        <x:v>-1.1368683772161603e-13</x:v>
      </x:c>
      <x:c r="F74" s="47" t="n">
        <x:v>1</x:v>
      </x:c>
      <x:c r="G74" s="47" t="n">
        <x:v>1</x:v>
      </x:c>
      <x:c r="H74" s="47" t="n">
        <x:v>1</x:v>
      </x:c>
      <x:c r="I74" s="47" t="str">
        <x:f>IF(AND(F74=H74,G74=H74),"Met","STOP")</x:f>
        <x:v>Met</x:v>
      </x:c>
    </x:row>
    <x:row r="75">
      <x:c r="A75" s="47" t="str">
        <x:v>B01001</x:v>
      </x:c>
      <x:c r="B75" s="47" t="str">
        <x:v>NYC-V3-R04</x:v>
      </x:c>
      <x:c r="C75" s="47" t="str">
        <x:v>age_under_5</x:v>
      </x:c>
      <x:c r="D75" s="67" t="n">
        <x:v>0</x:v>
      </x:c>
      <x:c r="E75" s="67" t="n">
        <x:v>0</x:v>
      </x:c>
      <x:c r="F75" s="47" t="n">
        <x:v>1</x:v>
      </x:c>
      <x:c r="G75" s="47" t="n">
        <x:v>1</x:v>
      </x:c>
      <x:c r="H75" s="47" t="n">
        <x:v>1</x:v>
      </x:c>
      <x:c r="I75" s="47" t="str">
        <x:f>IF(AND(F75=H75,G75=H75),"Met","STOP")</x:f>
        <x:v>Met</x:v>
      </x:c>
    </x:row>
    <x:row r="76">
      <x:c r="A76" s="47" t="str">
        <x:v>B01001</x:v>
      </x:c>
      <x:c r="B76" s="47" t="str">
        <x:v>NYC-V3-R04</x:v>
      </x:c>
      <x:c r="C76" s="47" t="str">
        <x:v>age_65_plus</x:v>
      </x:c>
      <x:c r="D76" s="67" t="n">
        <x:v>0</x:v>
      </x:c>
      <x:c r="E76" s="67" t="n">
        <x:v>0</x:v>
      </x:c>
      <x:c r="F76" s="47" t="n">
        <x:v>1</x:v>
      </x:c>
      <x:c r="G76" s="47" t="n">
        <x:v>1</x:v>
      </x:c>
      <x:c r="H76" s="47" t="n">
        <x:v>1</x:v>
      </x:c>
      <x:c r="I76" s="47" t="str">
        <x:f>IF(AND(F76=H76,G76=H76),"Met","STOP")</x:f>
        <x:v>Met</x:v>
      </x:c>
    </x:row>
    <x:row r="77">
      <x:c r="A77" s="47" t="str">
        <x:v>B01001</x:v>
      </x:c>
      <x:c r="B77" s="47" t="str">
        <x:v>NYC-V3-R04</x:v>
      </x:c>
      <x:c r="C77" s="47" t="str">
        <x:v>age_75_plus</x:v>
      </x:c>
      <x:c r="D77" s="67" t="n">
        <x:v>0</x:v>
      </x:c>
      <x:c r="E77" s="67" t="n">
        <x:v>5.684341886080802e-14</x:v>
      </x:c>
      <x:c r="F77" s="47" t="n">
        <x:v>1</x:v>
      </x:c>
      <x:c r="G77" s="47" t="n">
        <x:v>1</x:v>
      </x:c>
      <x:c r="H77" s="47" t="n">
        <x:v>1</x:v>
      </x:c>
      <x:c r="I77" s="47" t="str">
        <x:f>IF(AND(F77=H77,G77=H77),"Met","STOP")</x:f>
        <x:v>Met</x:v>
      </x:c>
    </x:row>
    <x:row r="78">
      <x:c r="A78" s="47" t="str">
        <x:v>B01001</x:v>
      </x:c>
      <x:c r="B78" s="47" t="str">
        <x:v>NYC-V3-R04</x:v>
      </x:c>
      <x:c r="C78" s="47" t="str">
        <x:v>age_85_plus</x:v>
      </x:c>
      <x:c r="D78" s="67" t="n">
        <x:v>0</x:v>
      </x:c>
      <x:c r="E78" s="67" t="n">
        <x:v>0</x:v>
      </x:c>
      <x:c r="F78" s="47" t="n">
        <x:v>1</x:v>
      </x:c>
      <x:c r="G78" s="47" t="n">
        <x:v>1</x:v>
      </x:c>
      <x:c r="H78" s="47" t="n">
        <x:v>1</x:v>
      </x:c>
      <x:c r="I78" s="47" t="str">
        <x:f>IF(AND(F78=H78,G78=H78),"Met","STOP")</x:f>
        <x:v>Met</x:v>
      </x:c>
    </x:row>
    <x:row r="79">
      <x:c r="A79" s="47" t="str">
        <x:v>B11001</x:v>
      </x:c>
      <x:c r="B79" s="47" t="str">
        <x:v>NYC-V1-R01</x:v>
      </x:c>
      <x:c r="C79" s="47" t="str">
        <x:v>households</x:v>
      </x:c>
      <x:c r="D79" s="67" t="n">
        <x:v>0</x:v>
      </x:c>
      <x:c r="E79" s="67" t="n">
        <x:v>0</x:v>
      </x:c>
      <x:c r="F79" s="47" t="n">
        <x:v>1</x:v>
      </x:c>
      <x:c r="G79" s="47" t="n">
        <x:v>1</x:v>
      </x:c>
      <x:c r="H79" s="47" t="n">
        <x:v>1</x:v>
      </x:c>
      <x:c r="I79" s="47" t="str">
        <x:f>IF(AND(F79=H79,G79=H79),"Met","STOP")</x:f>
        <x:v>Met</x:v>
      </x:c>
    </x:row>
    <x:row r="80">
      <x:c r="A80" s="47" t="str">
        <x:v>B11001</x:v>
      </x:c>
      <x:c r="B80" s="47" t="str">
        <x:v>NYC-V1-R01</x:v>
      </x:c>
      <x:c r="C80" s="47" t="str">
        <x:v>family_households</x:v>
      </x:c>
      <x:c r="D80" s="67" t="n">
        <x:v>0</x:v>
      </x:c>
      <x:c r="E80" s="67" t="n">
        <x:v>0</x:v>
      </x:c>
      <x:c r="F80" s="47" t="n">
        <x:v>1</x:v>
      </x:c>
      <x:c r="G80" s="47" t="n">
        <x:v>1</x:v>
      </x:c>
      <x:c r="H80" s="47" t="n">
        <x:v>1</x:v>
      </x:c>
      <x:c r="I80" s="47" t="str">
        <x:f>IF(AND(F80=H80,G80=H80),"Met","STOP")</x:f>
        <x:v>Met</x:v>
      </x:c>
    </x:row>
    <x:row r="81">
      <x:c r="A81" s="47" t="str">
        <x:v>B11001</x:v>
      </x:c>
      <x:c r="B81" s="47" t="str">
        <x:v>NYC-V1-R01</x:v>
      </x:c>
      <x:c r="C81" s="47" t="str">
        <x:v>nonfamily_households</x:v>
      </x:c>
      <x:c r="D81" s="67" t="n">
        <x:v>0</x:v>
      </x:c>
      <x:c r="E81" s="67" t="n">
        <x:v>0</x:v>
      </x:c>
      <x:c r="F81" s="47" t="n">
        <x:v>1</x:v>
      </x:c>
      <x:c r="G81" s="47" t="n">
        <x:v>1</x:v>
      </x:c>
      <x:c r="H81" s="47" t="n">
        <x:v>1</x:v>
      </x:c>
      <x:c r="I81" s="47" t="str">
        <x:f>IF(AND(F81=H81,G81=H81),"Met","STOP")</x:f>
        <x:v>Met</x:v>
      </x:c>
    </x:row>
    <x:row r="82">
      <x:c r="A82" s="47" t="str">
        <x:v>B11001</x:v>
      </x:c>
      <x:c r="B82" s="47" t="str">
        <x:v>NYC-V1-R01</x:v>
      </x:c>
      <x:c r="C82" s="47" t="str">
        <x:v>living_alone_households</x:v>
      </x:c>
      <x:c r="D82" s="67" t="n">
        <x:v>0</x:v>
      </x:c>
      <x:c r="E82" s="67" t="n">
        <x:v>0</x:v>
      </x:c>
      <x:c r="F82" s="47" t="n">
        <x:v>1</x:v>
      </x:c>
      <x:c r="G82" s="47" t="n">
        <x:v>1</x:v>
      </x:c>
      <x:c r="H82" s="47" t="n">
        <x:v>1</x:v>
      </x:c>
      <x:c r="I82" s="47" t="str">
        <x:f>IF(AND(F82=H82,G82=H82),"Met","STOP")</x:f>
        <x:v>Met</x:v>
      </x:c>
    </x:row>
    <x:row r="83">
      <x:c r="A83" s="47" t="str">
        <x:v>B11001</x:v>
      </x:c>
      <x:c r="B83" s="47" t="str">
        <x:v>NYC-V1-R02</x:v>
      </x:c>
      <x:c r="C83" s="47" t="str">
        <x:v>households</x:v>
      </x:c>
      <x:c r="D83" s="67" t="n">
        <x:v>0</x:v>
      </x:c>
      <x:c r="E83" s="67" t="n">
        <x:v>0</x:v>
      </x:c>
      <x:c r="F83" s="47" t="n">
        <x:v>1</x:v>
      </x:c>
      <x:c r="G83" s="47" t="n">
        <x:v>1</x:v>
      </x:c>
      <x:c r="H83" s="47" t="n">
        <x:v>1</x:v>
      </x:c>
      <x:c r="I83" s="47" t="str">
        <x:f>IF(AND(F83=H83,G83=H83),"Met","STOP")</x:f>
        <x:v>Met</x:v>
      </x:c>
    </x:row>
    <x:row r="84">
      <x:c r="A84" s="47" t="str">
        <x:v>B11001</x:v>
      </x:c>
      <x:c r="B84" s="47" t="str">
        <x:v>NYC-V1-R02</x:v>
      </x:c>
      <x:c r="C84" s="47" t="str">
        <x:v>family_households</x:v>
      </x:c>
      <x:c r="D84" s="67" t="n">
        <x:v>0</x:v>
      </x:c>
      <x:c r="E84" s="67" t="n">
        <x:v>0</x:v>
      </x:c>
      <x:c r="F84" s="47" t="n">
        <x:v>1</x:v>
      </x:c>
      <x:c r="G84" s="47" t="n">
        <x:v>1</x:v>
      </x:c>
      <x:c r="H84" s="47" t="n">
        <x:v>1</x:v>
      </x:c>
      <x:c r="I84" s="47" t="str">
        <x:f>IF(AND(F84=H84,G84=H84),"Met","STOP")</x:f>
        <x:v>Met</x:v>
      </x:c>
    </x:row>
    <x:row r="85">
      <x:c r="A85" s="47" t="str">
        <x:v>B11001</x:v>
      </x:c>
      <x:c r="B85" s="47" t="str">
        <x:v>NYC-V1-R02</x:v>
      </x:c>
      <x:c r="C85" s="47" t="str">
        <x:v>nonfamily_households</x:v>
      </x:c>
      <x:c r="D85" s="67" t="n">
        <x:v>0</x:v>
      </x:c>
      <x:c r="E85" s="67" t="n">
        <x:v>0</x:v>
      </x:c>
      <x:c r="F85" s="47" t="n">
        <x:v>1</x:v>
      </x:c>
      <x:c r="G85" s="47" t="n">
        <x:v>1</x:v>
      </x:c>
      <x:c r="H85" s="47" t="n">
        <x:v>1</x:v>
      </x:c>
      <x:c r="I85" s="47" t="str">
        <x:f>IF(AND(F85=H85,G85=H85),"Met","STOP")</x:f>
        <x:v>Met</x:v>
      </x:c>
    </x:row>
    <x:row r="86">
      <x:c r="A86" s="47" t="str">
        <x:v>B11001</x:v>
      </x:c>
      <x:c r="B86" s="47" t="str">
        <x:v>NYC-V1-R02</x:v>
      </x:c>
      <x:c r="C86" s="47" t="str">
        <x:v>living_alone_households</x:v>
      </x:c>
      <x:c r="D86" s="67" t="n">
        <x:v>0</x:v>
      </x:c>
      <x:c r="E86" s="67" t="n">
        <x:v>0</x:v>
      </x:c>
      <x:c r="F86" s="47" t="n">
        <x:v>1</x:v>
      </x:c>
      <x:c r="G86" s="47" t="n">
        <x:v>1</x:v>
      </x:c>
      <x:c r="H86" s="47" t="n">
        <x:v>1</x:v>
      </x:c>
      <x:c r="I86" s="47" t="str">
        <x:f>IF(AND(F86=H86,G86=H86),"Met","STOP")</x:f>
        <x:v>Met</x:v>
      </x:c>
    </x:row>
    <x:row r="87">
      <x:c r="A87" s="47" t="str">
        <x:v>B11001</x:v>
      </x:c>
      <x:c r="B87" s="47" t="str">
        <x:v>NYC-V1-R03</x:v>
      </x:c>
      <x:c r="C87" s="47" t="str">
        <x:v>households</x:v>
      </x:c>
      <x:c r="D87" s="67" t="n">
        <x:v>0</x:v>
      </x:c>
      <x:c r="E87" s="67" t="n">
        <x:v>0</x:v>
      </x:c>
      <x:c r="F87" s="47" t="n">
        <x:v>1</x:v>
      </x:c>
      <x:c r="G87" s="47" t="n">
        <x:v>1</x:v>
      </x:c>
      <x:c r="H87" s="47" t="n">
        <x:v>1</x:v>
      </x:c>
      <x:c r="I87" s="47" t="str">
        <x:f>IF(AND(F87=H87,G87=H87),"Met","STOP")</x:f>
        <x:v>Met</x:v>
      </x:c>
    </x:row>
    <x:row r="88">
      <x:c r="A88" s="47" t="str">
        <x:v>B11001</x:v>
      </x:c>
      <x:c r="B88" s="47" t="str">
        <x:v>NYC-V1-R03</x:v>
      </x:c>
      <x:c r="C88" s="47" t="str">
        <x:v>family_households</x:v>
      </x:c>
      <x:c r="D88" s="67" t="n">
        <x:v>0</x:v>
      </x:c>
      <x:c r="E88" s="67" t="n">
        <x:v>0</x:v>
      </x:c>
      <x:c r="F88" s="47" t="n">
        <x:v>1</x:v>
      </x:c>
      <x:c r="G88" s="47" t="n">
        <x:v>1</x:v>
      </x:c>
      <x:c r="H88" s="47" t="n">
        <x:v>1</x:v>
      </x:c>
      <x:c r="I88" s="47" t="str">
        <x:f>IF(AND(F88=H88,G88=H88),"Met","STOP")</x:f>
        <x:v>Met</x:v>
      </x:c>
    </x:row>
    <x:row r="89">
      <x:c r="A89" s="47" t="str">
        <x:v>B11001</x:v>
      </x:c>
      <x:c r="B89" s="47" t="str">
        <x:v>NYC-V1-R03</x:v>
      </x:c>
      <x:c r="C89" s="47" t="str">
        <x:v>nonfamily_households</x:v>
      </x:c>
      <x:c r="D89" s="67" t="n">
        <x:v>0</x:v>
      </x:c>
      <x:c r="E89" s="67" t="n">
        <x:v>0</x:v>
      </x:c>
      <x:c r="F89" s="47" t="n">
        <x:v>1</x:v>
      </x:c>
      <x:c r="G89" s="47" t="n">
        <x:v>1</x:v>
      </x:c>
      <x:c r="H89" s="47" t="n">
        <x:v>1</x:v>
      </x:c>
      <x:c r="I89" s="47" t="str">
        <x:f>IF(AND(F89=H89,G89=H89),"Met","STOP")</x:f>
        <x:v>Met</x:v>
      </x:c>
    </x:row>
    <x:row r="90">
      <x:c r="A90" s="47" t="str">
        <x:v>B11001</x:v>
      </x:c>
      <x:c r="B90" s="47" t="str">
        <x:v>NYC-V1-R03</x:v>
      </x:c>
      <x:c r="C90" s="47" t="str">
        <x:v>living_alone_households</x:v>
      </x:c>
      <x:c r="D90" s="67" t="n">
        <x:v>0</x:v>
      </x:c>
      <x:c r="E90" s="67" t="n">
        <x:v>0</x:v>
      </x:c>
      <x:c r="F90" s="47" t="n">
        <x:v>1</x:v>
      </x:c>
      <x:c r="G90" s="47" t="n">
        <x:v>1</x:v>
      </x:c>
      <x:c r="H90" s="47" t="n">
        <x:v>1</x:v>
      </x:c>
      <x:c r="I90" s="47" t="str">
        <x:f>IF(AND(F90=H90,G90=H90),"Met","STOP")</x:f>
        <x:v>Met</x:v>
      </x:c>
    </x:row>
    <x:row r="91">
      <x:c r="A91" s="47" t="str">
        <x:v>B11001</x:v>
      </x:c>
      <x:c r="B91" s="47" t="str">
        <x:v>NYC-V1-R04</x:v>
      </x:c>
      <x:c r="C91" s="47" t="str">
        <x:v>households</x:v>
      </x:c>
      <x:c r="D91" s="67" t="n">
        <x:v>0</x:v>
      </x:c>
      <x:c r="E91" s="67" t="n">
        <x:v>0</x:v>
      </x:c>
      <x:c r="F91" s="47" t="n">
        <x:v>1</x:v>
      </x:c>
      <x:c r="G91" s="47" t="n">
        <x:v>1</x:v>
      </x:c>
      <x:c r="H91" s="47" t="n">
        <x:v>1</x:v>
      </x:c>
      <x:c r="I91" s="47" t="str">
        <x:f>IF(AND(F91=H91,G91=H91),"Met","STOP")</x:f>
        <x:v>Met</x:v>
      </x:c>
    </x:row>
    <x:row r="92">
      <x:c r="A92" s="47" t="str">
        <x:v>B11001</x:v>
      </x:c>
      <x:c r="B92" s="47" t="str">
        <x:v>NYC-V1-R04</x:v>
      </x:c>
      <x:c r="C92" s="47" t="str">
        <x:v>family_households</x:v>
      </x:c>
      <x:c r="D92" s="67" t="n">
        <x:v>0</x:v>
      </x:c>
      <x:c r="E92" s="67" t="n">
        <x:v>0</x:v>
      </x:c>
      <x:c r="F92" s="47" t="n">
        <x:v>1</x:v>
      </x:c>
      <x:c r="G92" s="47" t="n">
        <x:v>1</x:v>
      </x:c>
      <x:c r="H92" s="47" t="n">
        <x:v>1</x:v>
      </x:c>
      <x:c r="I92" s="47" t="str">
        <x:f>IF(AND(F92=H92,G92=H92),"Met","STOP")</x:f>
        <x:v>Met</x:v>
      </x:c>
    </x:row>
    <x:row r="93">
      <x:c r="A93" s="47" t="str">
        <x:v>B11001</x:v>
      </x:c>
      <x:c r="B93" s="47" t="str">
        <x:v>NYC-V1-R04</x:v>
      </x:c>
      <x:c r="C93" s="47" t="str">
        <x:v>nonfamily_households</x:v>
      </x:c>
      <x:c r="D93" s="67" t="n">
        <x:v>0</x:v>
      </x:c>
      <x:c r="E93" s="67" t="n">
        <x:v>0</x:v>
      </x:c>
      <x:c r="F93" s="47" t="n">
        <x:v>1</x:v>
      </x:c>
      <x:c r="G93" s="47" t="n">
        <x:v>1</x:v>
      </x:c>
      <x:c r="H93" s="47" t="n">
        <x:v>1</x:v>
      </x:c>
      <x:c r="I93" s="47" t="str">
        <x:f>IF(AND(F93=H93,G93=H93),"Met","STOP")</x:f>
        <x:v>Met</x:v>
      </x:c>
    </x:row>
    <x:row r="94">
      <x:c r="A94" s="47" t="str">
        <x:v>B11001</x:v>
      </x:c>
      <x:c r="B94" s="47" t="str">
        <x:v>NYC-V1-R04</x:v>
      </x:c>
      <x:c r="C94" s="47" t="str">
        <x:v>living_alone_households</x:v>
      </x:c>
      <x:c r="D94" s="67" t="n">
        <x:v>0</x:v>
      </x:c>
      <x:c r="E94" s="67" t="n">
        <x:v>5.684341886080802e-14</x:v>
      </x:c>
      <x:c r="F94" s="47" t="n">
        <x:v>1</x:v>
      </x:c>
      <x:c r="G94" s="47" t="n">
        <x:v>1</x:v>
      </x:c>
      <x:c r="H94" s="47" t="n">
        <x:v>1</x:v>
      </x:c>
      <x:c r="I94" s="47" t="str">
        <x:f>IF(AND(F94=H94,G94=H94),"Met","STOP")</x:f>
        <x:v>Met</x:v>
      </x:c>
    </x:row>
    <x:row r="95">
      <x:c r="A95" s="47" t="str">
        <x:v>B11001</x:v>
      </x:c>
      <x:c r="B95" s="47" t="str">
        <x:v>NYC-V2-R01</x:v>
      </x:c>
      <x:c r="C95" s="47" t="str">
        <x:v>households</x:v>
      </x:c>
      <x:c r="D95" s="67" t="n">
        <x:v>0</x:v>
      </x:c>
      <x:c r="E95" s="67" t="n">
        <x:v>5.684341886080802e-14</x:v>
      </x:c>
      <x:c r="F95" s="47" t="n">
        <x:v>1</x:v>
      </x:c>
      <x:c r="G95" s="47" t="n">
        <x:v>1</x:v>
      </x:c>
      <x:c r="H95" s="47" t="n">
        <x:v>1</x:v>
      </x:c>
      <x:c r="I95" s="47" t="str">
        <x:f>IF(AND(F95=H95,G95=H95),"Met","STOP")</x:f>
        <x:v>Met</x:v>
      </x:c>
    </x:row>
    <x:row r="96">
      <x:c r="A96" s="47" t="str">
        <x:v>B11001</x:v>
      </x:c>
      <x:c r="B96" s="47" t="str">
        <x:v>NYC-V2-R01</x:v>
      </x:c>
      <x:c r="C96" s="47" t="str">
        <x:v>family_households</x:v>
      </x:c>
      <x:c r="D96" s="67" t="n">
        <x:v>0</x:v>
      </x:c>
      <x:c r="E96" s="67" t="n">
        <x:v>0</x:v>
      </x:c>
      <x:c r="F96" s="47" t="n">
        <x:v>1</x:v>
      </x:c>
      <x:c r="G96" s="47" t="n">
        <x:v>1</x:v>
      </x:c>
      <x:c r="H96" s="47" t="n">
        <x:v>1</x:v>
      </x:c>
      <x:c r="I96" s="47" t="str">
        <x:f>IF(AND(F96=H96,G96=H96),"Met","STOP")</x:f>
        <x:v>Met</x:v>
      </x:c>
    </x:row>
    <x:row r="97">
      <x:c r="A97" s="47" t="str">
        <x:v>B11001</x:v>
      </x:c>
      <x:c r="B97" s="47" t="str">
        <x:v>NYC-V2-R01</x:v>
      </x:c>
      <x:c r="C97" s="47" t="str">
        <x:v>nonfamily_households</x:v>
      </x:c>
      <x:c r="D97" s="67" t="n">
        <x:v>0</x:v>
      </x:c>
      <x:c r="E97" s="67" t="n">
        <x:v>0</x:v>
      </x:c>
      <x:c r="F97" s="47" t="n">
        <x:v>1</x:v>
      </x:c>
      <x:c r="G97" s="47" t="n">
        <x:v>1</x:v>
      </x:c>
      <x:c r="H97" s="47" t="n">
        <x:v>1</x:v>
      </x:c>
      <x:c r="I97" s="47" t="str">
        <x:f>IF(AND(F97=H97,G97=H97),"Met","STOP")</x:f>
        <x:v>Met</x:v>
      </x:c>
    </x:row>
    <x:row r="98">
      <x:c r="A98" s="47" t="str">
        <x:v>B11001</x:v>
      </x:c>
      <x:c r="B98" s="47" t="str">
        <x:v>NYC-V2-R01</x:v>
      </x:c>
      <x:c r="C98" s="47" t="str">
        <x:v>living_alone_households</x:v>
      </x:c>
      <x:c r="D98" s="67" t="n">
        <x:v>0</x:v>
      </x:c>
      <x:c r="E98" s="67" t="n">
        <x:v>0</x:v>
      </x:c>
      <x:c r="F98" s="47" t="n">
        <x:v>1</x:v>
      </x:c>
      <x:c r="G98" s="47" t="n">
        <x:v>1</x:v>
      </x:c>
      <x:c r="H98" s="47" t="n">
        <x:v>1</x:v>
      </x:c>
      <x:c r="I98" s="47" t="str">
        <x:f>IF(AND(F98=H98,G98=H98),"Met","STOP")</x:f>
        <x:v>Met</x:v>
      </x:c>
    </x:row>
    <x:row r="99">
      <x:c r="A99" s="47" t="str">
        <x:v>B11001</x:v>
      </x:c>
      <x:c r="B99" s="47" t="str">
        <x:v>NYC-V2-R02</x:v>
      </x:c>
      <x:c r="C99" s="47" t="str">
        <x:v>households</x:v>
      </x:c>
      <x:c r="D99" s="67" t="n">
        <x:v>0</x:v>
      </x:c>
      <x:c r="E99" s="67" t="n">
        <x:v>0</x:v>
      </x:c>
      <x:c r="F99" s="47" t="n">
        <x:v>1</x:v>
      </x:c>
      <x:c r="G99" s="47" t="n">
        <x:v>1</x:v>
      </x:c>
      <x:c r="H99" s="47" t="n">
        <x:v>1</x:v>
      </x:c>
      <x:c r="I99" s="47" t="str">
        <x:f>IF(AND(F99=H99,G99=H99),"Met","STOP")</x:f>
        <x:v>Met</x:v>
      </x:c>
    </x:row>
    <x:row r="100">
      <x:c r="A100" s="47" t="str">
        <x:v>B11001</x:v>
      </x:c>
      <x:c r="B100" s="47" t="str">
        <x:v>NYC-V2-R02</x:v>
      </x:c>
      <x:c r="C100" s="47" t="str">
        <x:v>family_households</x:v>
      </x:c>
      <x:c r="D100" s="67" t="n">
        <x:v>0</x:v>
      </x:c>
      <x:c r="E100" s="67" t="n">
        <x:v>0</x:v>
      </x:c>
      <x:c r="F100" s="47" t="n">
        <x:v>1</x:v>
      </x:c>
      <x:c r="G100" s="47" t="n">
        <x:v>1</x:v>
      </x:c>
      <x:c r="H100" s="47" t="n">
        <x:v>1</x:v>
      </x:c>
      <x:c r="I100" s="47" t="str">
        <x:f>IF(AND(F100=H100,G100=H100),"Met","STOP")</x:f>
        <x:v>Met</x:v>
      </x:c>
    </x:row>
    <x:row r="101">
      <x:c r="A101" s="47" t="str">
        <x:v>B11001</x:v>
      </x:c>
      <x:c r="B101" s="47" t="str">
        <x:v>NYC-V2-R02</x:v>
      </x:c>
      <x:c r="C101" s="47" t="str">
        <x:v>nonfamily_households</x:v>
      </x:c>
      <x:c r="D101" s="67" t="n">
        <x:v>0</x:v>
      </x:c>
      <x:c r="E101" s="67" t="n">
        <x:v>0</x:v>
      </x:c>
      <x:c r="F101" s="47" t="n">
        <x:v>1</x:v>
      </x:c>
      <x:c r="G101" s="47" t="n">
        <x:v>1</x:v>
      </x:c>
      <x:c r="H101" s="47" t="n">
        <x:v>1</x:v>
      </x:c>
      <x:c r="I101" s="47" t="str">
        <x:f>IF(AND(F101=H101,G101=H101),"Met","STOP")</x:f>
        <x:v>Met</x:v>
      </x:c>
    </x:row>
    <x:row r="102">
      <x:c r="A102" s="47" t="str">
        <x:v>B11001</x:v>
      </x:c>
      <x:c r="B102" s="47" t="str">
        <x:v>NYC-V2-R02</x:v>
      </x:c>
      <x:c r="C102" s="47" t="str">
        <x:v>living_alone_households</x:v>
      </x:c>
      <x:c r="D102" s="67" t="n">
        <x:v>0</x:v>
      </x:c>
      <x:c r="E102" s="67" t="n">
        <x:v>0</x:v>
      </x:c>
      <x:c r="F102" s="47" t="n">
        <x:v>1</x:v>
      </x:c>
      <x:c r="G102" s="47" t="n">
        <x:v>1</x:v>
      </x:c>
      <x:c r="H102" s="47" t="n">
        <x:v>1</x:v>
      </x:c>
      <x:c r="I102" s="47" t="str">
        <x:f>IF(AND(F102=H102,G102=H102),"Met","STOP")</x:f>
        <x:v>Met</x:v>
      </x:c>
    </x:row>
    <x:row r="103">
      <x:c r="A103" s="47" t="str">
        <x:v>B11001</x:v>
      </x:c>
      <x:c r="B103" s="47" t="str">
        <x:v>NYC-V2-R03</x:v>
      </x:c>
      <x:c r="C103" s="47" t="str">
        <x:v>households</x:v>
      </x:c>
      <x:c r="D103" s="67" t="n">
        <x:v>0</x:v>
      </x:c>
      <x:c r="E103" s="67" t="n">
        <x:v>0</x:v>
      </x:c>
      <x:c r="F103" s="47" t="n">
        <x:v>1</x:v>
      </x:c>
      <x:c r="G103" s="47" t="n">
        <x:v>1</x:v>
      </x:c>
      <x:c r="H103" s="47" t="n">
        <x:v>1</x:v>
      </x:c>
      <x:c r="I103" s="47" t="str">
        <x:f>IF(AND(F103=H103,G103=H103),"Met","STOP")</x:f>
        <x:v>Met</x:v>
      </x:c>
    </x:row>
    <x:row r="104">
      <x:c r="A104" s="47" t="str">
        <x:v>B11001</x:v>
      </x:c>
      <x:c r="B104" s="47" t="str">
        <x:v>NYC-V2-R03</x:v>
      </x:c>
      <x:c r="C104" s="47" t="str">
        <x:v>family_households</x:v>
      </x:c>
      <x:c r="D104" s="67" t="n">
        <x:v>0</x:v>
      </x:c>
      <x:c r="E104" s="67" t="n">
        <x:v>0</x:v>
      </x:c>
      <x:c r="F104" s="47" t="n">
        <x:v>1</x:v>
      </x:c>
      <x:c r="G104" s="47" t="n">
        <x:v>1</x:v>
      </x:c>
      <x:c r="H104" s="47" t="n">
        <x:v>1</x:v>
      </x:c>
      <x:c r="I104" s="47" t="str">
        <x:f>IF(AND(F104=H104,G104=H104),"Met","STOP")</x:f>
        <x:v>Met</x:v>
      </x:c>
    </x:row>
    <x:row r="105">
      <x:c r="A105" s="47" t="str">
        <x:v>B11001</x:v>
      </x:c>
      <x:c r="B105" s="47" t="str">
        <x:v>NYC-V2-R03</x:v>
      </x:c>
      <x:c r="C105" s="47" t="str">
        <x:v>nonfamily_households</x:v>
      </x:c>
      <x:c r="D105" s="67" t="n">
        <x:v>0</x:v>
      </x:c>
      <x:c r="E105" s="67" t="n">
        <x:v>0</x:v>
      </x:c>
      <x:c r="F105" s="47" t="n">
        <x:v>1</x:v>
      </x:c>
      <x:c r="G105" s="47" t="n">
        <x:v>1</x:v>
      </x:c>
      <x:c r="H105" s="47" t="n">
        <x:v>1</x:v>
      </x:c>
      <x:c r="I105" s="47" t="str">
        <x:f>IF(AND(F105=H105,G105=H105),"Met","STOP")</x:f>
        <x:v>Met</x:v>
      </x:c>
    </x:row>
    <x:row r="106">
      <x:c r="A106" s="47" t="str">
        <x:v>B11001</x:v>
      </x:c>
      <x:c r="B106" s="47" t="str">
        <x:v>NYC-V2-R03</x:v>
      </x:c>
      <x:c r="C106" s="47" t="str">
        <x:v>living_alone_households</x:v>
      </x:c>
      <x:c r="D106" s="67" t="n">
        <x:v>0</x:v>
      </x:c>
      <x:c r="E106" s="67" t="n">
        <x:v>0</x:v>
      </x:c>
      <x:c r="F106" s="47" t="n">
        <x:v>1</x:v>
      </x:c>
      <x:c r="G106" s="47" t="n">
        <x:v>1</x:v>
      </x:c>
      <x:c r="H106" s="47" t="n">
        <x:v>1</x:v>
      </x:c>
      <x:c r="I106" s="47" t="str">
        <x:f>IF(AND(F106=H106,G106=H106),"Met","STOP")</x:f>
        <x:v>Met</x:v>
      </x:c>
    </x:row>
    <x:row r="107">
      <x:c r="A107" s="47" t="str">
        <x:v>B11001</x:v>
      </x:c>
      <x:c r="B107" s="47" t="str">
        <x:v>NYC-V2-R04</x:v>
      </x:c>
      <x:c r="C107" s="47" t="str">
        <x:v>households</x:v>
      </x:c>
      <x:c r="D107" s="67" t="n">
        <x:v>0</x:v>
      </x:c>
      <x:c r="E107" s="67" t="n">
        <x:v>0</x:v>
      </x:c>
      <x:c r="F107" s="47" t="n">
        <x:v>1</x:v>
      </x:c>
      <x:c r="G107" s="47" t="n">
        <x:v>1</x:v>
      </x:c>
      <x:c r="H107" s="47" t="n">
        <x:v>1</x:v>
      </x:c>
      <x:c r="I107" s="47" t="str">
        <x:f>IF(AND(F107=H107,G107=H107),"Met","STOP")</x:f>
        <x:v>Met</x:v>
      </x:c>
    </x:row>
    <x:row r="108">
      <x:c r="A108" s="47" t="str">
        <x:v>B11001</x:v>
      </x:c>
      <x:c r="B108" s="47" t="str">
        <x:v>NYC-V2-R04</x:v>
      </x:c>
      <x:c r="C108" s="47" t="str">
        <x:v>family_households</x:v>
      </x:c>
      <x:c r="D108" s="67" t="n">
        <x:v>0</x:v>
      </x:c>
      <x:c r="E108" s="67" t="n">
        <x:v>0</x:v>
      </x:c>
      <x:c r="F108" s="47" t="n">
        <x:v>1</x:v>
      </x:c>
      <x:c r="G108" s="47" t="n">
        <x:v>1</x:v>
      </x:c>
      <x:c r="H108" s="47" t="n">
        <x:v>1</x:v>
      </x:c>
      <x:c r="I108" s="47" t="str">
        <x:f>IF(AND(F108=H108,G108=H108),"Met","STOP")</x:f>
        <x:v>Met</x:v>
      </x:c>
    </x:row>
    <x:row r="109">
      <x:c r="A109" s="47" t="str">
        <x:v>B11001</x:v>
      </x:c>
      <x:c r="B109" s="47" t="str">
        <x:v>NYC-V2-R04</x:v>
      </x:c>
      <x:c r="C109" s="47" t="str">
        <x:v>nonfamily_households</x:v>
      </x:c>
      <x:c r="D109" s="67" t="n">
        <x:v>0</x:v>
      </x:c>
      <x:c r="E109" s="67" t="n">
        <x:v>5.684341886080802e-14</x:v>
      </x:c>
      <x:c r="F109" s="47" t="n">
        <x:v>1</x:v>
      </x:c>
      <x:c r="G109" s="47" t="n">
        <x:v>1</x:v>
      </x:c>
      <x:c r="H109" s="47" t="n">
        <x:v>1</x:v>
      </x:c>
      <x:c r="I109" s="47" t="str">
        <x:f>IF(AND(F109=H109,G109=H109),"Met","STOP")</x:f>
        <x:v>Met</x:v>
      </x:c>
    </x:row>
    <x:row r="110">
      <x:c r="A110" s="47" t="str">
        <x:v>B11001</x:v>
      </x:c>
      <x:c r="B110" s="47" t="str">
        <x:v>NYC-V2-R04</x:v>
      </x:c>
      <x:c r="C110" s="47" t="str">
        <x:v>living_alone_households</x:v>
      </x:c>
      <x:c r="D110" s="67" t="n">
        <x:v>0</x:v>
      </x:c>
      <x:c r="E110" s="67" t="n">
        <x:v>0</x:v>
      </x:c>
      <x:c r="F110" s="47" t="n">
        <x:v>1</x:v>
      </x:c>
      <x:c r="G110" s="47" t="n">
        <x:v>1</x:v>
      </x:c>
      <x:c r="H110" s="47" t="n">
        <x:v>1</x:v>
      </x:c>
      <x:c r="I110" s="47" t="str">
        <x:f>IF(AND(F110=H110,G110=H110),"Met","STOP")</x:f>
        <x:v>Met</x:v>
      </x:c>
    </x:row>
    <x:row r="111">
      <x:c r="A111" s="47" t="str">
        <x:v>B11001</x:v>
      </x:c>
      <x:c r="B111" s="47" t="str">
        <x:v>NYC-V3-R01</x:v>
      </x:c>
      <x:c r="C111" s="47" t="str">
        <x:v>households</x:v>
      </x:c>
      <x:c r="D111" s="67" t="n">
        <x:v>0</x:v>
      </x:c>
      <x:c r="E111" s="67" t="n">
        <x:v>5.684341886080802e-14</x:v>
      </x:c>
      <x:c r="F111" s="47" t="n">
        <x:v>1</x:v>
      </x:c>
      <x:c r="G111" s="47" t="n">
        <x:v>1</x:v>
      </x:c>
      <x:c r="H111" s="47" t="n">
        <x:v>1</x:v>
      </x:c>
      <x:c r="I111" s="47" t="str">
        <x:f>IF(AND(F111=H111,G111=H111),"Met","STOP")</x:f>
        <x:v>Met</x:v>
      </x:c>
    </x:row>
    <x:row r="112">
      <x:c r="A112" s="47" t="str">
        <x:v>B11001</x:v>
      </x:c>
      <x:c r="B112" s="47" t="str">
        <x:v>NYC-V3-R01</x:v>
      </x:c>
      <x:c r="C112" s="47" t="str">
        <x:v>family_households</x:v>
      </x:c>
      <x:c r="D112" s="67" t="n">
        <x:v>0</x:v>
      </x:c>
      <x:c r="E112" s="67" t="n">
        <x:v>0</x:v>
      </x:c>
      <x:c r="F112" s="47" t="n">
        <x:v>1</x:v>
      </x:c>
      <x:c r="G112" s="47" t="n">
        <x:v>1</x:v>
      </x:c>
      <x:c r="H112" s="47" t="n">
        <x:v>1</x:v>
      </x:c>
      <x:c r="I112" s="47" t="str">
        <x:f>IF(AND(F112=H112,G112=H112),"Met","STOP")</x:f>
        <x:v>Met</x:v>
      </x:c>
    </x:row>
    <x:row r="113">
      <x:c r="A113" s="47" t="str">
        <x:v>B11001</x:v>
      </x:c>
      <x:c r="B113" s="47" t="str">
        <x:v>NYC-V3-R01</x:v>
      </x:c>
      <x:c r="C113" s="47" t="str">
        <x:v>nonfamily_households</x:v>
      </x:c>
      <x:c r="D113" s="67" t="n">
        <x:v>0</x:v>
      </x:c>
      <x:c r="E113" s="67" t="n">
        <x:v>0</x:v>
      </x:c>
      <x:c r="F113" s="47" t="n">
        <x:v>1</x:v>
      </x:c>
      <x:c r="G113" s="47" t="n">
        <x:v>1</x:v>
      </x:c>
      <x:c r="H113" s="47" t="n">
        <x:v>1</x:v>
      </x:c>
      <x:c r="I113" s="47" t="str">
        <x:f>IF(AND(F113=H113,G113=H113),"Met","STOP")</x:f>
        <x:v>Met</x:v>
      </x:c>
    </x:row>
    <x:row r="114">
      <x:c r="A114" s="47" t="str">
        <x:v>B11001</x:v>
      </x:c>
      <x:c r="B114" s="47" t="str">
        <x:v>NYC-V3-R01</x:v>
      </x:c>
      <x:c r="C114" s="47" t="str">
        <x:v>living_alone_households</x:v>
      </x:c>
      <x:c r="D114" s="67" t="n">
        <x:v>0</x:v>
      </x:c>
      <x:c r="E114" s="67" t="n">
        <x:v>0</x:v>
      </x:c>
      <x:c r="F114" s="47" t="n">
        <x:v>1</x:v>
      </x:c>
      <x:c r="G114" s="47" t="n">
        <x:v>1</x:v>
      </x:c>
      <x:c r="H114" s="47" t="n">
        <x:v>1</x:v>
      </x:c>
      <x:c r="I114" s="47" t="str">
        <x:f>IF(AND(F114=H114,G114=H114),"Met","STOP")</x:f>
        <x:v>Met</x:v>
      </x:c>
    </x:row>
    <x:row r="115">
      <x:c r="A115" s="47" t="str">
        <x:v>B11001</x:v>
      </x:c>
      <x:c r="B115" s="47" t="str">
        <x:v>NYC-V3-R02</x:v>
      </x:c>
      <x:c r="C115" s="47" t="str">
        <x:v>households</x:v>
      </x:c>
      <x:c r="D115" s="67" t="n">
        <x:v>0</x:v>
      </x:c>
      <x:c r="E115" s="67" t="n">
        <x:v>0</x:v>
      </x:c>
      <x:c r="F115" s="47" t="n">
        <x:v>1</x:v>
      </x:c>
      <x:c r="G115" s="47" t="n">
        <x:v>1</x:v>
      </x:c>
      <x:c r="H115" s="47" t="n">
        <x:v>1</x:v>
      </x:c>
      <x:c r="I115" s="47" t="str">
        <x:f>IF(AND(F115=H115,G115=H115),"Met","STOP")</x:f>
        <x:v>Met</x:v>
      </x:c>
    </x:row>
    <x:row r="116">
      <x:c r="A116" s="47" t="str">
        <x:v>B11001</x:v>
      </x:c>
      <x:c r="B116" s="47" t="str">
        <x:v>NYC-V3-R02</x:v>
      </x:c>
      <x:c r="C116" s="47" t="str">
        <x:v>family_households</x:v>
      </x:c>
      <x:c r="D116" s="67" t="n">
        <x:v>0</x:v>
      </x:c>
      <x:c r="E116" s="67" t="n">
        <x:v>0</x:v>
      </x:c>
      <x:c r="F116" s="47" t="n">
        <x:v>1</x:v>
      </x:c>
      <x:c r="G116" s="47" t="n">
        <x:v>1</x:v>
      </x:c>
      <x:c r="H116" s="47" t="n">
        <x:v>1</x:v>
      </x:c>
      <x:c r="I116" s="47" t="str">
        <x:f>IF(AND(F116=H116,G116=H116),"Met","STOP")</x:f>
        <x:v>Met</x:v>
      </x:c>
    </x:row>
    <x:row r="117">
      <x:c r="A117" s="47" t="str">
        <x:v>B11001</x:v>
      </x:c>
      <x:c r="B117" s="47" t="str">
        <x:v>NYC-V3-R02</x:v>
      </x:c>
      <x:c r="C117" s="47" t="str">
        <x:v>nonfamily_households</x:v>
      </x:c>
      <x:c r="D117" s="67" t="n">
        <x:v>0</x:v>
      </x:c>
      <x:c r="E117" s="67" t="n">
        <x:v>-5.684341886080802e-14</x:v>
      </x:c>
      <x:c r="F117" s="47" t="n">
        <x:v>1</x:v>
      </x:c>
      <x:c r="G117" s="47" t="n">
        <x:v>1</x:v>
      </x:c>
      <x:c r="H117" s="47" t="n">
        <x:v>1</x:v>
      </x:c>
      <x:c r="I117" s="47" t="str">
        <x:f>IF(AND(F117=H117,G117=H117),"Met","STOP")</x:f>
        <x:v>Met</x:v>
      </x:c>
    </x:row>
    <x:row r="118">
      <x:c r="A118" s="47" t="str">
        <x:v>B11001</x:v>
      </x:c>
      <x:c r="B118" s="47" t="str">
        <x:v>NYC-V3-R02</x:v>
      </x:c>
      <x:c r="C118" s="47" t="str">
        <x:v>living_alone_households</x:v>
      </x:c>
      <x:c r="D118" s="67" t="n">
        <x:v>0</x:v>
      </x:c>
      <x:c r="E118" s="67" t="n">
        <x:v>0</x:v>
      </x:c>
      <x:c r="F118" s="47" t="n">
        <x:v>1</x:v>
      </x:c>
      <x:c r="G118" s="47" t="n">
        <x:v>1</x:v>
      </x:c>
      <x:c r="H118" s="47" t="n">
        <x:v>1</x:v>
      </x:c>
      <x:c r="I118" s="47" t="str">
        <x:f>IF(AND(F118=H118,G118=H118),"Met","STOP")</x:f>
        <x:v>Met</x:v>
      </x:c>
    </x:row>
    <x:row r="119">
      <x:c r="A119" s="47" t="str">
        <x:v>B11001</x:v>
      </x:c>
      <x:c r="B119" s="47" t="str">
        <x:v>NYC-V3-R03</x:v>
      </x:c>
      <x:c r="C119" s="47" t="str">
        <x:v>households</x:v>
      </x:c>
      <x:c r="D119" s="67" t="n">
        <x:v>0</x:v>
      </x:c>
      <x:c r="E119" s="67" t="n">
        <x:v>-5.684341886080802e-14</x:v>
      </x:c>
      <x:c r="F119" s="47" t="n">
        <x:v>1</x:v>
      </x:c>
      <x:c r="G119" s="47" t="n">
        <x:v>1</x:v>
      </x:c>
      <x:c r="H119" s="47" t="n">
        <x:v>1</x:v>
      </x:c>
      <x:c r="I119" s="47" t="str">
        <x:f>IF(AND(F119=H119,G119=H119),"Met","STOP")</x:f>
        <x:v>Met</x:v>
      </x:c>
    </x:row>
    <x:row r="120">
      <x:c r="A120" s="47" t="str">
        <x:v>B11001</x:v>
      </x:c>
      <x:c r="B120" s="47" t="str">
        <x:v>NYC-V3-R03</x:v>
      </x:c>
      <x:c r="C120" s="47" t="str">
        <x:v>family_households</x:v>
      </x:c>
      <x:c r="D120" s="67" t="n">
        <x:v>0</x:v>
      </x:c>
      <x:c r="E120" s="67" t="n">
        <x:v>0</x:v>
      </x:c>
      <x:c r="F120" s="47" t="n">
        <x:v>1</x:v>
      </x:c>
      <x:c r="G120" s="47" t="n">
        <x:v>1</x:v>
      </x:c>
      <x:c r="H120" s="47" t="n">
        <x:v>1</x:v>
      </x:c>
      <x:c r="I120" s="47" t="str">
        <x:f>IF(AND(F120=H120,G120=H120),"Met","STOP")</x:f>
        <x:v>Met</x:v>
      </x:c>
    </x:row>
    <x:row r="121">
      <x:c r="A121" s="47" t="str">
        <x:v>B11001</x:v>
      </x:c>
      <x:c r="B121" s="47" t="str">
        <x:v>NYC-V3-R03</x:v>
      </x:c>
      <x:c r="C121" s="47" t="str">
        <x:v>nonfamily_households</x:v>
      </x:c>
      <x:c r="D121" s="67" t="n">
        <x:v>0</x:v>
      </x:c>
      <x:c r="E121" s="67" t="n">
        <x:v>0</x:v>
      </x:c>
      <x:c r="F121" s="47" t="n">
        <x:v>1</x:v>
      </x:c>
      <x:c r="G121" s="47" t="n">
        <x:v>1</x:v>
      </x:c>
      <x:c r="H121" s="47" t="n">
        <x:v>1</x:v>
      </x:c>
      <x:c r="I121" s="47" t="str">
        <x:f>IF(AND(F121=H121,G121=H121),"Met","STOP")</x:f>
        <x:v>Met</x:v>
      </x:c>
    </x:row>
    <x:row r="122">
      <x:c r="A122" s="47" t="str">
        <x:v>B11001</x:v>
      </x:c>
      <x:c r="B122" s="47" t="str">
        <x:v>NYC-V3-R03</x:v>
      </x:c>
      <x:c r="C122" s="47" t="str">
        <x:v>living_alone_households</x:v>
      </x:c>
      <x:c r="D122" s="67" t="n">
        <x:v>0</x:v>
      </x:c>
      <x:c r="E122" s="67" t="n">
        <x:v>-5.684341886080802e-14</x:v>
      </x:c>
      <x:c r="F122" s="47" t="n">
        <x:v>1</x:v>
      </x:c>
      <x:c r="G122" s="47" t="n">
        <x:v>1</x:v>
      </x:c>
      <x:c r="H122" s="47" t="n">
        <x:v>1</x:v>
      </x:c>
      <x:c r="I122" s="47" t="str">
        <x:f>IF(AND(F122=H122,G122=H122),"Met","STOP")</x:f>
        <x:v>Met</x:v>
      </x:c>
    </x:row>
    <x:row r="123">
      <x:c r="A123" s="47" t="str">
        <x:v>B11001</x:v>
      </x:c>
      <x:c r="B123" s="47" t="str">
        <x:v>NYC-V3-R04</x:v>
      </x:c>
      <x:c r="C123" s="47" t="str">
        <x:v>households</x:v>
      </x:c>
      <x:c r="D123" s="67" t="n">
        <x:v>0</x:v>
      </x:c>
      <x:c r="E123" s="67" t="n">
        <x:v>0</x:v>
      </x:c>
      <x:c r="F123" s="47" t="n">
        <x:v>1</x:v>
      </x:c>
      <x:c r="G123" s="47" t="n">
        <x:v>1</x:v>
      </x:c>
      <x:c r="H123" s="47" t="n">
        <x:v>1</x:v>
      </x:c>
      <x:c r="I123" s="47" t="str">
        <x:f>IF(AND(F123=H123,G123=H123),"Met","STOP")</x:f>
        <x:v>Met</x:v>
      </x:c>
    </x:row>
    <x:row r="124">
      <x:c r="A124" s="47" t="str">
        <x:v>B11001</x:v>
      </x:c>
      <x:c r="B124" s="47" t="str">
        <x:v>NYC-V3-R04</x:v>
      </x:c>
      <x:c r="C124" s="47" t="str">
        <x:v>family_households</x:v>
      </x:c>
      <x:c r="D124" s="67" t="n">
        <x:v>0</x:v>
      </x:c>
      <x:c r="E124" s="67" t="n">
        <x:v>0</x:v>
      </x:c>
      <x:c r="F124" s="47" t="n">
        <x:v>1</x:v>
      </x:c>
      <x:c r="G124" s="47" t="n">
        <x:v>1</x:v>
      </x:c>
      <x:c r="H124" s="47" t="n">
        <x:v>1</x:v>
      </x:c>
      <x:c r="I124" s="47" t="str">
        <x:f>IF(AND(F124=H124,G124=H124),"Met","STOP")</x:f>
        <x:v>Met</x:v>
      </x:c>
    </x:row>
    <x:row r="125">
      <x:c r="A125" s="47" t="str">
        <x:v>B11001</x:v>
      </x:c>
      <x:c r="B125" s="47" t="str">
        <x:v>NYC-V3-R04</x:v>
      </x:c>
      <x:c r="C125" s="47" t="str">
        <x:v>nonfamily_households</x:v>
      </x:c>
      <x:c r="D125" s="67" t="n">
        <x:v>0</x:v>
      </x:c>
      <x:c r="E125" s="67" t="n">
        <x:v>0</x:v>
      </x:c>
      <x:c r="F125" s="47" t="n">
        <x:v>1</x:v>
      </x:c>
      <x:c r="G125" s="47" t="n">
        <x:v>1</x:v>
      </x:c>
      <x:c r="H125" s="47" t="n">
        <x:v>1</x:v>
      </x:c>
      <x:c r="I125" s="47" t="str">
        <x:f>IF(AND(F125=H125,G125=H125),"Met","STOP")</x:f>
        <x:v>Met</x:v>
      </x:c>
    </x:row>
    <x:row r="126">
      <x:c r="A126" s="47" t="str">
        <x:v>B11001</x:v>
      </x:c>
      <x:c r="B126" s="47" t="str">
        <x:v>NYC-V3-R04</x:v>
      </x:c>
      <x:c r="C126" s="47" t="str">
        <x:v>living_alone_households</x:v>
      </x:c>
      <x:c r="D126" s="67" t="n">
        <x:v>0</x:v>
      </x:c>
      <x:c r="E126" s="67" t="n">
        <x:v>0</x:v>
      </x:c>
      <x:c r="F126" s="47" t="n">
        <x:v>1</x:v>
      </x:c>
      <x:c r="G126" s="47" t="n">
        <x:v>1</x:v>
      </x:c>
      <x:c r="H126" s="47" t="n">
        <x:v>1</x:v>
      </x:c>
      <x:c r="I126" s="47" t="str">
        <x:f>IF(AND(F126=H126,G126=H126),"Met","STOP")</x:f>
        <x:v>Met</x:v>
      </x:c>
    </x:row>
    <x:row r="127">
      <x:c r="A127" s="47" t="str">
        <x:v>B11005</x:v>
      </x:c>
      <x:c r="B127" s="47" t="str">
        <x:v>NYC-V1-R01</x:v>
      </x:c>
      <x:c r="C127" s="47" t="str">
        <x:v>households_with_children</x:v>
      </x:c>
      <x:c r="D127" s="67" t="n">
        <x:v>0</x:v>
      </x:c>
      <x:c r="E127" s="67" t="n">
        <x:v>-5.684341886080802e-14</x:v>
      </x:c>
      <x:c r="F127" s="47" t="n">
        <x:v>1</x:v>
      </x:c>
      <x:c r="G127" s="47" t="n">
        <x:v>1</x:v>
      </x:c>
      <x:c r="H127" s="47" t="n">
        <x:v>1</x:v>
      </x:c>
      <x:c r="I127" s="47" t="str">
        <x:f>IF(AND(F127=H127,G127=H127),"Met","STOP")</x:f>
        <x:v>Met</x:v>
      </x:c>
    </x:row>
    <x:row r="128">
      <x:c r="A128" s="47" t="str">
        <x:v>B11005</x:v>
      </x:c>
      <x:c r="B128" s="47" t="str">
        <x:v>NYC-V1-R02</x:v>
      </x:c>
      <x:c r="C128" s="47" t="str">
        <x:v>households_with_children</x:v>
      </x:c>
      <x:c r="D128" s="67" t="n">
        <x:v>0</x:v>
      </x:c>
      <x:c r="E128" s="67" t="n">
        <x:v>0</x:v>
      </x:c>
      <x:c r="F128" s="47" t="n">
        <x:v>1</x:v>
      </x:c>
      <x:c r="G128" s="47" t="n">
        <x:v>1</x:v>
      </x:c>
      <x:c r="H128" s="47" t="n">
        <x:v>1</x:v>
      </x:c>
      <x:c r="I128" s="47" t="str">
        <x:f>IF(AND(F128=H128,G128=H128),"Met","STOP")</x:f>
        <x:v>Met</x:v>
      </x:c>
    </x:row>
    <x:row r="129">
      <x:c r="A129" s="47" t="str">
        <x:v>B11005</x:v>
      </x:c>
      <x:c r="B129" s="47" t="str">
        <x:v>NYC-V1-R03</x:v>
      </x:c>
      <x:c r="C129" s="47" t="str">
        <x:v>households_with_children</x:v>
      </x:c>
      <x:c r="D129" s="67" t="n">
        <x:v>0</x:v>
      </x:c>
      <x:c r="E129" s="67" t="n">
        <x:v>0</x:v>
      </x:c>
      <x:c r="F129" s="47" t="n">
        <x:v>1</x:v>
      </x:c>
      <x:c r="G129" s="47" t="n">
        <x:v>1</x:v>
      </x:c>
      <x:c r="H129" s="47" t="n">
        <x:v>1</x:v>
      </x:c>
      <x:c r="I129" s="47" t="str">
        <x:f>IF(AND(F129=H129,G129=H129),"Met","STOP")</x:f>
        <x:v>Met</x:v>
      </x:c>
    </x:row>
    <x:row r="130">
      <x:c r="A130" s="47" t="str">
        <x:v>B11005</x:v>
      </x:c>
      <x:c r="B130" s="47" t="str">
        <x:v>NYC-V1-R04</x:v>
      </x:c>
      <x:c r="C130" s="47" t="str">
        <x:v>households_with_children</x:v>
      </x:c>
      <x:c r="D130" s="67" t="n">
        <x:v>0</x:v>
      </x:c>
      <x:c r="E130" s="67" t="n">
        <x:v>0</x:v>
      </x:c>
      <x:c r="F130" s="47" t="n">
        <x:v>1</x:v>
      </x:c>
      <x:c r="G130" s="47" t="n">
        <x:v>1</x:v>
      </x:c>
      <x:c r="H130" s="47" t="n">
        <x:v>1</x:v>
      </x:c>
      <x:c r="I130" s="47" t="str">
        <x:f>IF(AND(F130=H130,G130=H130),"Met","STOP")</x:f>
        <x:v>Met</x:v>
      </x:c>
    </x:row>
    <x:row r="131">
      <x:c r="A131" s="47" t="str">
        <x:v>B11005</x:v>
      </x:c>
      <x:c r="B131" s="47" t="str">
        <x:v>NYC-V2-R01</x:v>
      </x:c>
      <x:c r="C131" s="47" t="str">
        <x:v>households_with_children</x:v>
      </x:c>
      <x:c r="D131" s="67" t="n">
        <x:v>0</x:v>
      </x:c>
      <x:c r="E131" s="67" t="n">
        <x:v>0</x:v>
      </x:c>
      <x:c r="F131" s="47" t="n">
        <x:v>1</x:v>
      </x:c>
      <x:c r="G131" s="47" t="n">
        <x:v>1</x:v>
      </x:c>
      <x:c r="H131" s="47" t="n">
        <x:v>1</x:v>
      </x:c>
      <x:c r="I131" s="47" t="str">
        <x:f>IF(AND(F131=H131,G131=H131),"Met","STOP")</x:f>
        <x:v>Met</x:v>
      </x:c>
    </x:row>
    <x:row r="132">
      <x:c r="A132" s="47" t="str">
        <x:v>B11005</x:v>
      </x:c>
      <x:c r="B132" s="47" t="str">
        <x:v>NYC-V2-R02</x:v>
      </x:c>
      <x:c r="C132" s="47" t="str">
        <x:v>households_with_children</x:v>
      </x:c>
      <x:c r="D132" s="67" t="n">
        <x:v>0</x:v>
      </x:c>
      <x:c r="E132" s="67" t="n">
        <x:v>-5.684341886080802e-14</x:v>
      </x:c>
      <x:c r="F132" s="47" t="n">
        <x:v>1</x:v>
      </x:c>
      <x:c r="G132" s="47" t="n">
        <x:v>1</x:v>
      </x:c>
      <x:c r="H132" s="47" t="n">
        <x:v>1</x:v>
      </x:c>
      <x:c r="I132" s="47" t="str">
        <x:f>IF(AND(F132=H132,G132=H132),"Met","STOP")</x:f>
        <x:v>Met</x:v>
      </x:c>
    </x:row>
    <x:row r="133">
      <x:c r="A133" s="47" t="str">
        <x:v>B11005</x:v>
      </x:c>
      <x:c r="B133" s="47" t="str">
        <x:v>NYC-V2-R03</x:v>
      </x:c>
      <x:c r="C133" s="47" t="str">
        <x:v>households_with_children</x:v>
      </x:c>
      <x:c r="D133" s="67" t="n">
        <x:v>0</x:v>
      </x:c>
      <x:c r="E133" s="67" t="n">
        <x:v>-5.684341886080802e-14</x:v>
      </x:c>
      <x:c r="F133" s="47" t="n">
        <x:v>1</x:v>
      </x:c>
      <x:c r="G133" s="47" t="n">
        <x:v>1</x:v>
      </x:c>
      <x:c r="H133" s="47" t="n">
        <x:v>1</x:v>
      </x:c>
      <x:c r="I133" s="47" t="str">
        <x:f>IF(AND(F133=H133,G133=H133),"Met","STOP")</x:f>
        <x:v>Met</x:v>
      </x:c>
    </x:row>
    <x:row r="134">
      <x:c r="A134" s="47" t="str">
        <x:v>B11005</x:v>
      </x:c>
      <x:c r="B134" s="47" t="str">
        <x:v>NYC-V2-R04</x:v>
      </x:c>
      <x:c r="C134" s="47" t="str">
        <x:v>households_with_children</x:v>
      </x:c>
      <x:c r="D134" s="67" t="n">
        <x:v>0</x:v>
      </x:c>
      <x:c r="E134" s="67" t="n">
        <x:v>0</x:v>
      </x:c>
      <x:c r="F134" s="47" t="n">
        <x:v>1</x:v>
      </x:c>
      <x:c r="G134" s="47" t="n">
        <x:v>1</x:v>
      </x:c>
      <x:c r="H134" s="47" t="n">
        <x:v>1</x:v>
      </x:c>
      <x:c r="I134" s="47" t="str">
        <x:f>IF(AND(F134=H134,G134=H134),"Met","STOP")</x:f>
        <x:v>Met</x:v>
      </x:c>
    </x:row>
    <x:row r="135">
      <x:c r="A135" s="47" t="str">
        <x:v>B11005</x:v>
      </x:c>
      <x:c r="B135" s="47" t="str">
        <x:v>NYC-V3-R01</x:v>
      </x:c>
      <x:c r="C135" s="47" t="str">
        <x:v>households_with_children</x:v>
      </x:c>
      <x:c r="D135" s="67" t="n">
        <x:v>0</x:v>
      </x:c>
      <x:c r="E135" s="67" t="n">
        <x:v>0</x:v>
      </x:c>
      <x:c r="F135" s="47" t="n">
        <x:v>1</x:v>
      </x:c>
      <x:c r="G135" s="47" t="n">
        <x:v>1</x:v>
      </x:c>
      <x:c r="H135" s="47" t="n">
        <x:v>1</x:v>
      </x:c>
      <x:c r="I135" s="47" t="str">
        <x:f>IF(AND(F135=H135,G135=H135),"Met","STOP")</x:f>
        <x:v>Met</x:v>
      </x:c>
    </x:row>
    <x:row r="136">
      <x:c r="A136" s="47" t="str">
        <x:v>B11005</x:v>
      </x:c>
      <x:c r="B136" s="47" t="str">
        <x:v>NYC-V3-R02</x:v>
      </x:c>
      <x:c r="C136" s="47" t="str">
        <x:v>households_with_children</x:v>
      </x:c>
      <x:c r="D136" s="67" t="n">
        <x:v>0</x:v>
      </x:c>
      <x:c r="E136" s="67" t="n">
        <x:v>0</x:v>
      </x:c>
      <x:c r="F136" s="47" t="n">
        <x:v>1</x:v>
      </x:c>
      <x:c r="G136" s="47" t="n">
        <x:v>1</x:v>
      </x:c>
      <x:c r="H136" s="47" t="n">
        <x:v>1</x:v>
      </x:c>
      <x:c r="I136" s="47" t="str">
        <x:f>IF(AND(F136=H136,G136=H136),"Met","STOP")</x:f>
        <x:v>Met</x:v>
      </x:c>
    </x:row>
    <x:row r="137">
      <x:c r="A137" s="47" t="str">
        <x:v>B11005</x:v>
      </x:c>
      <x:c r="B137" s="47" t="str">
        <x:v>NYC-V3-R03</x:v>
      </x:c>
      <x:c r="C137" s="47" t="str">
        <x:v>households_with_children</x:v>
      </x:c>
      <x:c r="D137" s="67" t="n">
        <x:v>0</x:v>
      </x:c>
      <x:c r="E137" s="67" t="n">
        <x:v>-5.684341886080802e-14</x:v>
      </x:c>
      <x:c r="F137" s="47" t="n">
        <x:v>1</x:v>
      </x:c>
      <x:c r="G137" s="47" t="n">
        <x:v>1</x:v>
      </x:c>
      <x:c r="H137" s="47" t="n">
        <x:v>1</x:v>
      </x:c>
      <x:c r="I137" s="47" t="str">
        <x:f>IF(AND(F137=H137,G137=H137),"Met","STOP")</x:f>
        <x:v>Met</x:v>
      </x:c>
    </x:row>
    <x:row r="138">
      <x:c r="A138" s="47" t="str">
        <x:v>B11005</x:v>
      </x:c>
      <x:c r="B138" s="47" t="str">
        <x:v>NYC-V3-R04</x:v>
      </x:c>
      <x:c r="C138" s="47" t="str">
        <x:v>households_with_children</x:v>
      </x:c>
      <x:c r="D138" s="67" t="n">
        <x:v>0</x:v>
      </x:c>
      <x:c r="E138" s="67" t="n">
        <x:v>0</x:v>
      </x:c>
      <x:c r="F138" s="47" t="n">
        <x:v>1</x:v>
      </x:c>
      <x:c r="G138" s="47" t="n">
        <x:v>1</x:v>
      </x:c>
      <x:c r="H138" s="47" t="n">
        <x:v>1</x:v>
      </x:c>
      <x:c r="I138" s="47" t="str">
        <x:f>IF(AND(F138=H138,G138=H138),"Met","STOP")</x:f>
        <x:v>Met</x:v>
      </x:c>
    </x:row>
    <x:row r="139">
      <x:c r="A139" s="47" t="str">
        <x:v>B11007</x:v>
      </x:c>
      <x:c r="B139" s="47" t="str">
        <x:v>NYC-V1-R01</x:v>
      </x:c>
      <x:c r="C139" s="47" t="str">
        <x:v>households_with_age65</x:v>
      </x:c>
      <x:c r="D139" s="67" t="n">
        <x:v>0</x:v>
      </x:c>
      <x:c r="E139" s="67" t="n">
        <x:v>0</x:v>
      </x:c>
      <x:c r="F139" s="47" t="n">
        <x:v>1</x:v>
      </x:c>
      <x:c r="G139" s="47" t="n">
        <x:v>1</x:v>
      </x:c>
      <x:c r="H139" s="47" t="n">
        <x:v>1</x:v>
      </x:c>
      <x:c r="I139" s="47" t="str">
        <x:f>IF(AND(F139=H139,G139=H139),"Met","STOP")</x:f>
        <x:v>Met</x:v>
      </x:c>
    </x:row>
    <x:row r="140">
      <x:c r="A140" s="47" t="str">
        <x:v>B11007</x:v>
      </x:c>
      <x:c r="B140" s="47" t="str">
        <x:v>NYC-V1-R01</x:v>
      </x:c>
      <x:c r="C140" s="47" t="str">
        <x:v>age65_one_person_households</x:v>
      </x:c>
      <x:c r="D140" s="67" t="n">
        <x:v>0</x:v>
      </x:c>
      <x:c r="E140" s="67" t="n">
        <x:v>0</x:v>
      </x:c>
      <x:c r="F140" s="47" t="n">
        <x:v>1</x:v>
      </x:c>
      <x:c r="G140" s="47" t="n">
        <x:v>1</x:v>
      </x:c>
      <x:c r="H140" s="47" t="n">
        <x:v>1</x:v>
      </x:c>
      <x:c r="I140" s="47" t="str">
        <x:f>IF(AND(F140=H140,G140=H140),"Met","STOP")</x:f>
        <x:v>Met</x:v>
      </x:c>
    </x:row>
    <x:row r="141">
      <x:c r="A141" s="47" t="str">
        <x:v>B11007</x:v>
      </x:c>
      <x:c r="B141" s="47" t="str">
        <x:v>NYC-V1-R02</x:v>
      </x:c>
      <x:c r="C141" s="47" t="str">
        <x:v>households_with_age65</x:v>
      </x:c>
      <x:c r="D141" s="67" t="n">
        <x:v>0</x:v>
      </x:c>
      <x:c r="E141" s="67" t="n">
        <x:v>5.684341886080802e-14</x:v>
      </x:c>
      <x:c r="F141" s="47" t="n">
        <x:v>1</x:v>
      </x:c>
      <x:c r="G141" s="47" t="n">
        <x:v>1</x:v>
      </x:c>
      <x:c r="H141" s="47" t="n">
        <x:v>1</x:v>
      </x:c>
      <x:c r="I141" s="47" t="str">
        <x:f>IF(AND(F141=H141,G141=H141),"Met","STOP")</x:f>
        <x:v>Met</x:v>
      </x:c>
    </x:row>
    <x:row r="142">
      <x:c r="A142" s="47" t="str">
        <x:v>B11007</x:v>
      </x:c>
      <x:c r="B142" s="47" t="str">
        <x:v>NYC-V1-R02</x:v>
      </x:c>
      <x:c r="C142" s="47" t="str">
        <x:v>age65_one_person_households</x:v>
      </x:c>
      <x:c r="D142" s="67" t="n">
        <x:v>0</x:v>
      </x:c>
      <x:c r="E142" s="67" t="n">
        <x:v>0</x:v>
      </x:c>
      <x:c r="F142" s="47" t="n">
        <x:v>1</x:v>
      </x:c>
      <x:c r="G142" s="47" t="n">
        <x:v>1</x:v>
      </x:c>
      <x:c r="H142" s="47" t="n">
        <x:v>1</x:v>
      </x:c>
      <x:c r="I142" s="47" t="str">
        <x:f>IF(AND(F142=H142,G142=H142),"Met","STOP")</x:f>
        <x:v>Met</x:v>
      </x:c>
    </x:row>
    <x:row r="143">
      <x:c r="A143" s="47" t="str">
        <x:v>B11007</x:v>
      </x:c>
      <x:c r="B143" s="47" t="str">
        <x:v>NYC-V1-R03</x:v>
      </x:c>
      <x:c r="C143" s="47" t="str">
        <x:v>households_with_age65</x:v>
      </x:c>
      <x:c r="D143" s="67" t="n">
        <x:v>0</x:v>
      </x:c>
      <x:c r="E143" s="67" t="n">
        <x:v>0</x:v>
      </x:c>
      <x:c r="F143" s="47" t="n">
        <x:v>1</x:v>
      </x:c>
      <x:c r="G143" s="47" t="n">
        <x:v>1</x:v>
      </x:c>
      <x:c r="H143" s="47" t="n">
        <x:v>1</x:v>
      </x:c>
      <x:c r="I143" s="47" t="str">
        <x:f>IF(AND(F143=H143,G143=H143),"Met","STOP")</x:f>
        <x:v>Met</x:v>
      </x:c>
    </x:row>
    <x:row r="144">
      <x:c r="A144" s="47" t="str">
        <x:v>B11007</x:v>
      </x:c>
      <x:c r="B144" s="47" t="str">
        <x:v>NYC-V1-R03</x:v>
      </x:c>
      <x:c r="C144" s="47" t="str">
        <x:v>age65_one_person_households</x:v>
      </x:c>
      <x:c r="D144" s="67" t="n">
        <x:v>0</x:v>
      </x:c>
      <x:c r="E144" s="67" t="n">
        <x:v>0</x:v>
      </x:c>
      <x:c r="F144" s="47" t="n">
        <x:v>1</x:v>
      </x:c>
      <x:c r="G144" s="47" t="n">
        <x:v>1</x:v>
      </x:c>
      <x:c r="H144" s="47" t="n">
        <x:v>1</x:v>
      </x:c>
      <x:c r="I144" s="47" t="str">
        <x:f>IF(AND(F144=H144,G144=H144),"Met","STOP")</x:f>
        <x:v>Met</x:v>
      </x:c>
    </x:row>
    <x:row r="145">
      <x:c r="A145" s="47" t="str">
        <x:v>B11007</x:v>
      </x:c>
      <x:c r="B145" s="47" t="str">
        <x:v>NYC-V1-R04</x:v>
      </x:c>
      <x:c r="C145" s="47" t="str">
        <x:v>households_with_age65</x:v>
      </x:c>
      <x:c r="D145" s="67" t="n">
        <x:v>0</x:v>
      </x:c>
      <x:c r="E145" s="67" t="n">
        <x:v>0</x:v>
      </x:c>
      <x:c r="F145" s="47" t="n">
        <x:v>1</x:v>
      </x:c>
      <x:c r="G145" s="47" t="n">
        <x:v>1</x:v>
      </x:c>
      <x:c r="H145" s="47" t="n">
        <x:v>1</x:v>
      </x:c>
      <x:c r="I145" s="47" t="str">
        <x:f>IF(AND(F145=H145,G145=H145),"Met","STOP")</x:f>
        <x:v>Met</x:v>
      </x:c>
    </x:row>
    <x:row r="146">
      <x:c r="A146" s="47" t="str">
        <x:v>B11007</x:v>
      </x:c>
      <x:c r="B146" s="47" t="str">
        <x:v>NYC-V1-R04</x:v>
      </x:c>
      <x:c r="C146" s="47" t="str">
        <x:v>age65_one_person_households</x:v>
      </x:c>
      <x:c r="D146" s="67" t="n">
        <x:v>0</x:v>
      </x:c>
      <x:c r="E146" s="67" t="n">
        <x:v>0</x:v>
      </x:c>
      <x:c r="F146" s="47" t="n">
        <x:v>1</x:v>
      </x:c>
      <x:c r="G146" s="47" t="n">
        <x:v>1</x:v>
      </x:c>
      <x:c r="H146" s="47" t="n">
        <x:v>1</x:v>
      </x:c>
      <x:c r="I146" s="47" t="str">
        <x:f>IF(AND(F146=H146,G146=H146),"Met","STOP")</x:f>
        <x:v>Met</x:v>
      </x:c>
    </x:row>
    <x:row r="147">
      <x:c r="A147" s="47" t="str">
        <x:v>B11007</x:v>
      </x:c>
      <x:c r="B147" s="47" t="str">
        <x:v>NYC-V2-R01</x:v>
      </x:c>
      <x:c r="C147" s="47" t="str">
        <x:v>households_with_age65</x:v>
      </x:c>
      <x:c r="D147" s="67" t="n">
        <x:v>0</x:v>
      </x:c>
      <x:c r="E147" s="67" t="n">
        <x:v>0</x:v>
      </x:c>
      <x:c r="F147" s="47" t="n">
        <x:v>1</x:v>
      </x:c>
      <x:c r="G147" s="47" t="n">
        <x:v>1</x:v>
      </x:c>
      <x:c r="H147" s="47" t="n">
        <x:v>1</x:v>
      </x:c>
      <x:c r="I147" s="47" t="str">
        <x:f>IF(AND(F147=H147,G147=H147),"Met","STOP")</x:f>
        <x:v>Met</x:v>
      </x:c>
    </x:row>
    <x:row r="148">
      <x:c r="A148" s="47" t="str">
        <x:v>B11007</x:v>
      </x:c>
      <x:c r="B148" s="47" t="str">
        <x:v>NYC-V2-R01</x:v>
      </x:c>
      <x:c r="C148" s="47" t="str">
        <x:v>age65_one_person_households</x:v>
      </x:c>
      <x:c r="D148" s="67" t="n">
        <x:v>0</x:v>
      </x:c>
      <x:c r="E148" s="67" t="n">
        <x:v>0</x:v>
      </x:c>
      <x:c r="F148" s="47" t="n">
        <x:v>1</x:v>
      </x:c>
      <x:c r="G148" s="47" t="n">
        <x:v>1</x:v>
      </x:c>
      <x:c r="H148" s="47" t="n">
        <x:v>1</x:v>
      </x:c>
      <x:c r="I148" s="47" t="str">
        <x:f>IF(AND(F148=H148,G148=H148),"Met","STOP")</x:f>
        <x:v>Met</x:v>
      </x:c>
    </x:row>
    <x:row r="149">
      <x:c r="A149" s="47" t="str">
        <x:v>B11007</x:v>
      </x:c>
      <x:c r="B149" s="47" t="str">
        <x:v>NYC-V2-R02</x:v>
      </x:c>
      <x:c r="C149" s="47" t="str">
        <x:v>households_with_age65</x:v>
      </x:c>
      <x:c r="D149" s="67" t="n">
        <x:v>0</x:v>
      </x:c>
      <x:c r="E149" s="67" t="n">
        <x:v>0</x:v>
      </x:c>
      <x:c r="F149" s="47" t="n">
        <x:v>1</x:v>
      </x:c>
      <x:c r="G149" s="47" t="n">
        <x:v>1</x:v>
      </x:c>
      <x:c r="H149" s="47" t="n">
        <x:v>1</x:v>
      </x:c>
      <x:c r="I149" s="47" t="str">
        <x:f>IF(AND(F149=H149,G149=H149),"Met","STOP")</x:f>
        <x:v>Met</x:v>
      </x:c>
    </x:row>
    <x:row r="150">
      <x:c r="A150" s="47" t="str">
        <x:v>B11007</x:v>
      </x:c>
      <x:c r="B150" s="47" t="str">
        <x:v>NYC-V2-R02</x:v>
      </x:c>
      <x:c r="C150" s="47" t="str">
        <x:v>age65_one_person_households</x:v>
      </x:c>
      <x:c r="D150" s="67" t="n">
        <x:v>0</x:v>
      </x:c>
      <x:c r="E150" s="67" t="n">
        <x:v>0</x:v>
      </x:c>
      <x:c r="F150" s="47" t="n">
        <x:v>1</x:v>
      </x:c>
      <x:c r="G150" s="47" t="n">
        <x:v>1</x:v>
      </x:c>
      <x:c r="H150" s="47" t="n">
        <x:v>1</x:v>
      </x:c>
      <x:c r="I150" s="47" t="str">
        <x:f>IF(AND(F150=H150,G150=H150),"Met","STOP")</x:f>
        <x:v>Met</x:v>
      </x:c>
    </x:row>
    <x:row r="151">
      <x:c r="A151" s="47" t="str">
        <x:v>B11007</x:v>
      </x:c>
      <x:c r="B151" s="47" t="str">
        <x:v>NYC-V2-R03</x:v>
      </x:c>
      <x:c r="C151" s="47" t="str">
        <x:v>households_with_age65</x:v>
      </x:c>
      <x:c r="D151" s="67" t="n">
        <x:v>0</x:v>
      </x:c>
      <x:c r="E151" s="67" t="n">
        <x:v>0</x:v>
      </x:c>
      <x:c r="F151" s="47" t="n">
        <x:v>1</x:v>
      </x:c>
      <x:c r="G151" s="47" t="n">
        <x:v>1</x:v>
      </x:c>
      <x:c r="H151" s="47" t="n">
        <x:v>1</x:v>
      </x:c>
      <x:c r="I151" s="47" t="str">
        <x:f>IF(AND(F151=H151,G151=H151),"Met","STOP")</x:f>
        <x:v>Met</x:v>
      </x:c>
    </x:row>
    <x:row r="152">
      <x:c r="A152" s="47" t="str">
        <x:v>B11007</x:v>
      </x:c>
      <x:c r="B152" s="47" t="str">
        <x:v>NYC-V2-R03</x:v>
      </x:c>
      <x:c r="C152" s="47" t="str">
        <x:v>age65_one_person_households</x:v>
      </x:c>
      <x:c r="D152" s="67" t="n">
        <x:v>0</x:v>
      </x:c>
      <x:c r="E152" s="67" t="n">
        <x:v>0</x:v>
      </x:c>
      <x:c r="F152" s="47" t="n">
        <x:v>1</x:v>
      </x:c>
      <x:c r="G152" s="47" t="n">
        <x:v>1</x:v>
      </x:c>
      <x:c r="H152" s="47" t="n">
        <x:v>1</x:v>
      </x:c>
      <x:c r="I152" s="47" t="str">
        <x:f>IF(AND(F152=H152,G152=H152),"Met","STOP")</x:f>
        <x:v>Met</x:v>
      </x:c>
    </x:row>
    <x:row r="153">
      <x:c r="A153" s="47" t="str">
        <x:v>B11007</x:v>
      </x:c>
      <x:c r="B153" s="47" t="str">
        <x:v>NYC-V2-R04</x:v>
      </x:c>
      <x:c r="C153" s="47" t="str">
        <x:v>households_with_age65</x:v>
      </x:c>
      <x:c r="D153" s="67" t="n">
        <x:v>0</x:v>
      </x:c>
      <x:c r="E153" s="67" t="n">
        <x:v>0</x:v>
      </x:c>
      <x:c r="F153" s="47" t="n">
        <x:v>1</x:v>
      </x:c>
      <x:c r="G153" s="47" t="n">
        <x:v>1</x:v>
      </x:c>
      <x:c r="H153" s="47" t="n">
        <x:v>1</x:v>
      </x:c>
      <x:c r="I153" s="47" t="str">
        <x:f>IF(AND(F153=H153,G153=H153),"Met","STOP")</x:f>
        <x:v>Met</x:v>
      </x:c>
    </x:row>
    <x:row r="154">
      <x:c r="A154" s="47" t="str">
        <x:v>B11007</x:v>
      </x:c>
      <x:c r="B154" s="47" t="str">
        <x:v>NYC-V2-R04</x:v>
      </x:c>
      <x:c r="C154" s="47" t="str">
        <x:v>age65_one_person_households</x:v>
      </x:c>
      <x:c r="D154" s="67" t="n">
        <x:v>0</x:v>
      </x:c>
      <x:c r="E154" s="67" t="n">
        <x:v>0</x:v>
      </x:c>
      <x:c r="F154" s="47" t="n">
        <x:v>1</x:v>
      </x:c>
      <x:c r="G154" s="47" t="n">
        <x:v>1</x:v>
      </x:c>
      <x:c r="H154" s="47" t="n">
        <x:v>1</x:v>
      </x:c>
      <x:c r="I154" s="47" t="str">
        <x:f>IF(AND(F154=H154,G154=H154),"Met","STOP")</x:f>
        <x:v>Met</x:v>
      </x:c>
    </x:row>
    <x:row r="155">
      <x:c r="A155" s="47" t="str">
        <x:v>B11007</x:v>
      </x:c>
      <x:c r="B155" s="47" t="str">
        <x:v>NYC-V3-R01</x:v>
      </x:c>
      <x:c r="C155" s="47" t="str">
        <x:v>households_with_age65</x:v>
      </x:c>
      <x:c r="D155" s="67" t="n">
        <x:v>0</x:v>
      </x:c>
      <x:c r="E155" s="67" t="n">
        <x:v>0</x:v>
      </x:c>
      <x:c r="F155" s="47" t="n">
        <x:v>1</x:v>
      </x:c>
      <x:c r="G155" s="47" t="n">
        <x:v>1</x:v>
      </x:c>
      <x:c r="H155" s="47" t="n">
        <x:v>1</x:v>
      </x:c>
      <x:c r="I155" s="47" t="str">
        <x:f>IF(AND(F155=H155,G155=H155),"Met","STOP")</x:f>
        <x:v>Met</x:v>
      </x:c>
    </x:row>
    <x:row r="156">
      <x:c r="A156" s="47" t="str">
        <x:v>B11007</x:v>
      </x:c>
      <x:c r="B156" s="47" t="str">
        <x:v>NYC-V3-R01</x:v>
      </x:c>
      <x:c r="C156" s="47" t="str">
        <x:v>age65_one_person_households</x:v>
      </x:c>
      <x:c r="D156" s="67" t="n">
        <x:v>0</x:v>
      </x:c>
      <x:c r="E156" s="67" t="n">
        <x:v>-2.842170943040401e-14</x:v>
      </x:c>
      <x:c r="F156" s="47" t="n">
        <x:v>1</x:v>
      </x:c>
      <x:c r="G156" s="47" t="n">
        <x:v>1</x:v>
      </x:c>
      <x:c r="H156" s="47" t="n">
        <x:v>1</x:v>
      </x:c>
      <x:c r="I156" s="47" t="str">
        <x:f>IF(AND(F156=H156,G156=H156),"Met","STOP")</x:f>
        <x:v>Met</x:v>
      </x:c>
    </x:row>
    <x:row r="157">
      <x:c r="A157" s="47" t="str">
        <x:v>B11007</x:v>
      </x:c>
      <x:c r="B157" s="47" t="str">
        <x:v>NYC-V3-R02</x:v>
      </x:c>
      <x:c r="C157" s="47" t="str">
        <x:v>households_with_age65</x:v>
      </x:c>
      <x:c r="D157" s="67" t="n">
        <x:v>0</x:v>
      </x:c>
      <x:c r="E157" s="67" t="n">
        <x:v>0</x:v>
      </x:c>
      <x:c r="F157" s="47" t="n">
        <x:v>1</x:v>
      </x:c>
      <x:c r="G157" s="47" t="n">
        <x:v>1</x:v>
      </x:c>
      <x:c r="H157" s="47" t="n">
        <x:v>1</x:v>
      </x:c>
      <x:c r="I157" s="47" t="str">
        <x:f>IF(AND(F157=H157,G157=H157),"Met","STOP")</x:f>
        <x:v>Met</x:v>
      </x:c>
    </x:row>
    <x:row r="158">
      <x:c r="A158" s="47" t="str">
        <x:v>B11007</x:v>
      </x:c>
      <x:c r="B158" s="47" t="str">
        <x:v>NYC-V3-R02</x:v>
      </x:c>
      <x:c r="C158" s="47" t="str">
        <x:v>age65_one_person_households</x:v>
      </x:c>
      <x:c r="D158" s="67" t="n">
        <x:v>0</x:v>
      </x:c>
      <x:c r="E158" s="67" t="n">
        <x:v>0</x:v>
      </x:c>
      <x:c r="F158" s="47" t="n">
        <x:v>1</x:v>
      </x:c>
      <x:c r="G158" s="47" t="n">
        <x:v>1</x:v>
      </x:c>
      <x:c r="H158" s="47" t="n">
        <x:v>1</x:v>
      </x:c>
      <x:c r="I158" s="47" t="str">
        <x:f>IF(AND(F158=H158,G158=H158),"Met","STOP")</x:f>
        <x:v>Met</x:v>
      </x:c>
    </x:row>
    <x:row r="159">
      <x:c r="A159" s="47" t="str">
        <x:v>B11007</x:v>
      </x:c>
      <x:c r="B159" s="47" t="str">
        <x:v>NYC-V3-R03</x:v>
      </x:c>
      <x:c r="C159" s="47" t="str">
        <x:v>households_with_age65</x:v>
      </x:c>
      <x:c r="D159" s="67" t="n">
        <x:v>0</x:v>
      </x:c>
      <x:c r="E159" s="67" t="n">
        <x:v>0</x:v>
      </x:c>
      <x:c r="F159" s="47" t="n">
        <x:v>1</x:v>
      </x:c>
      <x:c r="G159" s="47" t="n">
        <x:v>1</x:v>
      </x:c>
      <x:c r="H159" s="47" t="n">
        <x:v>1</x:v>
      </x:c>
      <x:c r="I159" s="47" t="str">
        <x:f>IF(AND(F159=H159,G159=H159),"Met","STOP")</x:f>
        <x:v>Met</x:v>
      </x:c>
    </x:row>
    <x:row r="160">
      <x:c r="A160" s="47" t="str">
        <x:v>B11007</x:v>
      </x:c>
      <x:c r="B160" s="47" t="str">
        <x:v>NYC-V3-R03</x:v>
      </x:c>
      <x:c r="C160" s="47" t="str">
        <x:v>age65_one_person_households</x:v>
      </x:c>
      <x:c r="D160" s="67" t="n">
        <x:v>0</x:v>
      </x:c>
      <x:c r="E160" s="67" t="n">
        <x:v>0</x:v>
      </x:c>
      <x:c r="F160" s="47" t="n">
        <x:v>1</x:v>
      </x:c>
      <x:c r="G160" s="47" t="n">
        <x:v>1</x:v>
      </x:c>
      <x:c r="H160" s="47" t="n">
        <x:v>1</x:v>
      </x:c>
      <x:c r="I160" s="47" t="str">
        <x:f>IF(AND(F160=H160,G160=H160),"Met","STOP")</x:f>
        <x:v>Met</x:v>
      </x:c>
    </x:row>
    <x:row r="161">
      <x:c r="A161" s="47" t="str">
        <x:v>B11007</x:v>
      </x:c>
      <x:c r="B161" s="47" t="str">
        <x:v>NYC-V3-R04</x:v>
      </x:c>
      <x:c r="C161" s="47" t="str">
        <x:v>households_with_age65</x:v>
      </x:c>
      <x:c r="D161" s="67" t="n">
        <x:v>0</x:v>
      </x:c>
      <x:c r="E161" s="67" t="n">
        <x:v>0</x:v>
      </x:c>
      <x:c r="F161" s="47" t="n">
        <x:v>1</x:v>
      </x:c>
      <x:c r="G161" s="47" t="n">
        <x:v>1</x:v>
      </x:c>
      <x:c r="H161" s="47" t="n">
        <x:v>1</x:v>
      </x:c>
      <x:c r="I161" s="47" t="str">
        <x:f>IF(AND(F161=H161,G161=H161),"Met","STOP")</x:f>
        <x:v>Met</x:v>
      </x:c>
    </x:row>
    <x:row r="162">
      <x:c r="A162" s="47" t="str">
        <x:v>B11007</x:v>
      </x:c>
      <x:c r="B162" s="47" t="str">
        <x:v>NYC-V3-R04</x:v>
      </x:c>
      <x:c r="C162" s="47" t="str">
        <x:v>age65_one_person_households</x:v>
      </x:c>
      <x:c r="D162" s="67" t="n">
        <x:v>0</x:v>
      </x:c>
      <x:c r="E162" s="67" t="n">
        <x:v>0</x:v>
      </x:c>
      <x:c r="F162" s="47" t="n">
        <x:v>1</x:v>
      </x:c>
      <x:c r="G162" s="47" t="n">
        <x:v>1</x:v>
      </x:c>
      <x:c r="H162" s="47" t="n">
        <x:v>1</x:v>
      </x:c>
      <x:c r="I162" s="47" t="str">
        <x:f>IF(AND(F162=H162,G162=H162),"Met","STOP")</x:f>
        <x:v>Met</x:v>
      </x:c>
    </x:row>
    <x:row r="163">
      <x:c r="A163" s="47" t="str">
        <x:v>B18101</x:v>
      </x:c>
      <x:c r="B163" s="47" t="str">
        <x:v>NYC-V1-R01</x:v>
      </x:c>
      <x:c r="C163" s="47" t="str">
        <x:v>civilian_noninstitutionalized</x:v>
      </x:c>
      <x:c r="D163" s="67" t="n">
        <x:v>0</x:v>
      </x:c>
      <x:c r="E163" s="67" t="n">
        <x:v>0</x:v>
      </x:c>
      <x:c r="F163" s="47" t="n">
        <x:v>1</x:v>
      </x:c>
      <x:c r="G163" s="47" t="n">
        <x:v>1</x:v>
      </x:c>
      <x:c r="H163" s="47" t="n">
        <x:v>1</x:v>
      </x:c>
      <x:c r="I163" s="47" t="str">
        <x:f>IF(AND(F163=H163,G163=H163),"Met","STOP")</x:f>
        <x:v>Met</x:v>
      </x:c>
    </x:row>
    <x:row r="164">
      <x:c r="A164" s="47" t="str">
        <x:v>B18101</x:v>
      </x:c>
      <x:c r="B164" s="47" t="str">
        <x:v>NYC-V1-R01</x:v>
      </x:c>
      <x:c r="C164" s="47" t="str">
        <x:v>any_disability</x:v>
      </x:c>
      <x:c r="D164" s="67" t="n">
        <x:v>0</x:v>
      </x:c>
      <x:c r="E164" s="67" t="n">
        <x:v>0</x:v>
      </x:c>
      <x:c r="F164" s="47" t="n">
        <x:v>1</x:v>
      </x:c>
      <x:c r="G164" s="47" t="n">
        <x:v>1</x:v>
      </x:c>
      <x:c r="H164" s="47" t="n">
        <x:v>1</x:v>
      </x:c>
      <x:c r="I164" s="47" t="str">
        <x:f>IF(AND(F164=H164,G164=H164),"Met","STOP")</x:f>
        <x:v>Met</x:v>
      </x:c>
    </x:row>
    <x:row r="165">
      <x:c r="A165" s="47" t="str">
        <x:v>B18101</x:v>
      </x:c>
      <x:c r="B165" s="47" t="str">
        <x:v>NYC-V1-R01</x:v>
      </x:c>
      <x:c r="C165" s="47" t="str">
        <x:v>disability_under_18</x:v>
      </x:c>
      <x:c r="D165" s="67" t="n">
        <x:v>0</x:v>
      </x:c>
      <x:c r="E165" s="67" t="n">
        <x:v>0</x:v>
      </x:c>
      <x:c r="F165" s="47" t="n">
        <x:v>1</x:v>
      </x:c>
      <x:c r="G165" s="47" t="n">
        <x:v>1</x:v>
      </x:c>
      <x:c r="H165" s="47" t="n">
        <x:v>1</x:v>
      </x:c>
      <x:c r="I165" s="47" t="str">
        <x:f>IF(AND(F165=H165,G165=H165),"Met","STOP")</x:f>
        <x:v>Met</x:v>
      </x:c>
    </x:row>
    <x:row r="166">
      <x:c r="A166" s="47" t="str">
        <x:v>B18101</x:v>
      </x:c>
      <x:c r="B166" s="47" t="str">
        <x:v>NYC-V1-R01</x:v>
      </x:c>
      <x:c r="C166" s="47" t="str">
        <x:v>disability_18_64</x:v>
      </x:c>
      <x:c r="D166" s="67" t="n">
        <x:v>0</x:v>
      </x:c>
      <x:c r="E166" s="67" t="n">
        <x:v>5.684341886080802e-14</x:v>
      </x:c>
      <x:c r="F166" s="47" t="n">
        <x:v>1</x:v>
      </x:c>
      <x:c r="G166" s="47" t="n">
        <x:v>1</x:v>
      </x:c>
      <x:c r="H166" s="47" t="n">
        <x:v>1</x:v>
      </x:c>
      <x:c r="I166" s="47" t="str">
        <x:f>IF(AND(F166=H166,G166=H166),"Met","STOP")</x:f>
        <x:v>Met</x:v>
      </x:c>
    </x:row>
    <x:row r="167">
      <x:c r="A167" s="47" t="str">
        <x:v>B18101</x:v>
      </x:c>
      <x:c r="B167" s="47" t="str">
        <x:v>NYC-V1-R01</x:v>
      </x:c>
      <x:c r="C167" s="47" t="str">
        <x:v>disability_65_plus</x:v>
      </x:c>
      <x:c r="D167" s="67" t="n">
        <x:v>0</x:v>
      </x:c>
      <x:c r="E167" s="67" t="n">
        <x:v>0</x:v>
      </x:c>
      <x:c r="F167" s="47" t="n">
        <x:v>1</x:v>
      </x:c>
      <x:c r="G167" s="47" t="n">
        <x:v>1</x:v>
      </x:c>
      <x:c r="H167" s="47" t="n">
        <x:v>1</x:v>
      </x:c>
      <x:c r="I167" s="47" t="str">
        <x:f>IF(AND(F167=H167,G167=H167),"Met","STOP")</x:f>
        <x:v>Met</x:v>
      </x:c>
    </x:row>
    <x:row r="168">
      <x:c r="A168" s="47" t="str">
        <x:v>B18101</x:v>
      </x:c>
      <x:c r="B168" s="47" t="str">
        <x:v>NYC-V1-R02</x:v>
      </x:c>
      <x:c r="C168" s="47" t="str">
        <x:v>civilian_noninstitutionalized</x:v>
      </x:c>
      <x:c r="D168" s="67" t="n">
        <x:v>0</x:v>
      </x:c>
      <x:c r="E168" s="67" t="n">
        <x:v>0</x:v>
      </x:c>
      <x:c r="F168" s="47" t="n">
        <x:v>1</x:v>
      </x:c>
      <x:c r="G168" s="47" t="n">
        <x:v>1</x:v>
      </x:c>
      <x:c r="H168" s="47" t="n">
        <x:v>1</x:v>
      </x:c>
      <x:c r="I168" s="47" t="str">
        <x:f>IF(AND(F168=H168,G168=H168),"Met","STOP")</x:f>
        <x:v>Met</x:v>
      </x:c>
    </x:row>
    <x:row r="169">
      <x:c r="A169" s="47" t="str">
        <x:v>B18101</x:v>
      </x:c>
      <x:c r="B169" s="47" t="str">
        <x:v>NYC-V1-R02</x:v>
      </x:c>
      <x:c r="C169" s="47" t="str">
        <x:v>any_disability</x:v>
      </x:c>
      <x:c r="D169" s="67" t="n">
        <x:v>0</x:v>
      </x:c>
      <x:c r="E169" s="67" t="n">
        <x:v>0</x:v>
      </x:c>
      <x:c r="F169" s="47" t="n">
        <x:v>1</x:v>
      </x:c>
      <x:c r="G169" s="47" t="n">
        <x:v>1</x:v>
      </x:c>
      <x:c r="H169" s="47" t="n">
        <x:v>1</x:v>
      </x:c>
      <x:c r="I169" s="47" t="str">
        <x:f>IF(AND(F169=H169,G169=H169),"Met","STOP")</x:f>
        <x:v>Met</x:v>
      </x:c>
    </x:row>
    <x:row r="170">
      <x:c r="A170" s="47" t="str">
        <x:v>B18101</x:v>
      </x:c>
      <x:c r="B170" s="47" t="str">
        <x:v>NYC-V1-R02</x:v>
      </x:c>
      <x:c r="C170" s="47" t="str">
        <x:v>disability_under_18</x:v>
      </x:c>
      <x:c r="D170" s="67" t="n">
        <x:v>0</x:v>
      </x:c>
      <x:c r="E170" s="67" t="n">
        <x:v>0</x:v>
      </x:c>
      <x:c r="F170" s="47" t="n">
        <x:v>1</x:v>
      </x:c>
      <x:c r="G170" s="47" t="n">
        <x:v>1</x:v>
      </x:c>
      <x:c r="H170" s="47" t="n">
        <x:v>1</x:v>
      </x:c>
      <x:c r="I170" s="47" t="str">
        <x:f>IF(AND(F170=H170,G170=H170),"Met","STOP")</x:f>
        <x:v>Met</x:v>
      </x:c>
    </x:row>
    <x:row r="171">
      <x:c r="A171" s="47" t="str">
        <x:v>B18101</x:v>
      </x:c>
      <x:c r="B171" s="47" t="str">
        <x:v>NYC-V1-R02</x:v>
      </x:c>
      <x:c r="C171" s="47" t="str">
        <x:v>disability_18_64</x:v>
      </x:c>
      <x:c r="D171" s="67" t="n">
        <x:v>0</x:v>
      </x:c>
      <x:c r="E171" s="67" t="n">
        <x:v>0</x:v>
      </x:c>
      <x:c r="F171" s="47" t="n">
        <x:v>1</x:v>
      </x:c>
      <x:c r="G171" s="47" t="n">
        <x:v>1</x:v>
      </x:c>
      <x:c r="H171" s="47" t="n">
        <x:v>1</x:v>
      </x:c>
      <x:c r="I171" s="47" t="str">
        <x:f>IF(AND(F171=H171,G171=H171),"Met","STOP")</x:f>
        <x:v>Met</x:v>
      </x:c>
    </x:row>
    <x:row r="172">
      <x:c r="A172" s="47" t="str">
        <x:v>B18101</x:v>
      </x:c>
      <x:c r="B172" s="47" t="str">
        <x:v>NYC-V1-R02</x:v>
      </x:c>
      <x:c r="C172" s="47" t="str">
        <x:v>disability_65_plus</x:v>
      </x:c>
      <x:c r="D172" s="67" t="n">
        <x:v>0</x:v>
      </x:c>
      <x:c r="E172" s="67" t="n">
        <x:v>-2.842170943040401e-14</x:v>
      </x:c>
      <x:c r="F172" s="47" t="n">
        <x:v>1</x:v>
      </x:c>
      <x:c r="G172" s="47" t="n">
        <x:v>1</x:v>
      </x:c>
      <x:c r="H172" s="47" t="n">
        <x:v>1</x:v>
      </x:c>
      <x:c r="I172" s="47" t="str">
        <x:f>IF(AND(F172=H172,G172=H172),"Met","STOP")</x:f>
        <x:v>Met</x:v>
      </x:c>
    </x:row>
    <x:row r="173">
      <x:c r="A173" s="47" t="str">
        <x:v>B18101</x:v>
      </x:c>
      <x:c r="B173" s="47" t="str">
        <x:v>NYC-V1-R03</x:v>
      </x:c>
      <x:c r="C173" s="47" t="str">
        <x:v>civilian_noninstitutionalized</x:v>
      </x:c>
      <x:c r="D173" s="67" t="n">
        <x:v>0</x:v>
      </x:c>
      <x:c r="E173" s="67" t="n">
        <x:v>0</x:v>
      </x:c>
      <x:c r="F173" s="47" t="n">
        <x:v>1</x:v>
      </x:c>
      <x:c r="G173" s="47" t="n">
        <x:v>1</x:v>
      </x:c>
      <x:c r="H173" s="47" t="n">
        <x:v>1</x:v>
      </x:c>
      <x:c r="I173" s="47" t="str">
        <x:f>IF(AND(F173=H173,G173=H173),"Met","STOP")</x:f>
        <x:v>Met</x:v>
      </x:c>
    </x:row>
    <x:row r="174">
      <x:c r="A174" s="47" t="str">
        <x:v>B18101</x:v>
      </x:c>
      <x:c r="B174" s="47" t="str">
        <x:v>NYC-V1-R03</x:v>
      </x:c>
      <x:c r="C174" s="47" t="str">
        <x:v>any_disability</x:v>
      </x:c>
      <x:c r="D174" s="67" t="n">
        <x:v>0</x:v>
      </x:c>
      <x:c r="E174" s="67" t="n">
        <x:v>0</x:v>
      </x:c>
      <x:c r="F174" s="47" t="n">
        <x:v>1</x:v>
      </x:c>
      <x:c r="G174" s="47" t="n">
        <x:v>1</x:v>
      </x:c>
      <x:c r="H174" s="47" t="n">
        <x:v>1</x:v>
      </x:c>
      <x:c r="I174" s="47" t="str">
        <x:f>IF(AND(F174=H174,G174=H174),"Met","STOP")</x:f>
        <x:v>Met</x:v>
      </x:c>
    </x:row>
    <x:row r="175">
      <x:c r="A175" s="47" t="str">
        <x:v>B18101</x:v>
      </x:c>
      <x:c r="B175" s="47" t="str">
        <x:v>NYC-V1-R03</x:v>
      </x:c>
      <x:c r="C175" s="47" t="str">
        <x:v>disability_under_18</x:v>
      </x:c>
      <x:c r="D175" s="67" t="n">
        <x:v>0</x:v>
      </x:c>
      <x:c r="E175" s="67" t="n">
        <x:v>-7.105427357601002e-15</x:v>
      </x:c>
      <x:c r="F175" s="47" t="n">
        <x:v>1</x:v>
      </x:c>
      <x:c r="G175" s="47" t="n">
        <x:v>1</x:v>
      </x:c>
      <x:c r="H175" s="47" t="n">
        <x:v>1</x:v>
      </x:c>
      <x:c r="I175" s="47" t="str">
        <x:f>IF(AND(F175=H175,G175=H175),"Met","STOP")</x:f>
        <x:v>Met</x:v>
      </x:c>
    </x:row>
    <x:row r="176">
      <x:c r="A176" s="47" t="str">
        <x:v>B18101</x:v>
      </x:c>
      <x:c r="B176" s="47" t="str">
        <x:v>NYC-V1-R03</x:v>
      </x:c>
      <x:c r="C176" s="47" t="str">
        <x:v>disability_18_64</x:v>
      </x:c>
      <x:c r="D176" s="67" t="n">
        <x:v>0</x:v>
      </x:c>
      <x:c r="E176" s="67" t="n">
        <x:v>0</x:v>
      </x:c>
      <x:c r="F176" s="47" t="n">
        <x:v>1</x:v>
      </x:c>
      <x:c r="G176" s="47" t="n">
        <x:v>1</x:v>
      </x:c>
      <x:c r="H176" s="47" t="n">
        <x:v>1</x:v>
      </x:c>
      <x:c r="I176" s="47" t="str">
        <x:f>IF(AND(F176=H176,G176=H176),"Met","STOP")</x:f>
        <x:v>Met</x:v>
      </x:c>
    </x:row>
    <x:row r="177">
      <x:c r="A177" s="47" t="str">
        <x:v>B18101</x:v>
      </x:c>
      <x:c r="B177" s="47" t="str">
        <x:v>NYC-V1-R03</x:v>
      </x:c>
      <x:c r="C177" s="47" t="str">
        <x:v>disability_65_plus</x:v>
      </x:c>
      <x:c r="D177" s="67" t="n">
        <x:v>0</x:v>
      </x:c>
      <x:c r="E177" s="67" t="n">
        <x:v>-2.842170943040401e-14</x:v>
      </x:c>
      <x:c r="F177" s="47" t="n">
        <x:v>1</x:v>
      </x:c>
      <x:c r="G177" s="47" t="n">
        <x:v>1</x:v>
      </x:c>
      <x:c r="H177" s="47" t="n">
        <x:v>1</x:v>
      </x:c>
      <x:c r="I177" s="47" t="str">
        <x:f>IF(AND(F177=H177,G177=H177),"Met","STOP")</x:f>
        <x:v>Met</x:v>
      </x:c>
    </x:row>
    <x:row r="178">
      <x:c r="A178" s="47" t="str">
        <x:v>B18101</x:v>
      </x:c>
      <x:c r="B178" s="47" t="str">
        <x:v>NYC-V1-R04</x:v>
      </x:c>
      <x:c r="C178" s="47" t="str">
        <x:v>civilian_noninstitutionalized</x:v>
      </x:c>
      <x:c r="D178" s="67" t="n">
        <x:v>0</x:v>
      </x:c>
      <x:c r="E178" s="67" t="n">
        <x:v>0</x:v>
      </x:c>
      <x:c r="F178" s="47" t="n">
        <x:v>1</x:v>
      </x:c>
      <x:c r="G178" s="47" t="n">
        <x:v>1</x:v>
      </x:c>
      <x:c r="H178" s="47" t="n">
        <x:v>1</x:v>
      </x:c>
      <x:c r="I178" s="47" t="str">
        <x:f>IF(AND(F178=H178,G178=H178),"Met","STOP")</x:f>
        <x:v>Met</x:v>
      </x:c>
    </x:row>
    <x:row r="179">
      <x:c r="A179" s="47" t="str">
        <x:v>B18101</x:v>
      </x:c>
      <x:c r="B179" s="47" t="str">
        <x:v>NYC-V1-R04</x:v>
      </x:c>
      <x:c r="C179" s="47" t="str">
        <x:v>any_disability</x:v>
      </x:c>
      <x:c r="D179" s="67" t="n">
        <x:v>0</x:v>
      </x:c>
      <x:c r="E179" s="67" t="n">
        <x:v>0</x:v>
      </x:c>
      <x:c r="F179" s="47" t="n">
        <x:v>1</x:v>
      </x:c>
      <x:c r="G179" s="47" t="n">
        <x:v>1</x:v>
      </x:c>
      <x:c r="H179" s="47" t="n">
        <x:v>1</x:v>
      </x:c>
      <x:c r="I179" s="47" t="str">
        <x:f>IF(AND(F179=H179,G179=H179),"Met","STOP")</x:f>
        <x:v>Met</x:v>
      </x:c>
    </x:row>
    <x:row r="180">
      <x:c r="A180" s="47" t="str">
        <x:v>B18101</x:v>
      </x:c>
      <x:c r="B180" s="47" t="str">
        <x:v>NYC-V1-R04</x:v>
      </x:c>
      <x:c r="C180" s="47" t="str">
        <x:v>disability_under_18</x:v>
      </x:c>
      <x:c r="D180" s="67" t="n">
        <x:v>0</x:v>
      </x:c>
      <x:c r="E180" s="67" t="n">
        <x:v>0</x:v>
      </x:c>
      <x:c r="F180" s="47" t="n">
        <x:v>1</x:v>
      </x:c>
      <x:c r="G180" s="47" t="n">
        <x:v>1</x:v>
      </x:c>
      <x:c r="H180" s="47" t="n">
        <x:v>1</x:v>
      </x:c>
      <x:c r="I180" s="47" t="str">
        <x:f>IF(AND(F180=H180,G180=H180),"Met","STOP")</x:f>
        <x:v>Met</x:v>
      </x:c>
    </x:row>
    <x:row r="181">
      <x:c r="A181" s="47" t="str">
        <x:v>B18101</x:v>
      </x:c>
      <x:c r="B181" s="47" t="str">
        <x:v>NYC-V1-R04</x:v>
      </x:c>
      <x:c r="C181" s="47" t="str">
        <x:v>disability_18_64</x:v>
      </x:c>
      <x:c r="D181" s="67" t="n">
        <x:v>0</x:v>
      </x:c>
      <x:c r="E181" s="67" t="n">
        <x:v>0</x:v>
      </x:c>
      <x:c r="F181" s="47" t="n">
        <x:v>1</x:v>
      </x:c>
      <x:c r="G181" s="47" t="n">
        <x:v>1</x:v>
      </x:c>
      <x:c r="H181" s="47" t="n">
        <x:v>1</x:v>
      </x:c>
      <x:c r="I181" s="47" t="str">
        <x:f>IF(AND(F181=H181,G181=H181),"Met","STOP")</x:f>
        <x:v>Met</x:v>
      </x:c>
    </x:row>
    <x:row r="182">
      <x:c r="A182" s="47" t="str">
        <x:v>B18101</x:v>
      </x:c>
      <x:c r="B182" s="47" t="str">
        <x:v>NYC-V1-R04</x:v>
      </x:c>
      <x:c r="C182" s="47" t="str">
        <x:v>disability_65_plus</x:v>
      </x:c>
      <x:c r="D182" s="67" t="n">
        <x:v>0</x:v>
      </x:c>
      <x:c r="E182" s="67" t="n">
        <x:v>0</x:v>
      </x:c>
      <x:c r="F182" s="47" t="n">
        <x:v>1</x:v>
      </x:c>
      <x:c r="G182" s="47" t="n">
        <x:v>1</x:v>
      </x:c>
      <x:c r="H182" s="47" t="n">
        <x:v>1</x:v>
      </x:c>
      <x:c r="I182" s="47" t="str">
        <x:f>IF(AND(F182=H182,G182=H182),"Met","STOP")</x:f>
        <x:v>Met</x:v>
      </x:c>
    </x:row>
    <x:row r="183">
      <x:c r="A183" s="47" t="str">
        <x:v>B18101</x:v>
      </x:c>
      <x:c r="B183" s="47" t="str">
        <x:v>NYC-V2-R01</x:v>
      </x:c>
      <x:c r="C183" s="47" t="str">
        <x:v>civilian_noninstitutionalized</x:v>
      </x:c>
      <x:c r="D183" s="67" t="n">
        <x:v>0</x:v>
      </x:c>
      <x:c r="E183" s="67" t="n">
        <x:v>0</x:v>
      </x:c>
      <x:c r="F183" s="47" t="n">
        <x:v>1</x:v>
      </x:c>
      <x:c r="G183" s="47" t="n">
        <x:v>1</x:v>
      </x:c>
      <x:c r="H183" s="47" t="n">
        <x:v>1</x:v>
      </x:c>
      <x:c r="I183" s="47" t="str">
        <x:f>IF(AND(F183=H183,G183=H183),"Met","STOP")</x:f>
        <x:v>Met</x:v>
      </x:c>
    </x:row>
    <x:row r="184">
      <x:c r="A184" s="47" t="str">
        <x:v>B18101</x:v>
      </x:c>
      <x:c r="B184" s="47" t="str">
        <x:v>NYC-V2-R01</x:v>
      </x:c>
      <x:c r="C184" s="47" t="str">
        <x:v>any_disability</x:v>
      </x:c>
      <x:c r="D184" s="67" t="n">
        <x:v>0</x:v>
      </x:c>
      <x:c r="E184" s="67" t="n">
        <x:v>0</x:v>
      </x:c>
      <x:c r="F184" s="47" t="n">
        <x:v>1</x:v>
      </x:c>
      <x:c r="G184" s="47" t="n">
        <x:v>1</x:v>
      </x:c>
      <x:c r="H184" s="47" t="n">
        <x:v>1</x:v>
      </x:c>
      <x:c r="I184" s="47" t="str">
        <x:f>IF(AND(F184=H184,G184=H184),"Met","STOP")</x:f>
        <x:v>Met</x:v>
      </x:c>
    </x:row>
    <x:row r="185">
      <x:c r="A185" s="47" t="str">
        <x:v>B18101</x:v>
      </x:c>
      <x:c r="B185" s="47" t="str">
        <x:v>NYC-V2-R01</x:v>
      </x:c>
      <x:c r="C185" s="47" t="str">
        <x:v>disability_under_18</x:v>
      </x:c>
      <x:c r="D185" s="67" t="n">
        <x:v>0</x:v>
      </x:c>
      <x:c r="E185" s="67" t="n">
        <x:v>0</x:v>
      </x:c>
      <x:c r="F185" s="47" t="n">
        <x:v>1</x:v>
      </x:c>
      <x:c r="G185" s="47" t="n">
        <x:v>1</x:v>
      </x:c>
      <x:c r="H185" s="47" t="n">
        <x:v>1</x:v>
      </x:c>
      <x:c r="I185" s="47" t="str">
        <x:f>IF(AND(F185=H185,G185=H185),"Met","STOP")</x:f>
        <x:v>Met</x:v>
      </x:c>
    </x:row>
    <x:row r="186">
      <x:c r="A186" s="47" t="str">
        <x:v>B18101</x:v>
      </x:c>
      <x:c r="B186" s="47" t="str">
        <x:v>NYC-V2-R01</x:v>
      </x:c>
      <x:c r="C186" s="47" t="str">
        <x:v>disability_18_64</x:v>
      </x:c>
      <x:c r="D186" s="67" t="n">
        <x:v>0</x:v>
      </x:c>
      <x:c r="E186" s="67" t="n">
        <x:v>-5.684341886080802e-14</x:v>
      </x:c>
      <x:c r="F186" s="47" t="n">
        <x:v>1</x:v>
      </x:c>
      <x:c r="G186" s="47" t="n">
        <x:v>1</x:v>
      </x:c>
      <x:c r="H186" s="47" t="n">
        <x:v>1</x:v>
      </x:c>
      <x:c r="I186" s="47" t="str">
        <x:f>IF(AND(F186=H186,G186=H186),"Met","STOP")</x:f>
        <x:v>Met</x:v>
      </x:c>
    </x:row>
    <x:row r="187">
      <x:c r="A187" s="47" t="str">
        <x:v>B18101</x:v>
      </x:c>
      <x:c r="B187" s="47" t="str">
        <x:v>NYC-V2-R01</x:v>
      </x:c>
      <x:c r="C187" s="47" t="str">
        <x:v>disability_65_plus</x:v>
      </x:c>
      <x:c r="D187" s="67" t="n">
        <x:v>0</x:v>
      </x:c>
      <x:c r="E187" s="67" t="n">
        <x:v>0</x:v>
      </x:c>
      <x:c r="F187" s="47" t="n">
        <x:v>1</x:v>
      </x:c>
      <x:c r="G187" s="47" t="n">
        <x:v>1</x:v>
      </x:c>
      <x:c r="H187" s="47" t="n">
        <x:v>1</x:v>
      </x:c>
      <x:c r="I187" s="47" t="str">
        <x:f>IF(AND(F187=H187,G187=H187),"Met","STOP")</x:f>
        <x:v>Met</x:v>
      </x:c>
    </x:row>
    <x:row r="188">
      <x:c r="A188" s="47" t="str">
        <x:v>B18101</x:v>
      </x:c>
      <x:c r="B188" s="47" t="str">
        <x:v>NYC-V2-R02</x:v>
      </x:c>
      <x:c r="C188" s="47" t="str">
        <x:v>civilian_noninstitutionalized</x:v>
      </x:c>
      <x:c r="D188" s="67" t="n">
        <x:v>0</x:v>
      </x:c>
      <x:c r="E188" s="67" t="n">
        <x:v>2.2737367544323206e-13</x:v>
      </x:c>
      <x:c r="F188" s="47" t="n">
        <x:v>1</x:v>
      </x:c>
      <x:c r="G188" s="47" t="n">
        <x:v>1</x:v>
      </x:c>
      <x:c r="H188" s="47" t="n">
        <x:v>1</x:v>
      </x:c>
      <x:c r="I188" s="47" t="str">
        <x:f>IF(AND(F188=H188,G188=H188),"Met","STOP")</x:f>
        <x:v>Met</x:v>
      </x:c>
    </x:row>
    <x:row r="189">
      <x:c r="A189" s="47" t="str">
        <x:v>B18101</x:v>
      </x:c>
      <x:c r="B189" s="47" t="str">
        <x:v>NYC-V2-R02</x:v>
      </x:c>
      <x:c r="C189" s="47" t="str">
        <x:v>any_disability</x:v>
      </x:c>
      <x:c r="D189" s="67" t="n">
        <x:v>0</x:v>
      </x:c>
      <x:c r="E189" s="67" t="n">
        <x:v>0</x:v>
      </x:c>
      <x:c r="F189" s="47" t="n">
        <x:v>1</x:v>
      </x:c>
      <x:c r="G189" s="47" t="n">
        <x:v>1</x:v>
      </x:c>
      <x:c r="H189" s="47" t="n">
        <x:v>1</x:v>
      </x:c>
      <x:c r="I189" s="47" t="str">
        <x:f>IF(AND(F189=H189,G189=H189),"Met","STOP")</x:f>
        <x:v>Met</x:v>
      </x:c>
    </x:row>
    <x:row r="190">
      <x:c r="A190" s="47" t="str">
        <x:v>B18101</x:v>
      </x:c>
      <x:c r="B190" s="47" t="str">
        <x:v>NYC-V2-R02</x:v>
      </x:c>
      <x:c r="C190" s="47" t="str">
        <x:v>disability_under_18</x:v>
      </x:c>
      <x:c r="D190" s="67" t="n">
        <x:v>0</x:v>
      </x:c>
      <x:c r="E190" s="67" t="n">
        <x:v>0</x:v>
      </x:c>
      <x:c r="F190" s="47" t="n">
        <x:v>1</x:v>
      </x:c>
      <x:c r="G190" s="47" t="n">
        <x:v>1</x:v>
      </x:c>
      <x:c r="H190" s="47" t="n">
        <x:v>1</x:v>
      </x:c>
      <x:c r="I190" s="47" t="str">
        <x:f>IF(AND(F190=H190,G190=H190),"Met","STOP")</x:f>
        <x:v>Met</x:v>
      </x:c>
    </x:row>
    <x:row r="191">
      <x:c r="A191" s="47" t="str">
        <x:v>B18101</x:v>
      </x:c>
      <x:c r="B191" s="47" t="str">
        <x:v>NYC-V2-R02</x:v>
      </x:c>
      <x:c r="C191" s="47" t="str">
        <x:v>disability_18_64</x:v>
      </x:c>
      <x:c r="D191" s="67" t="n">
        <x:v>0</x:v>
      </x:c>
      <x:c r="E191" s="67" t="n">
        <x:v>0</x:v>
      </x:c>
      <x:c r="F191" s="47" t="n">
        <x:v>1</x:v>
      </x:c>
      <x:c r="G191" s="47" t="n">
        <x:v>1</x:v>
      </x:c>
      <x:c r="H191" s="47" t="n">
        <x:v>1</x:v>
      </x:c>
      <x:c r="I191" s="47" t="str">
        <x:f>IF(AND(F191=H191,G191=H191),"Met","STOP")</x:f>
        <x:v>Met</x:v>
      </x:c>
    </x:row>
    <x:row r="192">
      <x:c r="A192" s="47" t="str">
        <x:v>B18101</x:v>
      </x:c>
      <x:c r="B192" s="47" t="str">
        <x:v>NYC-V2-R02</x:v>
      </x:c>
      <x:c r="C192" s="47" t="str">
        <x:v>disability_65_plus</x:v>
      </x:c>
      <x:c r="D192" s="67" t="n">
        <x:v>0</x:v>
      </x:c>
      <x:c r="E192" s="67" t="n">
        <x:v>0</x:v>
      </x:c>
      <x:c r="F192" s="47" t="n">
        <x:v>1</x:v>
      </x:c>
      <x:c r="G192" s="47" t="n">
        <x:v>1</x:v>
      </x:c>
      <x:c r="H192" s="47" t="n">
        <x:v>1</x:v>
      </x:c>
      <x:c r="I192" s="47" t="str">
        <x:f>IF(AND(F192=H192,G192=H192),"Met","STOP")</x:f>
        <x:v>Met</x:v>
      </x:c>
    </x:row>
    <x:row r="193">
      <x:c r="A193" s="47" t="str">
        <x:v>B18101</x:v>
      </x:c>
      <x:c r="B193" s="47" t="str">
        <x:v>NYC-V2-R03</x:v>
      </x:c>
      <x:c r="C193" s="47" t="str">
        <x:v>civilian_noninstitutionalized</x:v>
      </x:c>
      <x:c r="D193" s="67" t="n">
        <x:v>0</x:v>
      </x:c>
      <x:c r="E193" s="67" t="n">
        <x:v>0</x:v>
      </x:c>
      <x:c r="F193" s="47" t="n">
        <x:v>1</x:v>
      </x:c>
      <x:c r="G193" s="47" t="n">
        <x:v>1</x:v>
      </x:c>
      <x:c r="H193" s="47" t="n">
        <x:v>1</x:v>
      </x:c>
      <x:c r="I193" s="47" t="str">
        <x:f>IF(AND(F193=H193,G193=H193),"Met","STOP")</x:f>
        <x:v>Met</x:v>
      </x:c>
    </x:row>
    <x:row r="194">
      <x:c r="A194" s="47" t="str">
        <x:v>B18101</x:v>
      </x:c>
      <x:c r="B194" s="47" t="str">
        <x:v>NYC-V2-R03</x:v>
      </x:c>
      <x:c r="C194" s="47" t="str">
        <x:v>any_disability</x:v>
      </x:c>
      <x:c r="D194" s="67" t="n">
        <x:v>0</x:v>
      </x:c>
      <x:c r="E194" s="67" t="n">
        <x:v>0</x:v>
      </x:c>
      <x:c r="F194" s="47" t="n">
        <x:v>1</x:v>
      </x:c>
      <x:c r="G194" s="47" t="n">
        <x:v>1</x:v>
      </x:c>
      <x:c r="H194" s="47" t="n">
        <x:v>1</x:v>
      </x:c>
      <x:c r="I194" s="47" t="str">
        <x:f>IF(AND(F194=H194,G194=H194),"Met","STOP")</x:f>
        <x:v>Met</x:v>
      </x:c>
    </x:row>
    <x:row r="195">
      <x:c r="A195" s="47" t="str">
        <x:v>B18101</x:v>
      </x:c>
      <x:c r="B195" s="47" t="str">
        <x:v>NYC-V2-R03</x:v>
      </x:c>
      <x:c r="C195" s="47" t="str">
        <x:v>disability_under_18</x:v>
      </x:c>
      <x:c r="D195" s="67" t="n">
        <x:v>0</x:v>
      </x:c>
      <x:c r="E195" s="67" t="n">
        <x:v>0</x:v>
      </x:c>
      <x:c r="F195" s="47" t="n">
        <x:v>1</x:v>
      </x:c>
      <x:c r="G195" s="47" t="n">
        <x:v>1</x:v>
      </x:c>
      <x:c r="H195" s="47" t="n">
        <x:v>1</x:v>
      </x:c>
      <x:c r="I195" s="47" t="str">
        <x:f>IF(AND(F195=H195,G195=H195),"Met","STOP")</x:f>
        <x:v>Met</x:v>
      </x:c>
    </x:row>
    <x:row r="196">
      <x:c r="A196" s="47" t="str">
        <x:v>B18101</x:v>
      </x:c>
      <x:c r="B196" s="47" t="str">
        <x:v>NYC-V2-R03</x:v>
      </x:c>
      <x:c r="C196" s="47" t="str">
        <x:v>disability_18_64</x:v>
      </x:c>
      <x:c r="D196" s="67" t="n">
        <x:v>0</x:v>
      </x:c>
      <x:c r="E196" s="67" t="n">
        <x:v>0</x:v>
      </x:c>
      <x:c r="F196" s="47" t="n">
        <x:v>1</x:v>
      </x:c>
      <x:c r="G196" s="47" t="n">
        <x:v>1</x:v>
      </x:c>
      <x:c r="H196" s="47" t="n">
        <x:v>1</x:v>
      </x:c>
      <x:c r="I196" s="47" t="str">
        <x:f>IF(AND(F196=H196,G196=H196),"Met","STOP")</x:f>
        <x:v>Met</x:v>
      </x:c>
    </x:row>
    <x:row r="197">
      <x:c r="A197" s="47" t="str">
        <x:v>B18101</x:v>
      </x:c>
      <x:c r="B197" s="47" t="str">
        <x:v>NYC-V2-R03</x:v>
      </x:c>
      <x:c r="C197" s="47" t="str">
        <x:v>disability_65_plus</x:v>
      </x:c>
      <x:c r="D197" s="67" t="n">
        <x:v>0</x:v>
      </x:c>
      <x:c r="E197" s="67" t="n">
        <x:v>0</x:v>
      </x:c>
      <x:c r="F197" s="47" t="n">
        <x:v>1</x:v>
      </x:c>
      <x:c r="G197" s="47" t="n">
        <x:v>1</x:v>
      </x:c>
      <x:c r="H197" s="47" t="n">
        <x:v>1</x:v>
      </x:c>
      <x:c r="I197" s="47" t="str">
        <x:f>IF(AND(F197=H197,G197=H197),"Met","STOP")</x:f>
        <x:v>Met</x:v>
      </x:c>
    </x:row>
    <x:row r="198">
      <x:c r="A198" s="47" t="str">
        <x:v>B18101</x:v>
      </x:c>
      <x:c r="B198" s="47" t="str">
        <x:v>NYC-V2-R04</x:v>
      </x:c>
      <x:c r="C198" s="47" t="str">
        <x:v>civilian_noninstitutionalized</x:v>
      </x:c>
      <x:c r="D198" s="67" t="n">
        <x:v>0</x:v>
      </x:c>
      <x:c r="E198" s="67" t="n">
        <x:v>-2.2737367544323206e-13</x:v>
      </x:c>
      <x:c r="F198" s="47" t="n">
        <x:v>1</x:v>
      </x:c>
      <x:c r="G198" s="47" t="n">
        <x:v>1</x:v>
      </x:c>
      <x:c r="H198" s="47" t="n">
        <x:v>1</x:v>
      </x:c>
      <x:c r="I198" s="47" t="str">
        <x:f>IF(AND(F198=H198,G198=H198),"Met","STOP")</x:f>
        <x:v>Met</x:v>
      </x:c>
    </x:row>
    <x:row r="199">
      <x:c r="A199" s="47" t="str">
        <x:v>B18101</x:v>
      </x:c>
      <x:c r="B199" s="47" t="str">
        <x:v>NYC-V2-R04</x:v>
      </x:c>
      <x:c r="C199" s="47" t="str">
        <x:v>any_disability</x:v>
      </x:c>
      <x:c r="D199" s="67" t="n">
        <x:v>0</x:v>
      </x:c>
      <x:c r="E199" s="67" t="n">
        <x:v>0</x:v>
      </x:c>
      <x:c r="F199" s="47" t="n">
        <x:v>1</x:v>
      </x:c>
      <x:c r="G199" s="47" t="n">
        <x:v>1</x:v>
      </x:c>
      <x:c r="H199" s="47" t="n">
        <x:v>1</x:v>
      </x:c>
      <x:c r="I199" s="47" t="str">
        <x:f>IF(AND(F199=H199,G199=H199),"Met","STOP")</x:f>
        <x:v>Met</x:v>
      </x:c>
    </x:row>
    <x:row r="200">
      <x:c r="A200" s="47" t="str">
        <x:v>B18101</x:v>
      </x:c>
      <x:c r="B200" s="47" t="str">
        <x:v>NYC-V2-R04</x:v>
      </x:c>
      <x:c r="C200" s="47" t="str">
        <x:v>disability_under_18</x:v>
      </x:c>
      <x:c r="D200" s="67" t="n">
        <x:v>0</x:v>
      </x:c>
      <x:c r="E200" s="67" t="n">
        <x:v>0</x:v>
      </x:c>
      <x:c r="F200" s="47" t="n">
        <x:v>1</x:v>
      </x:c>
      <x:c r="G200" s="47" t="n">
        <x:v>1</x:v>
      </x:c>
      <x:c r="H200" s="47" t="n">
        <x:v>1</x:v>
      </x:c>
      <x:c r="I200" s="47" t="str">
        <x:f>IF(AND(F200=H200,G200=H200),"Met","STOP")</x:f>
        <x:v>Met</x:v>
      </x:c>
    </x:row>
    <x:row r="201">
      <x:c r="A201" s="47" t="str">
        <x:v>B18101</x:v>
      </x:c>
      <x:c r="B201" s="47" t="str">
        <x:v>NYC-V2-R04</x:v>
      </x:c>
      <x:c r="C201" s="47" t="str">
        <x:v>disability_18_64</x:v>
      </x:c>
      <x:c r="D201" s="67" t="n">
        <x:v>0</x:v>
      </x:c>
      <x:c r="E201" s="67" t="n">
        <x:v>0</x:v>
      </x:c>
      <x:c r="F201" s="47" t="n">
        <x:v>1</x:v>
      </x:c>
      <x:c r="G201" s="47" t="n">
        <x:v>1</x:v>
      </x:c>
      <x:c r="H201" s="47" t="n">
        <x:v>1</x:v>
      </x:c>
      <x:c r="I201" s="47" t="str">
        <x:f>IF(AND(F201=H201,G201=H201),"Met","STOP")</x:f>
        <x:v>Met</x:v>
      </x:c>
    </x:row>
    <x:row r="202">
      <x:c r="A202" s="47" t="str">
        <x:v>B18101</x:v>
      </x:c>
      <x:c r="B202" s="47" t="str">
        <x:v>NYC-V2-R04</x:v>
      </x:c>
      <x:c r="C202" s="47" t="str">
        <x:v>disability_65_plus</x:v>
      </x:c>
      <x:c r="D202" s="67" t="n">
        <x:v>0</x:v>
      </x:c>
      <x:c r="E202" s="67" t="n">
        <x:v>0</x:v>
      </x:c>
      <x:c r="F202" s="47" t="n">
        <x:v>1</x:v>
      </x:c>
      <x:c r="G202" s="47" t="n">
        <x:v>1</x:v>
      </x:c>
      <x:c r="H202" s="47" t="n">
        <x:v>1</x:v>
      </x:c>
      <x:c r="I202" s="47" t="str">
        <x:f>IF(AND(F202=H202,G202=H202),"Met","STOP")</x:f>
        <x:v>Met</x:v>
      </x:c>
    </x:row>
    <x:row r="203">
      <x:c r="A203" s="47" t="str">
        <x:v>B18101</x:v>
      </x:c>
      <x:c r="B203" s="47" t="str">
        <x:v>NYC-V3-R01</x:v>
      </x:c>
      <x:c r="C203" s="47" t="str">
        <x:v>civilian_noninstitutionalized</x:v>
      </x:c>
      <x:c r="D203" s="67" t="n">
        <x:v>0</x:v>
      </x:c>
      <x:c r="E203" s="67" t="n">
        <x:v>0</x:v>
      </x:c>
      <x:c r="F203" s="47" t="n">
        <x:v>1</x:v>
      </x:c>
      <x:c r="G203" s="47" t="n">
        <x:v>1</x:v>
      </x:c>
      <x:c r="H203" s="47" t="n">
        <x:v>1</x:v>
      </x:c>
      <x:c r="I203" s="47" t="str">
        <x:f>IF(AND(F203=H203,G203=H203),"Met","STOP")</x:f>
        <x:v>Met</x:v>
      </x:c>
    </x:row>
    <x:row r="204">
      <x:c r="A204" s="47" t="str">
        <x:v>B18101</x:v>
      </x:c>
      <x:c r="B204" s="47" t="str">
        <x:v>NYC-V3-R01</x:v>
      </x:c>
      <x:c r="C204" s="47" t="str">
        <x:v>any_disability</x:v>
      </x:c>
      <x:c r="D204" s="67" t="n">
        <x:v>0</x:v>
      </x:c>
      <x:c r="E204" s="67" t="n">
        <x:v>0</x:v>
      </x:c>
      <x:c r="F204" s="47" t="n">
        <x:v>1</x:v>
      </x:c>
      <x:c r="G204" s="47" t="n">
        <x:v>1</x:v>
      </x:c>
      <x:c r="H204" s="47" t="n">
        <x:v>1</x:v>
      </x:c>
      <x:c r="I204" s="47" t="str">
        <x:f>IF(AND(F204=H204,G204=H204),"Met","STOP")</x:f>
        <x:v>Met</x:v>
      </x:c>
    </x:row>
    <x:row r="205">
      <x:c r="A205" s="47" t="str">
        <x:v>B18101</x:v>
      </x:c>
      <x:c r="B205" s="47" t="str">
        <x:v>NYC-V3-R01</x:v>
      </x:c>
      <x:c r="C205" s="47" t="str">
        <x:v>disability_under_18</x:v>
      </x:c>
      <x:c r="D205" s="67" t="n">
        <x:v>0</x:v>
      </x:c>
      <x:c r="E205" s="67" t="n">
        <x:v>-1.4210854715202004e-14</x:v>
      </x:c>
      <x:c r="F205" s="47" t="n">
        <x:v>1</x:v>
      </x:c>
      <x:c r="G205" s="47" t="n">
        <x:v>1</x:v>
      </x:c>
      <x:c r="H205" s="47" t="n">
        <x:v>1</x:v>
      </x:c>
      <x:c r="I205" s="47" t="str">
        <x:f>IF(AND(F205=H205,G205=H205),"Met","STOP")</x:f>
        <x:v>Met</x:v>
      </x:c>
    </x:row>
    <x:row r="206">
      <x:c r="A206" s="47" t="str">
        <x:v>B18101</x:v>
      </x:c>
      <x:c r="B206" s="47" t="str">
        <x:v>NYC-V3-R01</x:v>
      </x:c>
      <x:c r="C206" s="47" t="str">
        <x:v>disability_18_64</x:v>
      </x:c>
      <x:c r="D206" s="67" t="n">
        <x:v>0</x:v>
      </x:c>
      <x:c r="E206" s="67" t="n">
        <x:v>0</x:v>
      </x:c>
      <x:c r="F206" s="47" t="n">
        <x:v>1</x:v>
      </x:c>
      <x:c r="G206" s="47" t="n">
        <x:v>1</x:v>
      </x:c>
      <x:c r="H206" s="47" t="n">
        <x:v>1</x:v>
      </x:c>
      <x:c r="I206" s="47" t="str">
        <x:f>IF(AND(F206=H206,G206=H206),"Met","STOP")</x:f>
        <x:v>Met</x:v>
      </x:c>
    </x:row>
    <x:row r="207">
      <x:c r="A207" s="47" t="str">
        <x:v>B18101</x:v>
      </x:c>
      <x:c r="B207" s="47" t="str">
        <x:v>NYC-V3-R01</x:v>
      </x:c>
      <x:c r="C207" s="47" t="str">
        <x:v>disability_65_plus</x:v>
      </x:c>
      <x:c r="D207" s="67" t="n">
        <x:v>0</x:v>
      </x:c>
      <x:c r="E207" s="67" t="n">
        <x:v>0</x:v>
      </x:c>
      <x:c r="F207" s="47" t="n">
        <x:v>1</x:v>
      </x:c>
      <x:c r="G207" s="47" t="n">
        <x:v>1</x:v>
      </x:c>
      <x:c r="H207" s="47" t="n">
        <x:v>1</x:v>
      </x:c>
      <x:c r="I207" s="47" t="str">
        <x:f>IF(AND(F207=H207,G207=H207),"Met","STOP")</x:f>
        <x:v>Met</x:v>
      </x:c>
    </x:row>
    <x:row r="208">
      <x:c r="A208" s="47" t="str">
        <x:v>B18101</x:v>
      </x:c>
      <x:c r="B208" s="47" t="str">
        <x:v>NYC-V3-R02</x:v>
      </x:c>
      <x:c r="C208" s="47" t="str">
        <x:v>civilian_noninstitutionalized</x:v>
      </x:c>
      <x:c r="D208" s="67" t="n">
        <x:v>0</x:v>
      </x:c>
      <x:c r="E208" s="67" t="n">
        <x:v>0</x:v>
      </x:c>
      <x:c r="F208" s="47" t="n">
        <x:v>1</x:v>
      </x:c>
      <x:c r="G208" s="47" t="n">
        <x:v>1</x:v>
      </x:c>
      <x:c r="H208" s="47" t="n">
        <x:v>1</x:v>
      </x:c>
      <x:c r="I208" s="47" t="str">
        <x:f>IF(AND(F208=H208,G208=H208),"Met","STOP")</x:f>
        <x:v>Met</x:v>
      </x:c>
    </x:row>
    <x:row r="209">
      <x:c r="A209" s="47" t="str">
        <x:v>B18101</x:v>
      </x:c>
      <x:c r="B209" s="47" t="str">
        <x:v>NYC-V3-R02</x:v>
      </x:c>
      <x:c r="C209" s="47" t="str">
        <x:v>any_disability</x:v>
      </x:c>
      <x:c r="D209" s="67" t="n">
        <x:v>0</x:v>
      </x:c>
      <x:c r="E209" s="67" t="n">
        <x:v>-5.684341886080802e-14</x:v>
      </x:c>
      <x:c r="F209" s="47" t="n">
        <x:v>1</x:v>
      </x:c>
      <x:c r="G209" s="47" t="n">
        <x:v>1</x:v>
      </x:c>
      <x:c r="H209" s="47" t="n">
        <x:v>1</x:v>
      </x:c>
      <x:c r="I209" s="47" t="str">
        <x:f>IF(AND(F209=H209,G209=H209),"Met","STOP")</x:f>
        <x:v>Met</x:v>
      </x:c>
    </x:row>
    <x:row r="210">
      <x:c r="A210" s="47" t="str">
        <x:v>B18101</x:v>
      </x:c>
      <x:c r="B210" s="47" t="str">
        <x:v>NYC-V3-R02</x:v>
      </x:c>
      <x:c r="C210" s="47" t="str">
        <x:v>disability_under_18</x:v>
      </x:c>
      <x:c r="D210" s="67" t="n">
        <x:v>0</x:v>
      </x:c>
      <x:c r="E210" s="67" t="n">
        <x:v>0</x:v>
      </x:c>
      <x:c r="F210" s="47" t="n">
        <x:v>1</x:v>
      </x:c>
      <x:c r="G210" s="47" t="n">
        <x:v>1</x:v>
      </x:c>
      <x:c r="H210" s="47" t="n">
        <x:v>1</x:v>
      </x:c>
      <x:c r="I210" s="47" t="str">
        <x:f>IF(AND(F210=H210,G210=H210),"Met","STOP")</x:f>
        <x:v>Met</x:v>
      </x:c>
    </x:row>
    <x:row r="211">
      <x:c r="A211" s="47" t="str">
        <x:v>B18101</x:v>
      </x:c>
      <x:c r="B211" s="47" t="str">
        <x:v>NYC-V3-R02</x:v>
      </x:c>
      <x:c r="C211" s="47" t="str">
        <x:v>disability_18_64</x:v>
      </x:c>
      <x:c r="D211" s="67" t="n">
        <x:v>0</x:v>
      </x:c>
      <x:c r="E211" s="67" t="n">
        <x:v>0</x:v>
      </x:c>
      <x:c r="F211" s="47" t="n">
        <x:v>1</x:v>
      </x:c>
      <x:c r="G211" s="47" t="n">
        <x:v>1</x:v>
      </x:c>
      <x:c r="H211" s="47" t="n">
        <x:v>1</x:v>
      </x:c>
      <x:c r="I211" s="47" t="str">
        <x:f>IF(AND(F211=H211,G211=H211),"Met","STOP")</x:f>
        <x:v>Met</x:v>
      </x:c>
    </x:row>
    <x:row r="212">
      <x:c r="A212" s="47" t="str">
        <x:v>B18101</x:v>
      </x:c>
      <x:c r="B212" s="47" t="str">
        <x:v>NYC-V3-R02</x:v>
      </x:c>
      <x:c r="C212" s="47" t="str">
        <x:v>disability_65_plus</x:v>
      </x:c>
      <x:c r="D212" s="67" t="n">
        <x:v>0</x:v>
      </x:c>
      <x:c r="E212" s="67" t="n">
        <x:v>0</x:v>
      </x:c>
      <x:c r="F212" s="47" t="n">
        <x:v>1</x:v>
      </x:c>
      <x:c r="G212" s="47" t="n">
        <x:v>1</x:v>
      </x:c>
      <x:c r="H212" s="47" t="n">
        <x:v>1</x:v>
      </x:c>
      <x:c r="I212" s="47" t="str">
        <x:f>IF(AND(F212=H212,G212=H212),"Met","STOP")</x:f>
        <x:v>Met</x:v>
      </x:c>
    </x:row>
    <x:row r="213">
      <x:c r="A213" s="47" t="str">
        <x:v>B18101</x:v>
      </x:c>
      <x:c r="B213" s="47" t="str">
        <x:v>NYC-V3-R03</x:v>
      </x:c>
      <x:c r="C213" s="47" t="str">
        <x:v>civilian_noninstitutionalized</x:v>
      </x:c>
      <x:c r="D213" s="67" t="n">
        <x:v>0</x:v>
      </x:c>
      <x:c r="E213" s="67" t="n">
        <x:v>0</x:v>
      </x:c>
      <x:c r="F213" s="47" t="n">
        <x:v>1</x:v>
      </x:c>
      <x:c r="G213" s="47" t="n">
        <x:v>1</x:v>
      </x:c>
      <x:c r="H213" s="47" t="n">
        <x:v>1</x:v>
      </x:c>
      <x:c r="I213" s="47" t="str">
        <x:f>IF(AND(F213=H213,G213=H213),"Met","STOP")</x:f>
        <x:v>Met</x:v>
      </x:c>
    </x:row>
    <x:row r="214">
      <x:c r="A214" s="47" t="str">
        <x:v>B18101</x:v>
      </x:c>
      <x:c r="B214" s="47" t="str">
        <x:v>NYC-V3-R03</x:v>
      </x:c>
      <x:c r="C214" s="47" t="str">
        <x:v>any_disability</x:v>
      </x:c>
      <x:c r="D214" s="67" t="n">
        <x:v>0</x:v>
      </x:c>
      <x:c r="E214" s="67" t="n">
        <x:v>0</x:v>
      </x:c>
      <x:c r="F214" s="47" t="n">
        <x:v>1</x:v>
      </x:c>
      <x:c r="G214" s="47" t="n">
        <x:v>1</x:v>
      </x:c>
      <x:c r="H214" s="47" t="n">
        <x:v>1</x:v>
      </x:c>
      <x:c r="I214" s="47" t="str">
        <x:f>IF(AND(F214=H214,G214=H214),"Met","STOP")</x:f>
        <x:v>Met</x:v>
      </x:c>
    </x:row>
    <x:row r="215">
      <x:c r="A215" s="47" t="str">
        <x:v>B18101</x:v>
      </x:c>
      <x:c r="B215" s="47" t="str">
        <x:v>NYC-V3-R03</x:v>
      </x:c>
      <x:c r="C215" s="47" t="str">
        <x:v>disability_under_18</x:v>
      </x:c>
      <x:c r="D215" s="67" t="n">
        <x:v>0</x:v>
      </x:c>
      <x:c r="E215" s="67" t="n">
        <x:v>0</x:v>
      </x:c>
      <x:c r="F215" s="47" t="n">
        <x:v>1</x:v>
      </x:c>
      <x:c r="G215" s="47" t="n">
        <x:v>1</x:v>
      </x:c>
      <x:c r="H215" s="47" t="n">
        <x:v>1</x:v>
      </x:c>
      <x:c r="I215" s="47" t="str">
        <x:f>IF(AND(F215=H215,G215=H215),"Met","STOP")</x:f>
        <x:v>Met</x:v>
      </x:c>
    </x:row>
    <x:row r="216">
      <x:c r="A216" s="47" t="str">
        <x:v>B18101</x:v>
      </x:c>
      <x:c r="B216" s="47" t="str">
        <x:v>NYC-V3-R03</x:v>
      </x:c>
      <x:c r="C216" s="47" t="str">
        <x:v>disability_18_64</x:v>
      </x:c>
      <x:c r="D216" s="67" t="n">
        <x:v>0</x:v>
      </x:c>
      <x:c r="E216" s="67" t="n">
        <x:v>0</x:v>
      </x:c>
      <x:c r="F216" s="47" t="n">
        <x:v>1</x:v>
      </x:c>
      <x:c r="G216" s="47" t="n">
        <x:v>1</x:v>
      </x:c>
      <x:c r="H216" s="47" t="n">
        <x:v>1</x:v>
      </x:c>
      <x:c r="I216" s="47" t="str">
        <x:f>IF(AND(F216=H216,G216=H216),"Met","STOP")</x:f>
        <x:v>Met</x:v>
      </x:c>
    </x:row>
    <x:row r="217">
      <x:c r="A217" s="47" t="str">
        <x:v>B18101</x:v>
      </x:c>
      <x:c r="B217" s="47" t="str">
        <x:v>NYC-V3-R03</x:v>
      </x:c>
      <x:c r="C217" s="47" t="str">
        <x:v>disability_65_plus</x:v>
      </x:c>
      <x:c r="D217" s="67" t="n">
        <x:v>0</x:v>
      </x:c>
      <x:c r="E217" s="67" t="n">
        <x:v>0</x:v>
      </x:c>
      <x:c r="F217" s="47" t="n">
        <x:v>1</x:v>
      </x:c>
      <x:c r="G217" s="47" t="n">
        <x:v>1</x:v>
      </x:c>
      <x:c r="H217" s="47" t="n">
        <x:v>1</x:v>
      </x:c>
      <x:c r="I217" s="47" t="str">
        <x:f>IF(AND(F217=H217,G217=H217),"Met","STOP")</x:f>
        <x:v>Met</x:v>
      </x:c>
    </x:row>
    <x:row r="218">
      <x:c r="A218" s="47" t="str">
        <x:v>B18101</x:v>
      </x:c>
      <x:c r="B218" s="47" t="str">
        <x:v>NYC-V3-R04</x:v>
      </x:c>
      <x:c r="C218" s="47" t="str">
        <x:v>civilian_noninstitutionalized</x:v>
      </x:c>
      <x:c r="D218" s="67" t="n">
        <x:v>0</x:v>
      </x:c>
      <x:c r="E218" s="67" t="n">
        <x:v>0</x:v>
      </x:c>
      <x:c r="F218" s="47" t="n">
        <x:v>1</x:v>
      </x:c>
      <x:c r="G218" s="47" t="n">
        <x:v>1</x:v>
      </x:c>
      <x:c r="H218" s="47" t="n">
        <x:v>1</x:v>
      </x:c>
      <x:c r="I218" s="47" t="str">
        <x:f>IF(AND(F218=H218,G218=H218),"Met","STOP")</x:f>
        <x:v>Met</x:v>
      </x:c>
    </x:row>
    <x:row r="219">
      <x:c r="A219" s="47" t="str">
        <x:v>B18101</x:v>
      </x:c>
      <x:c r="B219" s="47" t="str">
        <x:v>NYC-V3-R04</x:v>
      </x:c>
      <x:c r="C219" s="47" t="str">
        <x:v>any_disability</x:v>
      </x:c>
      <x:c r="D219" s="67" t="n">
        <x:v>0</x:v>
      </x:c>
      <x:c r="E219" s="67" t="n">
        <x:v>0</x:v>
      </x:c>
      <x:c r="F219" s="47" t="n">
        <x:v>1</x:v>
      </x:c>
      <x:c r="G219" s="47" t="n">
        <x:v>1</x:v>
      </x:c>
      <x:c r="H219" s="47" t="n">
        <x:v>1</x:v>
      </x:c>
      <x:c r="I219" s="47" t="str">
        <x:f>IF(AND(F219=H219,G219=H219),"Met","STOP")</x:f>
        <x:v>Met</x:v>
      </x:c>
    </x:row>
    <x:row r="220">
      <x:c r="A220" s="47" t="str">
        <x:v>B18101</x:v>
      </x:c>
      <x:c r="B220" s="47" t="str">
        <x:v>NYC-V3-R04</x:v>
      </x:c>
      <x:c r="C220" s="47" t="str">
        <x:v>disability_under_18</x:v>
      </x:c>
      <x:c r="D220" s="67" t="n">
        <x:v>0</x:v>
      </x:c>
      <x:c r="E220" s="67" t="n">
        <x:v>0</x:v>
      </x:c>
      <x:c r="F220" s="47" t="n">
        <x:v>1</x:v>
      </x:c>
      <x:c r="G220" s="47" t="n">
        <x:v>1</x:v>
      </x:c>
      <x:c r="H220" s="47" t="n">
        <x:v>1</x:v>
      </x:c>
      <x:c r="I220" s="47" t="str">
        <x:f>IF(AND(F220=H220,G220=H220),"Met","STOP")</x:f>
        <x:v>Met</x:v>
      </x:c>
    </x:row>
    <x:row r="221">
      <x:c r="A221" s="47" t="str">
        <x:v>B18101</x:v>
      </x:c>
      <x:c r="B221" s="47" t="str">
        <x:v>NYC-V3-R04</x:v>
      </x:c>
      <x:c r="C221" s="47" t="str">
        <x:v>disability_18_64</x:v>
      </x:c>
      <x:c r="D221" s="67" t="n">
        <x:v>0</x:v>
      </x:c>
      <x:c r="E221" s="67" t="n">
        <x:v>0</x:v>
      </x:c>
      <x:c r="F221" s="47" t="n">
        <x:v>1</x:v>
      </x:c>
      <x:c r="G221" s="47" t="n">
        <x:v>1</x:v>
      </x:c>
      <x:c r="H221" s="47" t="n">
        <x:v>1</x:v>
      </x:c>
      <x:c r="I221" s="47" t="str">
        <x:f>IF(AND(F221=H221,G221=H221),"Met","STOP")</x:f>
        <x:v>Met</x:v>
      </x:c>
    </x:row>
    <x:row r="222">
      <x:c r="A222" s="47" t="str">
        <x:v>B18101</x:v>
      </x:c>
      <x:c r="B222" s="47" t="str">
        <x:v>NYC-V3-R04</x:v>
      </x:c>
      <x:c r="C222" s="47" t="str">
        <x:v>disability_65_plus</x:v>
      </x:c>
      <x:c r="D222" s="67" t="n">
        <x:v>0</x:v>
      </x:c>
      <x:c r="E222" s="67" t="n">
        <x:v>0</x:v>
      </x:c>
      <x:c r="F222" s="47" t="n">
        <x:v>1</x:v>
      </x:c>
      <x:c r="G222" s="47" t="n">
        <x:v>1</x:v>
      </x:c>
      <x:c r="H222" s="47" t="n">
        <x:v>1</x:v>
      </x:c>
      <x:c r="I222" s="47" t="str">
        <x:f>IF(AND(F222=H222,G222=H222),"Met","STOP")</x:f>
        <x:v>Met</x:v>
      </x:c>
    </x:row>
    <x:row r="223">
      <x:c r="A223" s="47" t="str">
        <x:v>B25002</x:v>
      </x:c>
      <x:c r="B223" s="47" t="str">
        <x:v>NYC-V1-R01</x:v>
      </x:c>
      <x:c r="C223" s="47" t="str">
        <x:v>housing_units</x:v>
      </x:c>
      <x:c r="D223" s="67" t="n">
        <x:v>0</x:v>
      </x:c>
      <x:c r="E223" s="67" t="n">
        <x:v>0</x:v>
      </x:c>
      <x:c r="F223" s="47" t="n">
        <x:v>1</x:v>
      </x:c>
      <x:c r="G223" s="47" t="n">
        <x:v>1</x:v>
      </x:c>
      <x:c r="H223" s="47" t="n">
        <x:v>1</x:v>
      </x:c>
      <x:c r="I223" s="47" t="str">
        <x:f>IF(AND(F223=H223,G223=H223),"Met","STOP")</x:f>
        <x:v>Met</x:v>
      </x:c>
    </x:row>
    <x:row r="224">
      <x:c r="A224" s="47" t="str">
        <x:v>B25002</x:v>
      </x:c>
      <x:c r="B224" s="47" t="str">
        <x:v>NYC-V1-R01</x:v>
      </x:c>
      <x:c r="C224" s="47" t="str">
        <x:v>occupied_housing_units</x:v>
      </x:c>
      <x:c r="D224" s="67" t="n">
        <x:v>0</x:v>
      </x:c>
      <x:c r="E224" s="67" t="n">
        <x:v>0</x:v>
      </x:c>
      <x:c r="F224" s="47" t="n">
        <x:v>1</x:v>
      </x:c>
      <x:c r="G224" s="47" t="n">
        <x:v>1</x:v>
      </x:c>
      <x:c r="H224" s="47" t="n">
        <x:v>1</x:v>
      </x:c>
      <x:c r="I224" s="47" t="str">
        <x:f>IF(AND(F224=H224,G224=H224),"Met","STOP")</x:f>
        <x:v>Met</x:v>
      </x:c>
    </x:row>
    <x:row r="225">
      <x:c r="A225" s="47" t="str">
        <x:v>B25002</x:v>
      </x:c>
      <x:c r="B225" s="47" t="str">
        <x:v>NYC-V1-R01</x:v>
      </x:c>
      <x:c r="C225" s="47" t="str">
        <x:v>vacant_housing_units</x:v>
      </x:c>
      <x:c r="D225" s="67" t="n">
        <x:v>0</x:v>
      </x:c>
      <x:c r="E225" s="67" t="n">
        <x:v>0</x:v>
      </x:c>
      <x:c r="F225" s="47" t="n">
        <x:v>1</x:v>
      </x:c>
      <x:c r="G225" s="47" t="n">
        <x:v>1</x:v>
      </x:c>
      <x:c r="H225" s="47" t="n">
        <x:v>1</x:v>
      </x:c>
      <x:c r="I225" s="47" t="str">
        <x:f>IF(AND(F225=H225,G225=H225),"Met","STOP")</x:f>
        <x:v>Met</x:v>
      </x:c>
    </x:row>
    <x:row r="226">
      <x:c r="A226" s="47" t="str">
        <x:v>B25002</x:v>
      </x:c>
      <x:c r="B226" s="47" t="str">
        <x:v>NYC-V1-R02</x:v>
      </x:c>
      <x:c r="C226" s="47" t="str">
        <x:v>housing_units</x:v>
      </x:c>
      <x:c r="D226" s="67" t="n">
        <x:v>0</x:v>
      </x:c>
      <x:c r="E226" s="67" t="n">
        <x:v>0</x:v>
      </x:c>
      <x:c r="F226" s="47" t="n">
        <x:v>1</x:v>
      </x:c>
      <x:c r="G226" s="47" t="n">
        <x:v>1</x:v>
      </x:c>
      <x:c r="H226" s="47" t="n">
        <x:v>1</x:v>
      </x:c>
      <x:c r="I226" s="47" t="str">
        <x:f>IF(AND(F226=H226,G226=H226),"Met","STOP")</x:f>
        <x:v>Met</x:v>
      </x:c>
    </x:row>
    <x:row r="227">
      <x:c r="A227" s="47" t="str">
        <x:v>B25002</x:v>
      </x:c>
      <x:c r="B227" s="47" t="str">
        <x:v>NYC-V1-R02</x:v>
      </x:c>
      <x:c r="C227" s="47" t="str">
        <x:v>occupied_housing_units</x:v>
      </x:c>
      <x:c r="D227" s="67" t="n">
        <x:v>0</x:v>
      </x:c>
      <x:c r="E227" s="67" t="n">
        <x:v>0</x:v>
      </x:c>
      <x:c r="F227" s="47" t="n">
        <x:v>1</x:v>
      </x:c>
      <x:c r="G227" s="47" t="n">
        <x:v>1</x:v>
      </x:c>
      <x:c r="H227" s="47" t="n">
        <x:v>1</x:v>
      </x:c>
      <x:c r="I227" s="47" t="str">
        <x:f>IF(AND(F227=H227,G227=H227),"Met","STOP")</x:f>
        <x:v>Met</x:v>
      </x:c>
    </x:row>
    <x:row r="228">
      <x:c r="A228" s="47" t="str">
        <x:v>B25002</x:v>
      </x:c>
      <x:c r="B228" s="47" t="str">
        <x:v>NYC-V1-R02</x:v>
      </x:c>
      <x:c r="C228" s="47" t="str">
        <x:v>vacant_housing_units</x:v>
      </x:c>
      <x:c r="D228" s="67" t="n">
        <x:v>0</x:v>
      </x:c>
      <x:c r="E228" s="67" t="n">
        <x:v>0</x:v>
      </x:c>
      <x:c r="F228" s="47" t="n">
        <x:v>1</x:v>
      </x:c>
      <x:c r="G228" s="47" t="n">
        <x:v>1</x:v>
      </x:c>
      <x:c r="H228" s="47" t="n">
        <x:v>1</x:v>
      </x:c>
      <x:c r="I228" s="47" t="str">
        <x:f>IF(AND(F228=H228,G228=H228),"Met","STOP")</x:f>
        <x:v>Met</x:v>
      </x:c>
    </x:row>
    <x:row r="229">
      <x:c r="A229" s="47" t="str">
        <x:v>B25002</x:v>
      </x:c>
      <x:c r="B229" s="47" t="str">
        <x:v>NYC-V1-R03</x:v>
      </x:c>
      <x:c r="C229" s="47" t="str">
        <x:v>housing_units</x:v>
      </x:c>
      <x:c r="D229" s="67" t="n">
        <x:v>0</x:v>
      </x:c>
      <x:c r="E229" s="67" t="n">
        <x:v>0</x:v>
      </x:c>
      <x:c r="F229" s="47" t="n">
        <x:v>1</x:v>
      </x:c>
      <x:c r="G229" s="47" t="n">
        <x:v>1</x:v>
      </x:c>
      <x:c r="H229" s="47" t="n">
        <x:v>1</x:v>
      </x:c>
      <x:c r="I229" s="47" t="str">
        <x:f>IF(AND(F229=H229,G229=H229),"Met","STOP")</x:f>
        <x:v>Met</x:v>
      </x:c>
    </x:row>
    <x:row r="230">
      <x:c r="A230" s="47" t="str">
        <x:v>B25002</x:v>
      </x:c>
      <x:c r="B230" s="47" t="str">
        <x:v>NYC-V1-R03</x:v>
      </x:c>
      <x:c r="C230" s="47" t="str">
        <x:v>occupied_housing_units</x:v>
      </x:c>
      <x:c r="D230" s="67" t="n">
        <x:v>0</x:v>
      </x:c>
      <x:c r="E230" s="67" t="n">
        <x:v>0</x:v>
      </x:c>
      <x:c r="F230" s="47" t="n">
        <x:v>1</x:v>
      </x:c>
      <x:c r="G230" s="47" t="n">
        <x:v>1</x:v>
      </x:c>
      <x:c r="H230" s="47" t="n">
        <x:v>1</x:v>
      </x:c>
      <x:c r="I230" s="47" t="str">
        <x:f>IF(AND(F230=H230,G230=H230),"Met","STOP")</x:f>
        <x:v>Met</x:v>
      </x:c>
    </x:row>
    <x:row r="231">
      <x:c r="A231" s="47" t="str">
        <x:v>B25002</x:v>
      </x:c>
      <x:c r="B231" s="47" t="str">
        <x:v>NYC-V1-R03</x:v>
      </x:c>
      <x:c r="C231" s="47" t="str">
        <x:v>vacant_housing_units</x:v>
      </x:c>
      <x:c r="D231" s="67" t="n">
        <x:v>0</x:v>
      </x:c>
      <x:c r="E231" s="67" t="n">
        <x:v>0</x:v>
      </x:c>
      <x:c r="F231" s="47" t="n">
        <x:v>1</x:v>
      </x:c>
      <x:c r="G231" s="47" t="n">
        <x:v>1</x:v>
      </x:c>
      <x:c r="H231" s="47" t="n">
        <x:v>1</x:v>
      </x:c>
      <x:c r="I231" s="47" t="str">
        <x:f>IF(AND(F231=H231,G231=H231),"Met","STOP")</x:f>
        <x:v>Met</x:v>
      </x:c>
    </x:row>
    <x:row r="232">
      <x:c r="A232" s="47" t="str">
        <x:v>B25002</x:v>
      </x:c>
      <x:c r="B232" s="47" t="str">
        <x:v>NYC-V1-R04</x:v>
      </x:c>
      <x:c r="C232" s="47" t="str">
        <x:v>housing_units</x:v>
      </x:c>
      <x:c r="D232" s="67" t="n">
        <x:v>0</x:v>
      </x:c>
      <x:c r="E232" s="67" t="n">
        <x:v>0</x:v>
      </x:c>
      <x:c r="F232" s="47" t="n">
        <x:v>1</x:v>
      </x:c>
      <x:c r="G232" s="47" t="n">
        <x:v>1</x:v>
      </x:c>
      <x:c r="H232" s="47" t="n">
        <x:v>1</x:v>
      </x:c>
      <x:c r="I232" s="47" t="str">
        <x:f>IF(AND(F232=H232,G232=H232),"Met","STOP")</x:f>
        <x:v>Met</x:v>
      </x:c>
    </x:row>
    <x:row r="233">
      <x:c r="A233" s="47" t="str">
        <x:v>B25002</x:v>
      </x:c>
      <x:c r="B233" s="47" t="str">
        <x:v>NYC-V1-R04</x:v>
      </x:c>
      <x:c r="C233" s="47" t="str">
        <x:v>occupied_housing_units</x:v>
      </x:c>
      <x:c r="D233" s="67" t="n">
        <x:v>0</x:v>
      </x:c>
      <x:c r="E233" s="67" t="n">
        <x:v>0</x:v>
      </x:c>
      <x:c r="F233" s="47" t="n">
        <x:v>1</x:v>
      </x:c>
      <x:c r="G233" s="47" t="n">
        <x:v>1</x:v>
      </x:c>
      <x:c r="H233" s="47" t="n">
        <x:v>1</x:v>
      </x:c>
      <x:c r="I233" s="47" t="str">
        <x:f>IF(AND(F233=H233,G233=H233),"Met","STOP")</x:f>
        <x:v>Met</x:v>
      </x:c>
    </x:row>
    <x:row r="234">
      <x:c r="A234" s="47" t="str">
        <x:v>B25002</x:v>
      </x:c>
      <x:c r="B234" s="47" t="str">
        <x:v>NYC-V1-R04</x:v>
      </x:c>
      <x:c r="C234" s="47" t="str">
        <x:v>vacant_housing_units</x:v>
      </x:c>
      <x:c r="D234" s="67" t="n">
        <x:v>0</x:v>
      </x:c>
      <x:c r="E234" s="67" t="n">
        <x:v>-2.842170943040401e-14</x:v>
      </x:c>
      <x:c r="F234" s="47" t="n">
        <x:v>1</x:v>
      </x:c>
      <x:c r="G234" s="47" t="n">
        <x:v>1</x:v>
      </x:c>
      <x:c r="H234" s="47" t="n">
        <x:v>1</x:v>
      </x:c>
      <x:c r="I234" s="47" t="str">
        <x:f>IF(AND(F234=H234,G234=H234),"Met","STOP")</x:f>
        <x:v>Met</x:v>
      </x:c>
    </x:row>
    <x:row r="235">
      <x:c r="A235" s="47" t="str">
        <x:v>B25002</x:v>
      </x:c>
      <x:c r="B235" s="47" t="str">
        <x:v>NYC-V2-R01</x:v>
      </x:c>
      <x:c r="C235" s="47" t="str">
        <x:v>housing_units</x:v>
      </x:c>
      <x:c r="D235" s="67" t="n">
        <x:v>0</x:v>
      </x:c>
      <x:c r="E235" s="67" t="n">
        <x:v>5.684341886080802e-14</x:v>
      </x:c>
      <x:c r="F235" s="47" t="n">
        <x:v>1</x:v>
      </x:c>
      <x:c r="G235" s="47" t="n">
        <x:v>1</x:v>
      </x:c>
      <x:c r="H235" s="47" t="n">
        <x:v>1</x:v>
      </x:c>
      <x:c r="I235" s="47" t="str">
        <x:f>IF(AND(F235=H235,G235=H235),"Met","STOP")</x:f>
        <x:v>Met</x:v>
      </x:c>
    </x:row>
    <x:row r="236">
      <x:c r="A236" s="47" t="str">
        <x:v>B25002</x:v>
      </x:c>
      <x:c r="B236" s="47" t="str">
        <x:v>NYC-V2-R01</x:v>
      </x:c>
      <x:c r="C236" s="47" t="str">
        <x:v>occupied_housing_units</x:v>
      </x:c>
      <x:c r="D236" s="67" t="n">
        <x:v>0</x:v>
      </x:c>
      <x:c r="E236" s="67" t="n">
        <x:v>5.684341886080802e-14</x:v>
      </x:c>
      <x:c r="F236" s="47" t="n">
        <x:v>1</x:v>
      </x:c>
      <x:c r="G236" s="47" t="n">
        <x:v>1</x:v>
      </x:c>
      <x:c r="H236" s="47" t="n">
        <x:v>1</x:v>
      </x:c>
      <x:c r="I236" s="47" t="str">
        <x:f>IF(AND(F236=H236,G236=H236),"Met","STOP")</x:f>
        <x:v>Met</x:v>
      </x:c>
    </x:row>
    <x:row r="237">
      <x:c r="A237" s="47" t="str">
        <x:v>B25002</x:v>
      </x:c>
      <x:c r="B237" s="47" t="str">
        <x:v>NYC-V2-R01</x:v>
      </x:c>
      <x:c r="C237" s="47" t="str">
        <x:v>vacant_housing_units</x:v>
      </x:c>
      <x:c r="D237" s="67" t="n">
        <x:v>0</x:v>
      </x:c>
      <x:c r="E237" s="67" t="n">
        <x:v>-7.105427357601002e-15</x:v>
      </x:c>
      <x:c r="F237" s="47" t="n">
        <x:v>1</x:v>
      </x:c>
      <x:c r="G237" s="47" t="n">
        <x:v>1</x:v>
      </x:c>
      <x:c r="H237" s="47" t="n">
        <x:v>1</x:v>
      </x:c>
      <x:c r="I237" s="47" t="str">
        <x:f>IF(AND(F237=H237,G237=H237),"Met","STOP")</x:f>
        <x:v>Met</x:v>
      </x:c>
    </x:row>
    <x:row r="238">
      <x:c r="A238" s="47" t="str">
        <x:v>B25002</x:v>
      </x:c>
      <x:c r="B238" s="47" t="str">
        <x:v>NYC-V2-R02</x:v>
      </x:c>
      <x:c r="C238" s="47" t="str">
        <x:v>housing_units</x:v>
      </x:c>
      <x:c r="D238" s="67" t="n">
        <x:v>0</x:v>
      </x:c>
      <x:c r="E238" s="67" t="n">
        <x:v>0</x:v>
      </x:c>
      <x:c r="F238" s="47" t="n">
        <x:v>1</x:v>
      </x:c>
      <x:c r="G238" s="47" t="n">
        <x:v>1</x:v>
      </x:c>
      <x:c r="H238" s="47" t="n">
        <x:v>1</x:v>
      </x:c>
      <x:c r="I238" s="47" t="str">
        <x:f>IF(AND(F238=H238,G238=H238),"Met","STOP")</x:f>
        <x:v>Met</x:v>
      </x:c>
    </x:row>
    <x:row r="239">
      <x:c r="A239" s="47" t="str">
        <x:v>B25002</x:v>
      </x:c>
      <x:c r="B239" s="47" t="str">
        <x:v>NYC-V2-R02</x:v>
      </x:c>
      <x:c r="C239" s="47" t="str">
        <x:v>occupied_housing_units</x:v>
      </x:c>
      <x:c r="D239" s="67" t="n">
        <x:v>0</x:v>
      </x:c>
      <x:c r="E239" s="67" t="n">
        <x:v>0</x:v>
      </x:c>
      <x:c r="F239" s="47" t="n">
        <x:v>1</x:v>
      </x:c>
      <x:c r="G239" s="47" t="n">
        <x:v>1</x:v>
      </x:c>
      <x:c r="H239" s="47" t="n">
        <x:v>1</x:v>
      </x:c>
      <x:c r="I239" s="47" t="str">
        <x:f>IF(AND(F239=H239,G239=H239),"Met","STOP")</x:f>
        <x:v>Met</x:v>
      </x:c>
    </x:row>
    <x:row r="240">
      <x:c r="A240" s="47" t="str">
        <x:v>B25002</x:v>
      </x:c>
      <x:c r="B240" s="47" t="str">
        <x:v>NYC-V2-R02</x:v>
      </x:c>
      <x:c r="C240" s="47" t="str">
        <x:v>vacant_housing_units</x:v>
      </x:c>
      <x:c r="D240" s="67" t="n">
        <x:v>0</x:v>
      </x:c>
      <x:c r="E240" s="67" t="n">
        <x:v>2.842170943040401e-14</x:v>
      </x:c>
      <x:c r="F240" s="47" t="n">
        <x:v>1</x:v>
      </x:c>
      <x:c r="G240" s="47" t="n">
        <x:v>1</x:v>
      </x:c>
      <x:c r="H240" s="47" t="n">
        <x:v>1</x:v>
      </x:c>
      <x:c r="I240" s="47" t="str">
        <x:f>IF(AND(F240=H240,G240=H240),"Met","STOP")</x:f>
        <x:v>Met</x:v>
      </x:c>
    </x:row>
    <x:row r="241">
      <x:c r="A241" s="47" t="str">
        <x:v>B25002</x:v>
      </x:c>
      <x:c r="B241" s="47" t="str">
        <x:v>NYC-V2-R03</x:v>
      </x:c>
      <x:c r="C241" s="47" t="str">
        <x:v>housing_units</x:v>
      </x:c>
      <x:c r="D241" s="67" t="n">
        <x:v>0</x:v>
      </x:c>
      <x:c r="E241" s="67" t="n">
        <x:v>0</x:v>
      </x:c>
      <x:c r="F241" s="47" t="n">
        <x:v>1</x:v>
      </x:c>
      <x:c r="G241" s="47" t="n">
        <x:v>1</x:v>
      </x:c>
      <x:c r="H241" s="47" t="n">
        <x:v>1</x:v>
      </x:c>
      <x:c r="I241" s="47" t="str">
        <x:f>IF(AND(F241=H241,G241=H241),"Met","STOP")</x:f>
        <x:v>Met</x:v>
      </x:c>
    </x:row>
    <x:row r="242">
      <x:c r="A242" s="47" t="str">
        <x:v>B25002</x:v>
      </x:c>
      <x:c r="B242" s="47" t="str">
        <x:v>NYC-V2-R03</x:v>
      </x:c>
      <x:c r="C242" s="47" t="str">
        <x:v>occupied_housing_units</x:v>
      </x:c>
      <x:c r="D242" s="67" t="n">
        <x:v>0</x:v>
      </x:c>
      <x:c r="E242" s="67" t="n">
        <x:v>0</x:v>
      </x:c>
      <x:c r="F242" s="47" t="n">
        <x:v>1</x:v>
      </x:c>
      <x:c r="G242" s="47" t="n">
        <x:v>1</x:v>
      </x:c>
      <x:c r="H242" s="47" t="n">
        <x:v>1</x:v>
      </x:c>
      <x:c r="I242" s="47" t="str">
        <x:f>IF(AND(F242=H242,G242=H242),"Met","STOP")</x:f>
        <x:v>Met</x:v>
      </x:c>
    </x:row>
    <x:row r="243">
      <x:c r="A243" s="47" t="str">
        <x:v>B25002</x:v>
      </x:c>
      <x:c r="B243" s="47" t="str">
        <x:v>NYC-V2-R03</x:v>
      </x:c>
      <x:c r="C243" s="47" t="str">
        <x:v>vacant_housing_units</x:v>
      </x:c>
      <x:c r="D243" s="67" t="n">
        <x:v>0</x:v>
      </x:c>
      <x:c r="E243" s="67" t="n">
        <x:v>0</x:v>
      </x:c>
      <x:c r="F243" s="47" t="n">
        <x:v>1</x:v>
      </x:c>
      <x:c r="G243" s="47" t="n">
        <x:v>1</x:v>
      </x:c>
      <x:c r="H243" s="47" t="n">
        <x:v>1</x:v>
      </x:c>
      <x:c r="I243" s="47" t="str">
        <x:f>IF(AND(F243=H243,G243=H243),"Met","STOP")</x:f>
        <x:v>Met</x:v>
      </x:c>
    </x:row>
    <x:row r="244">
      <x:c r="A244" s="47" t="str">
        <x:v>B25002</x:v>
      </x:c>
      <x:c r="B244" s="47" t="str">
        <x:v>NYC-V2-R04</x:v>
      </x:c>
      <x:c r="C244" s="47" t="str">
        <x:v>housing_units</x:v>
      </x:c>
      <x:c r="D244" s="67" t="n">
        <x:v>0</x:v>
      </x:c>
      <x:c r="E244" s="67" t="n">
        <x:v>0</x:v>
      </x:c>
      <x:c r="F244" s="47" t="n">
        <x:v>1</x:v>
      </x:c>
      <x:c r="G244" s="47" t="n">
        <x:v>1</x:v>
      </x:c>
      <x:c r="H244" s="47" t="n">
        <x:v>1</x:v>
      </x:c>
      <x:c r="I244" s="47" t="str">
        <x:f>IF(AND(F244=H244,G244=H244),"Met","STOP")</x:f>
        <x:v>Met</x:v>
      </x:c>
    </x:row>
    <x:row r="245">
      <x:c r="A245" s="47" t="str">
        <x:v>B25002</x:v>
      </x:c>
      <x:c r="B245" s="47" t="str">
        <x:v>NYC-V2-R04</x:v>
      </x:c>
      <x:c r="C245" s="47" t="str">
        <x:v>occupied_housing_units</x:v>
      </x:c>
      <x:c r="D245" s="67" t="n">
        <x:v>0</x:v>
      </x:c>
      <x:c r="E245" s="67" t="n">
        <x:v>0</x:v>
      </x:c>
      <x:c r="F245" s="47" t="n">
        <x:v>1</x:v>
      </x:c>
      <x:c r="G245" s="47" t="n">
        <x:v>1</x:v>
      </x:c>
      <x:c r="H245" s="47" t="n">
        <x:v>1</x:v>
      </x:c>
      <x:c r="I245" s="47" t="str">
        <x:f>IF(AND(F245=H245,G245=H245),"Met","STOP")</x:f>
        <x:v>Met</x:v>
      </x:c>
    </x:row>
    <x:row r="246">
      <x:c r="A246" s="47" t="str">
        <x:v>B25002</x:v>
      </x:c>
      <x:c r="B246" s="47" t="str">
        <x:v>NYC-V2-R04</x:v>
      </x:c>
      <x:c r="C246" s="47" t="str">
        <x:v>vacant_housing_units</x:v>
      </x:c>
      <x:c r="D246" s="67" t="n">
        <x:v>0</x:v>
      </x:c>
      <x:c r="E246" s="67" t="n">
        <x:v>0</x:v>
      </x:c>
      <x:c r="F246" s="47" t="n">
        <x:v>1</x:v>
      </x:c>
      <x:c r="G246" s="47" t="n">
        <x:v>1</x:v>
      </x:c>
      <x:c r="H246" s="47" t="n">
        <x:v>1</x:v>
      </x:c>
      <x:c r="I246" s="47" t="str">
        <x:f>IF(AND(F246=H246,G246=H246),"Met","STOP")</x:f>
        <x:v>Met</x:v>
      </x:c>
    </x:row>
    <x:row r="247">
      <x:c r="A247" s="47" t="str">
        <x:v>B25002</x:v>
      </x:c>
      <x:c r="B247" s="47" t="str">
        <x:v>NYC-V3-R01</x:v>
      </x:c>
      <x:c r="C247" s="47" t="str">
        <x:v>housing_units</x:v>
      </x:c>
      <x:c r="D247" s="67" t="n">
        <x:v>0</x:v>
      </x:c>
      <x:c r="E247" s="67" t="n">
        <x:v>0</x:v>
      </x:c>
      <x:c r="F247" s="47" t="n">
        <x:v>1</x:v>
      </x:c>
      <x:c r="G247" s="47" t="n">
        <x:v>1</x:v>
      </x:c>
      <x:c r="H247" s="47" t="n">
        <x:v>1</x:v>
      </x:c>
      <x:c r="I247" s="47" t="str">
        <x:f>IF(AND(F247=H247,G247=H247),"Met","STOP")</x:f>
        <x:v>Met</x:v>
      </x:c>
    </x:row>
    <x:row r="248">
      <x:c r="A248" s="47" t="str">
        <x:v>B25002</x:v>
      </x:c>
      <x:c r="B248" s="47" t="str">
        <x:v>NYC-V3-R01</x:v>
      </x:c>
      <x:c r="C248" s="47" t="str">
        <x:v>occupied_housing_units</x:v>
      </x:c>
      <x:c r="D248" s="67" t="n">
        <x:v>0</x:v>
      </x:c>
      <x:c r="E248" s="67" t="n">
        <x:v>5.684341886080802e-14</x:v>
      </x:c>
      <x:c r="F248" s="47" t="n">
        <x:v>1</x:v>
      </x:c>
      <x:c r="G248" s="47" t="n">
        <x:v>1</x:v>
      </x:c>
      <x:c r="H248" s="47" t="n">
        <x:v>1</x:v>
      </x:c>
      <x:c r="I248" s="47" t="str">
        <x:f>IF(AND(F248=H248,G248=H248),"Met","STOP")</x:f>
        <x:v>Met</x:v>
      </x:c>
    </x:row>
    <x:row r="249">
      <x:c r="A249" s="47" t="str">
        <x:v>B25002</x:v>
      </x:c>
      <x:c r="B249" s="47" t="str">
        <x:v>NYC-V3-R01</x:v>
      </x:c>
      <x:c r="C249" s="47" t="str">
        <x:v>vacant_housing_units</x:v>
      </x:c>
      <x:c r="D249" s="67" t="n">
        <x:v>0</x:v>
      </x:c>
      <x:c r="E249" s="67" t="n">
        <x:v>0</x:v>
      </x:c>
      <x:c r="F249" s="47" t="n">
        <x:v>1</x:v>
      </x:c>
      <x:c r="G249" s="47" t="n">
        <x:v>1</x:v>
      </x:c>
      <x:c r="H249" s="47" t="n">
        <x:v>1</x:v>
      </x:c>
      <x:c r="I249" s="47" t="str">
        <x:f>IF(AND(F249=H249,G249=H249),"Met","STOP")</x:f>
        <x:v>Met</x:v>
      </x:c>
    </x:row>
    <x:row r="250">
      <x:c r="A250" s="47" t="str">
        <x:v>B25002</x:v>
      </x:c>
      <x:c r="B250" s="47" t="str">
        <x:v>NYC-V3-R02</x:v>
      </x:c>
      <x:c r="C250" s="47" t="str">
        <x:v>housing_units</x:v>
      </x:c>
      <x:c r="D250" s="67" t="n">
        <x:v>0</x:v>
      </x:c>
      <x:c r="E250" s="67" t="n">
        <x:v>5.684341886080802e-14</x:v>
      </x:c>
      <x:c r="F250" s="47" t="n">
        <x:v>1</x:v>
      </x:c>
      <x:c r="G250" s="47" t="n">
        <x:v>1</x:v>
      </x:c>
      <x:c r="H250" s="47" t="n">
        <x:v>1</x:v>
      </x:c>
      <x:c r="I250" s="47" t="str">
        <x:f>IF(AND(F250=H250,G250=H250),"Met","STOP")</x:f>
        <x:v>Met</x:v>
      </x:c>
    </x:row>
    <x:row r="251">
      <x:c r="A251" s="47" t="str">
        <x:v>B25002</x:v>
      </x:c>
      <x:c r="B251" s="47" t="str">
        <x:v>NYC-V3-R02</x:v>
      </x:c>
      <x:c r="C251" s="47" t="str">
        <x:v>occupied_housing_units</x:v>
      </x:c>
      <x:c r="D251" s="67" t="n">
        <x:v>0</x:v>
      </x:c>
      <x:c r="E251" s="67" t="n">
        <x:v>0</x:v>
      </x:c>
      <x:c r="F251" s="47" t="n">
        <x:v>1</x:v>
      </x:c>
      <x:c r="G251" s="47" t="n">
        <x:v>1</x:v>
      </x:c>
      <x:c r="H251" s="47" t="n">
        <x:v>1</x:v>
      </x:c>
      <x:c r="I251" s="47" t="str">
        <x:f>IF(AND(F251=H251,G251=H251),"Met","STOP")</x:f>
        <x:v>Met</x:v>
      </x:c>
    </x:row>
    <x:row r="252">
      <x:c r="A252" s="47" t="str">
        <x:v>B25002</x:v>
      </x:c>
      <x:c r="B252" s="47" t="str">
        <x:v>NYC-V3-R02</x:v>
      </x:c>
      <x:c r="C252" s="47" t="str">
        <x:v>vacant_housing_units</x:v>
      </x:c>
      <x:c r="D252" s="67" t="n">
        <x:v>0</x:v>
      </x:c>
      <x:c r="E252" s="67" t="n">
        <x:v>0</x:v>
      </x:c>
      <x:c r="F252" s="47" t="n">
        <x:v>1</x:v>
      </x:c>
      <x:c r="G252" s="47" t="n">
        <x:v>1</x:v>
      </x:c>
      <x:c r="H252" s="47" t="n">
        <x:v>1</x:v>
      </x:c>
      <x:c r="I252" s="47" t="str">
        <x:f>IF(AND(F252=H252,G252=H252),"Met","STOP")</x:f>
        <x:v>Met</x:v>
      </x:c>
    </x:row>
    <x:row r="253">
      <x:c r="A253" s="47" t="str">
        <x:v>B25002</x:v>
      </x:c>
      <x:c r="B253" s="47" t="str">
        <x:v>NYC-V3-R03</x:v>
      </x:c>
      <x:c r="C253" s="47" t="str">
        <x:v>housing_units</x:v>
      </x:c>
      <x:c r="D253" s="67" t="n">
        <x:v>0</x:v>
      </x:c>
      <x:c r="E253" s="67" t="n">
        <x:v>0</x:v>
      </x:c>
      <x:c r="F253" s="47" t="n">
        <x:v>1</x:v>
      </x:c>
      <x:c r="G253" s="47" t="n">
        <x:v>1</x:v>
      </x:c>
      <x:c r="H253" s="47" t="n">
        <x:v>1</x:v>
      </x:c>
      <x:c r="I253" s="47" t="str">
        <x:f>IF(AND(F253=H253,G253=H253),"Met","STOP")</x:f>
        <x:v>Met</x:v>
      </x:c>
    </x:row>
    <x:row r="254">
      <x:c r="A254" s="47" t="str">
        <x:v>B25002</x:v>
      </x:c>
      <x:c r="B254" s="47" t="str">
        <x:v>NYC-V3-R03</x:v>
      </x:c>
      <x:c r="C254" s="47" t="str">
        <x:v>occupied_housing_units</x:v>
      </x:c>
      <x:c r="D254" s="67" t="n">
        <x:v>0</x:v>
      </x:c>
      <x:c r="E254" s="67" t="n">
        <x:v>-5.684341886080802e-14</x:v>
      </x:c>
      <x:c r="F254" s="47" t="n">
        <x:v>1</x:v>
      </x:c>
      <x:c r="G254" s="47" t="n">
        <x:v>1</x:v>
      </x:c>
      <x:c r="H254" s="47" t="n">
        <x:v>1</x:v>
      </x:c>
      <x:c r="I254" s="47" t="str">
        <x:f>IF(AND(F254=H254,G254=H254),"Met","STOP")</x:f>
        <x:v>Met</x:v>
      </x:c>
    </x:row>
    <x:row r="255">
      <x:c r="A255" s="47" t="str">
        <x:v>B25002</x:v>
      </x:c>
      <x:c r="B255" s="47" t="str">
        <x:v>NYC-V3-R03</x:v>
      </x:c>
      <x:c r="C255" s="47" t="str">
        <x:v>vacant_housing_units</x:v>
      </x:c>
      <x:c r="D255" s="67" t="n">
        <x:v>0</x:v>
      </x:c>
      <x:c r="E255" s="67" t="n">
        <x:v>0</x:v>
      </x:c>
      <x:c r="F255" s="47" t="n">
        <x:v>1</x:v>
      </x:c>
      <x:c r="G255" s="47" t="n">
        <x:v>1</x:v>
      </x:c>
      <x:c r="H255" s="47" t="n">
        <x:v>1</x:v>
      </x:c>
      <x:c r="I255" s="47" t="str">
        <x:f>IF(AND(F255=H255,G255=H255),"Met","STOP")</x:f>
        <x:v>Met</x:v>
      </x:c>
    </x:row>
    <x:row r="256">
      <x:c r="A256" s="47" t="str">
        <x:v>B25002</x:v>
      </x:c>
      <x:c r="B256" s="47" t="str">
        <x:v>NYC-V3-R04</x:v>
      </x:c>
      <x:c r="C256" s="47" t="str">
        <x:v>housing_units</x:v>
      </x:c>
      <x:c r="D256" s="67" t="n">
        <x:v>0</x:v>
      </x:c>
      <x:c r="E256" s="67" t="n">
        <x:v>0</x:v>
      </x:c>
      <x:c r="F256" s="47" t="n">
        <x:v>1</x:v>
      </x:c>
      <x:c r="G256" s="47" t="n">
        <x:v>1</x:v>
      </x:c>
      <x:c r="H256" s="47" t="n">
        <x:v>1</x:v>
      </x:c>
      <x:c r="I256" s="47" t="str">
        <x:f>IF(AND(F256=H256,G256=H256),"Met","STOP")</x:f>
        <x:v>Met</x:v>
      </x:c>
    </x:row>
    <x:row r="257">
      <x:c r="A257" s="47" t="str">
        <x:v>B25002</x:v>
      </x:c>
      <x:c r="B257" s="47" t="str">
        <x:v>NYC-V3-R04</x:v>
      </x:c>
      <x:c r="C257" s="47" t="str">
        <x:v>occupied_housing_units</x:v>
      </x:c>
      <x:c r="D257" s="67" t="n">
        <x:v>0</x:v>
      </x:c>
      <x:c r="E257" s="67" t="n">
        <x:v>0</x:v>
      </x:c>
      <x:c r="F257" s="47" t="n">
        <x:v>1</x:v>
      </x:c>
      <x:c r="G257" s="47" t="n">
        <x:v>1</x:v>
      </x:c>
      <x:c r="H257" s="47" t="n">
        <x:v>1</x:v>
      </x:c>
      <x:c r="I257" s="47" t="str">
        <x:f>IF(AND(F257=H257,G257=H257),"Met","STOP")</x:f>
        <x:v>Met</x:v>
      </x:c>
    </x:row>
    <x:row r="258">
      <x:c r="A258" s="47" t="str">
        <x:v>B25002</x:v>
      </x:c>
      <x:c r="B258" s="47" t="str">
        <x:v>NYC-V3-R04</x:v>
      </x:c>
      <x:c r="C258" s="47" t="str">
        <x:v>vacant_housing_units</x:v>
      </x:c>
      <x:c r="D258" s="67" t="n">
        <x:v>0</x:v>
      </x:c>
      <x:c r="E258" s="67" t="n">
        <x:v>0</x:v>
      </x:c>
      <x:c r="F258" s="47" t="n">
        <x:v>1</x:v>
      </x:c>
      <x:c r="G258" s="47" t="n">
        <x:v>1</x:v>
      </x:c>
      <x:c r="H258" s="47" t="n">
        <x:v>1</x:v>
      </x:c>
      <x:c r="I258" s="47" t="str">
        <x:f>IF(AND(F258=H258,G258=H258),"Met","STOP")</x:f>
        <x:v>Met</x:v>
      </x:c>
    </x:row>
    <x:row r="259">
      <x:c r="A259" s="47" t="str">
        <x:v>B25040</x:v>
      </x:c>
      <x:c r="B259" s="47" t="str">
        <x:v>NYC-V1-R01</x:v>
      </x:c>
      <x:c r="C259" s="47" t="str">
        <x:v>electric_heat_households</x:v>
      </x:c>
      <x:c r="D259" s="67" t="n">
        <x:v>0</x:v>
      </x:c>
      <x:c r="E259" s="67" t="n">
        <x:v>0</x:v>
      </x:c>
      <x:c r="F259" s="47" t="n">
        <x:v>1</x:v>
      </x:c>
      <x:c r="G259" s="47" t="n">
        <x:v>1</x:v>
      </x:c>
      <x:c r="H259" s="47" t="n">
        <x:v>1</x:v>
      </x:c>
      <x:c r="I259" s="47" t="str">
        <x:f>IF(AND(F259=H259,G259=H259),"Met","STOP")</x:f>
        <x:v>Met</x:v>
      </x:c>
    </x:row>
    <x:row r="260">
      <x:c r="A260" s="47" t="str">
        <x:v>B25040</x:v>
      </x:c>
      <x:c r="B260" s="47" t="str">
        <x:v>NYC-V1-R02</x:v>
      </x:c>
      <x:c r="C260" s="47" t="str">
        <x:v>electric_heat_households</x:v>
      </x:c>
      <x:c r="D260" s="67" t="n">
        <x:v>0</x:v>
      </x:c>
      <x:c r="E260" s="67" t="n">
        <x:v>0</x:v>
      </x:c>
      <x:c r="F260" s="47" t="n">
        <x:v>1</x:v>
      </x:c>
      <x:c r="G260" s="47" t="n">
        <x:v>1</x:v>
      </x:c>
      <x:c r="H260" s="47" t="n">
        <x:v>1</x:v>
      </x:c>
      <x:c r="I260" s="47" t="str">
        <x:f>IF(AND(F260=H260,G260=H260),"Met","STOP")</x:f>
        <x:v>Met</x:v>
      </x:c>
    </x:row>
    <x:row r="261">
      <x:c r="A261" s="47" t="str">
        <x:v>B25040</x:v>
      </x:c>
      <x:c r="B261" s="47" t="str">
        <x:v>NYC-V1-R03</x:v>
      </x:c>
      <x:c r="C261" s="47" t="str">
        <x:v>electric_heat_households</x:v>
      </x:c>
      <x:c r="D261" s="67" t="n">
        <x:v>0</x:v>
      </x:c>
      <x:c r="E261" s="67" t="n">
        <x:v>0</x:v>
      </x:c>
      <x:c r="F261" s="47" t="n">
        <x:v>1</x:v>
      </x:c>
      <x:c r="G261" s="47" t="n">
        <x:v>1</x:v>
      </x:c>
      <x:c r="H261" s="47" t="n">
        <x:v>1</x:v>
      </x:c>
      <x:c r="I261" s="47" t="str">
        <x:f>IF(AND(F261=H261,G261=H261),"Met","STOP")</x:f>
        <x:v>Met</x:v>
      </x:c>
    </x:row>
    <x:row r="262">
      <x:c r="A262" s="47" t="str">
        <x:v>B25040</x:v>
      </x:c>
      <x:c r="B262" s="47" t="str">
        <x:v>NYC-V1-R04</x:v>
      </x:c>
      <x:c r="C262" s="47" t="str">
        <x:v>electric_heat_households</x:v>
      </x:c>
      <x:c r="D262" s="67" t="n">
        <x:v>0</x:v>
      </x:c>
      <x:c r="E262" s="67" t="n">
        <x:v>0</x:v>
      </x:c>
      <x:c r="F262" s="47" t="n">
        <x:v>1</x:v>
      </x:c>
      <x:c r="G262" s="47" t="n">
        <x:v>1</x:v>
      </x:c>
      <x:c r="H262" s="47" t="n">
        <x:v>1</x:v>
      </x:c>
      <x:c r="I262" s="47" t="str">
        <x:f>IF(AND(F262=H262,G262=H262),"Met","STOP")</x:f>
        <x:v>Met</x:v>
      </x:c>
    </x:row>
    <x:row r="263">
      <x:c r="A263" s="47" t="str">
        <x:v>B25040</x:v>
      </x:c>
      <x:c r="B263" s="47" t="str">
        <x:v>NYC-V2-R01</x:v>
      </x:c>
      <x:c r="C263" s="47" t="str">
        <x:v>electric_heat_households</x:v>
      </x:c>
      <x:c r="D263" s="67" t="n">
        <x:v>0</x:v>
      </x:c>
      <x:c r="E263" s="67" t="n">
        <x:v>0</x:v>
      </x:c>
      <x:c r="F263" s="47" t="n">
        <x:v>1</x:v>
      </x:c>
      <x:c r="G263" s="47" t="n">
        <x:v>1</x:v>
      </x:c>
      <x:c r="H263" s="47" t="n">
        <x:v>1</x:v>
      </x:c>
      <x:c r="I263" s="47" t="str">
        <x:f>IF(AND(F263=H263,G263=H263),"Met","STOP")</x:f>
        <x:v>Met</x:v>
      </x:c>
    </x:row>
    <x:row r="264">
      <x:c r="A264" s="47" t="str">
        <x:v>B25040</x:v>
      </x:c>
      <x:c r="B264" s="47" t="str">
        <x:v>NYC-V2-R02</x:v>
      </x:c>
      <x:c r="C264" s="47" t="str">
        <x:v>electric_heat_households</x:v>
      </x:c>
      <x:c r="D264" s="67" t="n">
        <x:v>0</x:v>
      </x:c>
      <x:c r="E264" s="67" t="n">
        <x:v>0</x:v>
      </x:c>
      <x:c r="F264" s="47" t="n">
        <x:v>1</x:v>
      </x:c>
      <x:c r="G264" s="47" t="n">
        <x:v>1</x:v>
      </x:c>
      <x:c r="H264" s="47" t="n">
        <x:v>1</x:v>
      </x:c>
      <x:c r="I264" s="47" t="str">
        <x:f>IF(AND(F264=H264,G264=H264),"Met","STOP")</x:f>
        <x:v>Met</x:v>
      </x:c>
    </x:row>
    <x:row r="265">
      <x:c r="A265" s="47" t="str">
        <x:v>B25040</x:v>
      </x:c>
      <x:c r="B265" s="47" t="str">
        <x:v>NYC-V2-R03</x:v>
      </x:c>
      <x:c r="C265" s="47" t="str">
        <x:v>electric_heat_households</x:v>
      </x:c>
      <x:c r="D265" s="67" t="n">
        <x:v>0</x:v>
      </x:c>
      <x:c r="E265" s="67" t="n">
        <x:v>0</x:v>
      </x:c>
      <x:c r="F265" s="47" t="n">
        <x:v>1</x:v>
      </x:c>
      <x:c r="G265" s="47" t="n">
        <x:v>1</x:v>
      </x:c>
      <x:c r="H265" s="47" t="n">
        <x:v>1</x:v>
      </x:c>
      <x:c r="I265" s="47" t="str">
        <x:f>IF(AND(F265=H265,G265=H265),"Met","STOP")</x:f>
        <x:v>Met</x:v>
      </x:c>
    </x:row>
    <x:row r="266">
      <x:c r="A266" s="47" t="str">
        <x:v>B25040</x:v>
      </x:c>
      <x:c r="B266" s="47" t="str">
        <x:v>NYC-V2-R04</x:v>
      </x:c>
      <x:c r="C266" s="47" t="str">
        <x:v>electric_heat_households</x:v>
      </x:c>
      <x:c r="D266" s="67" t="n">
        <x:v>0</x:v>
      </x:c>
      <x:c r="E266" s="67" t="n">
        <x:v>0</x:v>
      </x:c>
      <x:c r="F266" s="47" t="n">
        <x:v>1</x:v>
      </x:c>
      <x:c r="G266" s="47" t="n">
        <x:v>1</x:v>
      </x:c>
      <x:c r="H266" s="47" t="n">
        <x:v>1</x:v>
      </x:c>
      <x:c r="I266" s="47" t="str">
        <x:f>IF(AND(F266=H266,G266=H266),"Met","STOP")</x:f>
        <x:v>Met</x:v>
      </x:c>
    </x:row>
    <x:row r="267">
      <x:c r="A267" s="47" t="str">
        <x:v>B25040</x:v>
      </x:c>
      <x:c r="B267" s="47" t="str">
        <x:v>NYC-V3-R01</x:v>
      </x:c>
      <x:c r="C267" s="47" t="str">
        <x:v>electric_heat_households</x:v>
      </x:c>
      <x:c r="D267" s="67" t="n">
        <x:v>0</x:v>
      </x:c>
      <x:c r="E267" s="67" t="n">
        <x:v>0</x:v>
      </x:c>
      <x:c r="F267" s="47" t="n">
        <x:v>1</x:v>
      </x:c>
      <x:c r="G267" s="47" t="n">
        <x:v>1</x:v>
      </x:c>
      <x:c r="H267" s="47" t="n">
        <x:v>1</x:v>
      </x:c>
      <x:c r="I267" s="47" t="str">
        <x:f>IF(AND(F267=H267,G267=H267),"Met","STOP")</x:f>
        <x:v>Met</x:v>
      </x:c>
    </x:row>
    <x:row r="268">
      <x:c r="A268" s="47" t="str">
        <x:v>B25040</x:v>
      </x:c>
      <x:c r="B268" s="47" t="str">
        <x:v>NYC-V3-R02</x:v>
      </x:c>
      <x:c r="C268" s="47" t="str">
        <x:v>electric_heat_households</x:v>
      </x:c>
      <x:c r="D268" s="67" t="n">
        <x:v>0</x:v>
      </x:c>
      <x:c r="E268" s="67" t="n">
        <x:v>0</x:v>
      </x:c>
      <x:c r="F268" s="47" t="n">
        <x:v>1</x:v>
      </x:c>
      <x:c r="G268" s="47" t="n">
        <x:v>1</x:v>
      </x:c>
      <x:c r="H268" s="47" t="n">
        <x:v>1</x:v>
      </x:c>
      <x:c r="I268" s="47" t="str">
        <x:f>IF(AND(F268=H268,G268=H268),"Met","STOP")</x:f>
        <x:v>Met</x:v>
      </x:c>
    </x:row>
    <x:row r="269">
      <x:c r="A269" s="47" t="str">
        <x:v>B25040</x:v>
      </x:c>
      <x:c r="B269" s="47" t="str">
        <x:v>NYC-V3-R03</x:v>
      </x:c>
      <x:c r="C269" s="47" t="str">
        <x:v>electric_heat_households</x:v>
      </x:c>
      <x:c r="D269" s="67" t="n">
        <x:v>0</x:v>
      </x:c>
      <x:c r="E269" s="67" t="n">
        <x:v>0</x:v>
      </x:c>
      <x:c r="F269" s="47" t="n">
        <x:v>1</x:v>
      </x:c>
      <x:c r="G269" s="47" t="n">
        <x:v>1</x:v>
      </x:c>
      <x:c r="H269" s="47" t="n">
        <x:v>1</x:v>
      </x:c>
      <x:c r="I269" s="47" t="str">
        <x:f>IF(AND(F269=H269,G269=H269),"Met","STOP")</x:f>
        <x:v>Met</x:v>
      </x:c>
    </x:row>
    <x:row r="270">
      <x:c r="A270" s="47" t="str">
        <x:v>B25040</x:v>
      </x:c>
      <x:c r="B270" s="47" t="str">
        <x:v>NYC-V3-R04</x:v>
      </x:c>
      <x:c r="C270" s="47" t="str">
        <x:v>electric_heat_households</x:v>
      </x:c>
      <x:c r="D270" s="67" t="n">
        <x:v>0</x:v>
      </x:c>
      <x:c r="E270" s="67" t="n">
        <x:v>0</x:v>
      </x:c>
      <x:c r="F270" s="47" t="n">
        <x:v>1</x:v>
      </x:c>
      <x:c r="G270" s="47" t="n">
        <x:v>1</x:v>
      </x:c>
      <x:c r="H270" s="47" t="n">
        <x:v>1</x:v>
      </x:c>
      <x:c r="I270" s="47" t="str">
        <x:f>IF(AND(F270=H270,G270=H270),"Met","STOP")</x:f>
        <x:v>Met</x:v>
      </x:c>
    </x:row>
    <x:row r="271">
      <x:c r="A271" s="47" t="str">
        <x:v>B26001</x:v>
      </x:c>
      <x:c r="B271" s="47" t="str">
        <x:v>NYC-V1-R01</x:v>
      </x:c>
      <x:c r="C271" s="47" t="str">
        <x:v>group_quarters_population</x:v>
      </x:c>
      <x:c r="D271" s="67" t="n">
        <x:v>0</x:v>
      </x:c>
      <x:c r="E271" s="67" t="n">
        <x:v>8.881784197001252e-16</x:v>
      </x:c>
      <x:c r="F271" s="47" t="n">
        <x:v>1</x:v>
      </x:c>
      <x:c r="G271" s="47" t="n">
        <x:v>1</x:v>
      </x:c>
      <x:c r="H271" s="47" t="n">
        <x:v>1</x:v>
      </x:c>
      <x:c r="I271" s="47" t="str">
        <x:f>IF(AND(F271=H271,G271=H271),"Met","STOP")</x:f>
        <x:v>Met</x:v>
      </x:c>
    </x:row>
    <x:row r="272">
      <x:c r="A272" s="47" t="str">
        <x:v>B26001</x:v>
      </x:c>
      <x:c r="B272" s="47" t="str">
        <x:v>NYC-V1-R02</x:v>
      </x:c>
      <x:c r="C272" s="47" t="str">
        <x:v>group_quarters_population</x:v>
      </x:c>
      <x:c r="D272" s="67" t="n">
        <x:v>0</x:v>
      </x:c>
      <x:c r="E272" s="67" t="n">
        <x:v>0</x:v>
      </x:c>
      <x:c r="F272" s="47" t="n">
        <x:v>1</x:v>
      </x:c>
      <x:c r="G272" s="47" t="n">
        <x:v>1</x:v>
      </x:c>
      <x:c r="H272" s="47" t="n">
        <x:v>1</x:v>
      </x:c>
      <x:c r="I272" s="47" t="str">
        <x:f>IF(AND(F272=H272,G272=H272),"Met","STOP")</x:f>
        <x:v>Met</x:v>
      </x:c>
    </x:row>
    <x:row r="273">
      <x:c r="A273" s="47" t="str">
        <x:v>B26001</x:v>
      </x:c>
      <x:c r="B273" s="47" t="str">
        <x:v>NYC-V1-R03</x:v>
      </x:c>
      <x:c r="C273" s="47" t="str">
        <x:v>group_quarters_population</x:v>
      </x:c>
      <x:c r="D273" s="67" t="n">
        <x:v>0</x:v>
      </x:c>
      <x:c r="E273" s="67" t="n">
        <x:v>1.7763568394002505e-15</x:v>
      </x:c>
      <x:c r="F273" s="47" t="n">
        <x:v>1</x:v>
      </x:c>
      <x:c r="G273" s="47" t="n">
        <x:v>1</x:v>
      </x:c>
      <x:c r="H273" s="47" t="n">
        <x:v>1</x:v>
      </x:c>
      <x:c r="I273" s="47" t="str">
        <x:f>IF(AND(F273=H273,G273=H273),"Met","STOP")</x:f>
        <x:v>Met</x:v>
      </x:c>
    </x:row>
    <x:row r="274">
      <x:c r="A274" s="47" t="str">
        <x:v>B26001</x:v>
      </x:c>
      <x:c r="B274" s="47" t="str">
        <x:v>NYC-V1-R04</x:v>
      </x:c>
      <x:c r="C274" s="47" t="str">
        <x:v>group_quarters_population</x:v>
      </x:c>
      <x:c r="D274" s="67" t="n">
        <x:v>0</x:v>
      </x:c>
      <x:c r="E274" s="67" t="n">
        <x:v>0</x:v>
      </x:c>
      <x:c r="F274" s="47" t="n">
        <x:v>1</x:v>
      </x:c>
      <x:c r="G274" s="47" t="n">
        <x:v>1</x:v>
      </x:c>
      <x:c r="H274" s="47" t="n">
        <x:v>1</x:v>
      </x:c>
      <x:c r="I274" s="47" t="str">
        <x:f>IF(AND(F274=H274,G274=H274),"Met","STOP")</x:f>
        <x:v>Met</x:v>
      </x:c>
    </x:row>
    <x:row r="275">
      <x:c r="A275" s="47" t="str">
        <x:v>B26001</x:v>
      </x:c>
      <x:c r="B275" s="47" t="str">
        <x:v>NYC-V2-R01</x:v>
      </x:c>
      <x:c r="C275" s="47" t="str">
        <x:v>group_quarters_population</x:v>
      </x:c>
      <x:c r="D275" s="67" t="n">
        <x:v>0</x:v>
      </x:c>
      <x:c r="E275" s="67" t="n">
        <x:v>0</x:v>
      </x:c>
      <x:c r="F275" s="47" t="n">
        <x:v>1</x:v>
      </x:c>
      <x:c r="G275" s="47" t="n">
        <x:v>1</x:v>
      </x:c>
      <x:c r="H275" s="47" t="n">
        <x:v>1</x:v>
      </x:c>
      <x:c r="I275" s="47" t="str">
        <x:f>IF(AND(F275=H275,G275=H275),"Met","STOP")</x:f>
        <x:v>Met</x:v>
      </x:c>
    </x:row>
    <x:row r="276">
      <x:c r="A276" s="47" t="str">
        <x:v>B26001</x:v>
      </x:c>
      <x:c r="B276" s="47" t="str">
        <x:v>NYC-V2-R02</x:v>
      </x:c>
      <x:c r="C276" s="47" t="str">
        <x:v>group_quarters_population</x:v>
      </x:c>
      <x:c r="D276" s="67" t="n">
        <x:v>0</x:v>
      </x:c>
      <x:c r="E276" s="67" t="n">
        <x:v>0</x:v>
      </x:c>
      <x:c r="F276" s="47" t="n">
        <x:v>1</x:v>
      </x:c>
      <x:c r="G276" s="47" t="n">
        <x:v>1</x:v>
      </x:c>
      <x:c r="H276" s="47" t="n">
        <x:v>1</x:v>
      </x:c>
      <x:c r="I276" s="47" t="str">
        <x:f>IF(AND(F276=H276,G276=H276),"Met","STOP")</x:f>
        <x:v>Met</x:v>
      </x:c>
    </x:row>
    <x:row r="277">
      <x:c r="A277" s="47" t="str">
        <x:v>B26001</x:v>
      </x:c>
      <x:c r="B277" s="47" t="str">
        <x:v>NYC-V2-R03</x:v>
      </x:c>
      <x:c r="C277" s="47" t="str">
        <x:v>group_quarters_population</x:v>
      </x:c>
      <x:c r="D277" s="67" t="n">
        <x:v>0</x:v>
      </x:c>
      <x:c r="E277" s="67" t="n">
        <x:v>1.7763568394002505e-15</x:v>
      </x:c>
      <x:c r="F277" s="47" t="n">
        <x:v>1</x:v>
      </x:c>
      <x:c r="G277" s="47" t="n">
        <x:v>1</x:v>
      </x:c>
      <x:c r="H277" s="47" t="n">
        <x:v>1</x:v>
      </x:c>
      <x:c r="I277" s="47" t="str">
        <x:f>IF(AND(F277=H277,G277=H277),"Met","STOP")</x:f>
        <x:v>Met</x:v>
      </x:c>
    </x:row>
    <x:row r="278">
      <x:c r="A278" s="47" t="str">
        <x:v>B26001</x:v>
      </x:c>
      <x:c r="B278" s="47" t="str">
        <x:v>NYC-V2-R04</x:v>
      </x:c>
      <x:c r="C278" s="47" t="str">
        <x:v>group_quarters_population</x:v>
      </x:c>
      <x:c r="D278" s="67" t="n">
        <x:v>0</x:v>
      </x:c>
      <x:c r="E278" s="67" t="n">
        <x:v>0</x:v>
      </x:c>
      <x:c r="F278" s="47" t="n">
        <x:v>1</x:v>
      </x:c>
      <x:c r="G278" s="47" t="n">
        <x:v>1</x:v>
      </x:c>
      <x:c r="H278" s="47" t="n">
        <x:v>1</x:v>
      </x:c>
      <x:c r="I278" s="47" t="str">
        <x:f>IF(AND(F278=H278,G278=H278),"Met","STOP")</x:f>
        <x:v>Met</x:v>
      </x:c>
    </x:row>
    <x:row r="279">
      <x:c r="A279" s="47" t="str">
        <x:v>B26001</x:v>
      </x:c>
      <x:c r="B279" s="47" t="str">
        <x:v>NYC-V3-R01</x:v>
      </x:c>
      <x:c r="C279" s="47" t="str">
        <x:v>group_quarters_population</x:v>
      </x:c>
      <x:c r="D279" s="67" t="n">
        <x:v>0</x:v>
      </x:c>
      <x:c r="E279" s="67" t="n">
        <x:v>0</x:v>
      </x:c>
      <x:c r="F279" s="47" t="n">
        <x:v>1</x:v>
      </x:c>
      <x:c r="G279" s="47" t="n">
        <x:v>1</x:v>
      </x:c>
      <x:c r="H279" s="47" t="n">
        <x:v>1</x:v>
      </x:c>
      <x:c r="I279" s="47" t="str">
        <x:f>IF(AND(F279=H279,G279=H279),"Met","STOP")</x:f>
        <x:v>Met</x:v>
      </x:c>
    </x:row>
    <x:row r="280">
      <x:c r="A280" s="47" t="str">
        <x:v>B26001</x:v>
      </x:c>
      <x:c r="B280" s="47" t="str">
        <x:v>NYC-V3-R02</x:v>
      </x:c>
      <x:c r="C280" s="47" t="str">
        <x:v>group_quarters_population</x:v>
      </x:c>
      <x:c r="D280" s="67" t="n">
        <x:v>0</x:v>
      </x:c>
      <x:c r="E280" s="67" t="n">
        <x:v>0</x:v>
      </x:c>
      <x:c r="F280" s="47" t="n">
        <x:v>1</x:v>
      </x:c>
      <x:c r="G280" s="47" t="n">
        <x:v>1</x:v>
      </x:c>
      <x:c r="H280" s="47" t="n">
        <x:v>1</x:v>
      </x:c>
      <x:c r="I280" s="47" t="str">
        <x:f>IF(AND(F280=H280,G280=H280),"Met","STOP")</x:f>
        <x:v>Met</x:v>
      </x:c>
    </x:row>
    <x:row r="281">
      <x:c r="A281" s="47" t="str">
        <x:v>B26001</x:v>
      </x:c>
      <x:c r="B281" s="47" t="str">
        <x:v>NYC-V3-R03</x:v>
      </x:c>
      <x:c r="C281" s="47" t="str">
        <x:v>group_quarters_population</x:v>
      </x:c>
      <x:c r="D281" s="67" t="n">
        <x:v>0</x:v>
      </x:c>
      <x:c r="E281" s="67" t="n">
        <x:v>0</x:v>
      </x:c>
      <x:c r="F281" s="47" t="n">
        <x:v>1</x:v>
      </x:c>
      <x:c r="G281" s="47" t="n">
        <x:v>1</x:v>
      </x:c>
      <x:c r="H281" s="47" t="n">
        <x:v>1</x:v>
      </x:c>
      <x:c r="I281" s="47" t="str">
        <x:f>IF(AND(F281=H281,G281=H281),"Met","STOP")</x:f>
        <x:v>Met</x:v>
      </x:c>
    </x:row>
    <x:row r="282">
      <x:c r="A282" s="51" t="str">
        <x:v>B26001</x:v>
      </x:c>
      <x:c r="B282" s="51" t="str">
        <x:v>NYC-V3-R04</x:v>
      </x:c>
      <x:c r="C282" s="51" t="str">
        <x:v>group_quarters_population</x:v>
      </x:c>
      <x:c r="D282" s="68" t="n">
        <x:v>0</x:v>
      </x:c>
      <x:c r="E282" s="68" t="n">
        <x:v>0</x:v>
      </x:c>
      <x:c r="F282" s="51" t="n">
        <x:v>1</x:v>
      </x:c>
      <x:c r="G282" s="51" t="n">
        <x:v>1</x:v>
      </x:c>
      <x:c r="H282" s="51" t="n">
        <x:v>1</x:v>
      </x:c>
      <x:c r="I282" s="51" t="str">
        <x:f>IF(AND(F282=H282,G282=H282),"Met","STOP")</x:f>
        <x:v>Met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0" hidden="0" customWidth="1"/>
    <x:col min="2" max="2" width="24" hidden="0" customWidth="1"/>
    <x:col min="3" max="3" width="24" hidden="0" customWidth="1"/>
    <x:col min="4" max="4" width="86" hidden="0" customWidth="1"/>
  </x:cols>
  <x:sheetData>
    <x:row r="1" ht="22" customHeight="1">
      <x:c r="A1" s="38" t="str">
        <x:v>Row Basis</x:v>
      </x:c>
      <x:c r="B1" s="39"/>
      <x:c r="C1" s="39"/>
      <x:c r="D1" s="39"/>
    </x:row>
    <x:row r="2" ht="22" customHeight="1">
      <x:c r="A2" s="40" t="str">
        <x:v>Independent observation space derived from the lawful atomic aggregation operator</x:v>
      </x:c>
      <x:c r="B2" s="39"/>
      <x:c r="C2" s="39"/>
      <x:c r="D2" s="39"/>
    </x:row>
    <x:row r="3">
      <x:c r="A3" s="39"/>
      <x:c r="B3" s="39"/>
      <x:c r="C3" s="39"/>
      <x:c r="D3" s="39"/>
    </x:row>
    <x:row r="4">
      <x:c r="A4" s="39"/>
      <x:c r="B4" s="39"/>
      <x:c r="C4" s="39"/>
      <x:c r="D4" s="39"/>
    </x:row>
    <x:row r="5">
      <x:c r="A5" s="39"/>
      <x:c r="B5" s="39"/>
      <x:c r="C5" s="39"/>
      <x:c r="D5" s="39"/>
    </x:row>
    <x:row r="6">
      <x:c r="A6" s="19" t="str">
        <x:v>Measure</x:v>
      </x:c>
      <x:c r="B6" s="20" t="str">
        <x:v>Value</x:v>
      </x:c>
      <x:c r="C6" s="20" t="str">
        <x:v>Requirement</x:v>
      </x:c>
      <x:c r="D6" s="21" t="str">
        <x:v>Interpretation</x:v>
      </x:c>
    </x:row>
    <x:row r="7">
      <x:c r="A7" s="44" t="str">
        <x:v>Published rows</x:v>
      </x:c>
      <x:c r="B7" s="66" t="n">
        <x:v>39</x:v>
      </x:c>
      <x:c r="C7" s="66" t="n">
        <x:v>39</x:v>
      </x:c>
      <x:c r="D7" s="44" t="str">
        <x:v>registered estimator vector</x:v>
      </x:c>
    </x:row>
    <x:row r="8">
      <x:c r="A8" s="47" t="str">
        <x:v>Exact identities</x:v>
      </x:c>
      <x:c r="B8" s="67" t="n">
        <x:v>6</x:v>
      </x:c>
      <x:c r="C8" s="67" t="n">
        <x:v>6</x:v>
      </x:c>
      <x:c r="D8" s="47" t="str">
        <x:v>rows removed from the independent likelihood basis</x:v>
      </x:c>
    </x:row>
    <x:row r="9">
      <x:c r="A9" s="47" t="str">
        <x:v>Independent row rank</x:v>
      </x:c>
      <x:c r="B9" s="67" t="n">
        <x:v>33</x:v>
      </x:c>
      <x:c r="C9" s="67" t="n">
        <x:v>33</x:v>
      </x:c>
      <x:c r="D9" s="47" t="str">
        <x:v>dimension evaluated by every likelihood</x:v>
      </x:c>
    </x:row>
    <x:row r="10">
      <x:c r="A10" s="47" t="str">
        <x:v>Atomic columns</x:v>
      </x:c>
      <x:c r="B10" s="67" t="n">
        <x:v>1557</x:v>
      </x:c>
      <x:c r="C10" s="67" t="n">
        <x:v>1557</x:v>
      </x:c>
      <x:c r="D10" s="47" t="str">
        <x:v>lawful nonnegative integer coordinates</x:v>
      </x:c>
    </x:row>
    <x:row r="11">
      <x:c r="A11" s="47" t="str">
        <x:v>Atomic nullity</x:v>
      </x:c>
      <x:c r="B11" s="67" t="n">
        <x:v>1524</x:v>
      </x:c>
      <x:c r="C11" s="67" t="n">
        <x:v>1524</x:v>
      </x:c>
      <x:c r="D11" s="47" t="str">
        <x:v>unidentified directions requiring declared state priors</x:v>
      </x:c>
    </x:row>
    <x:row r="12">
      <x:c r="A12" s="47" t="str">
        <x:v>Relative row-space residual</x:v>
      </x:c>
      <x:c r="B12" s="67" t="n">
        <x:v>1.7595628558278261e-15</x:v>
      </x:c>
      <x:c r="C12" s="67" t="n">
        <x:v>1e-10</x:v>
      </x:c>
      <x:c r="D12" s="47" t="str">
        <x:v>must not exceed requirement</x:v>
      </x:c>
    </x:row>
    <x:row r="13">
      <x:c r="A13" s="47" t="str">
        <x:v>Largest singular value</x:v>
      </x:c>
      <x:c r="B13" s="67" t="n">
        <x:v>72.3616647144605</x:v>
      </x:c>
      <x:c r="C13" s="67"/>
      <x:c r="D13" s="47" t="str">
        <x:v>operator scale diagnostic</x:v>
      </x:c>
    </x:row>
    <x:row r="14">
      <x:c r="A14" s="51" t="str">
        <x:v>Smallest retained singular value</x:v>
      </x:c>
      <x:c r="B14" s="68" t="n">
        <x:v>0.9698216572371143</x:v>
      </x:c>
      <x:c r="C14" s="68"/>
      <x:c r="D14" s="51" t="str">
        <x:v>rank separation diagnostic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0" hidden="0" customWidth="1"/>
    <x:col min="2" max="2" width="28" hidden="0" customWidth="1"/>
    <x:col min="3" max="3" width="14" hidden="0" customWidth="1"/>
    <x:col min="4" max="4" width="22" hidden="0" customWidth="1"/>
    <x:col min="5" max="5" width="22" hidden="0" customWidth="1"/>
    <x:col min="6" max="6" width="20" hidden="0" customWidth="1"/>
    <x:col min="7" max="7" width="14" hidden="0" customWidth="1"/>
  </x:cols>
  <x:sheetData>
    <x:row r="1" ht="22" customHeight="1">
      <x:c r="A1" s="38" t="str">
        <x:v>Cov Completion</x:v>
      </x:c>
      <x:c r="B1" s="39"/>
      <x:c r="C1" s="39"/>
      <x:c r="D1" s="39"/>
      <x:c r="E1" s="39"/>
      <x:c r="F1" s="39"/>
      <x:c r="G1" s="39"/>
    </x:row>
    <x:row r="2" ht="22" customHeight="1">
      <x:c r="A2" s="40" t="str">
        <x:v>Pass 51 factor reconciliation repeated with the authoritative under-five row</x:v>
      </x:c>
      <x:c r="B2" s="39"/>
      <x:c r="C2" s="39"/>
      <x:c r="D2" s="39"/>
      <x:c r="E2" s="39"/>
      <x:c r="F2" s="39"/>
      <x:c r="G2" s="39"/>
    </x:row>
    <x:row r="3">
      <x:c r="A3" s="39"/>
      <x:c r="B3" s="39"/>
      <x:c r="C3" s="39"/>
      <x:c r="D3" s="39"/>
      <x:c r="E3" s="39"/>
      <x:c r="F3" s="39"/>
      <x:c r="G3" s="39"/>
    </x:row>
    <x:row r="4">
      <x:c r="A4" s="39"/>
      <x:c r="B4" s="39"/>
      <x:c r="C4" s="39"/>
      <x:c r="D4" s="39"/>
      <x:c r="E4" s="39"/>
      <x:c r="F4" s="39"/>
      <x:c r="G4" s="39"/>
    </x:row>
    <x:row r="5">
      <x:c r="A5" s="39"/>
      <x:c r="B5" s="39"/>
      <x:c r="C5" s="39"/>
      <x:c r="D5" s="39"/>
      <x:c r="E5" s="39"/>
      <x:c r="F5" s="39"/>
      <x:c r="G5" s="39"/>
    </x:row>
    <x:row r="6">
      <x:c r="A6" s="19" t="str">
        <x:v>Completion</x:v>
      </x:c>
      <x:c r="B6" s="20" t="str">
        <x:v>Likelihood</x:v>
      </x:c>
      <x:c r="C6" s="20" t="str">
        <x:v>Iterations</x:v>
      </x:c>
      <x:c r="D6" s="20" t="str">
        <x:v>Identity residual</x:v>
      </x:c>
      <x:c r="E6" s="20" t="str">
        <x:v>Official Gram error</x:v>
      </x:c>
      <x:c r="F6" s="20" t="str">
        <x:v>RSS norm error</x:v>
      </x:c>
      <x:c r="G6" s="21" t="str">
        <x:v>Status</x:v>
      </x:c>
    </x:row>
    <x:row r="7">
      <x:c r="A7" s="44" t="str">
        <x:v>R0_ZERO_START</x:v>
      </x:c>
      <x:c r="B7" s="44" t="str">
        <x:v>L0_GAUSS_ZERO</x:v>
      </x:c>
      <x:c r="C7" s="44" t="n">
        <x:v>56</x:v>
      </x:c>
      <x:c r="D7" s="66" t="n">
        <x:v>9.489773025748699e-11</x:v>
      </x:c>
      <x:c r="E7" s="66" t="n">
        <x:v>3.2983847925845123e-15</x:v>
      </x:c>
      <x:c r="F7" s="66" t="n">
        <x:v>4.440892098500626e-16</x:v>
      </x:c>
      <x:c r="G7" s="44" t="str">
        <x:v>Met</x:v>
      </x:c>
    </x:row>
    <x:row r="8">
      <x:c r="A8" s="47" t="str">
        <x:v>R1_SHARED_START</x:v>
      </x:c>
      <x:c r="B8" s="47" t="str">
        <x:v>L1_GAUSS_SHARED</x:v>
      </x:c>
      <x:c r="C8" s="47" t="n">
        <x:v>56</x:v>
      </x:c>
      <x:c r="D8" s="67" t="n">
        <x:v>7.953578097177895e-11</x:v>
      </x:c>
      <x:c r="E8" s="67" t="n">
        <x:v>2.8486050481411696e-15</x:v>
      </x:c>
      <x:c r="F8" s="67" t="n">
        <x:v>4.440892098500626e-16</x:v>
      </x:c>
      <x:c r="G8" s="47" t="str">
        <x:v>Met</x:v>
      </x:c>
    </x:row>
    <x:row r="9">
      <x:c r="A9" s="51" t="str">
        <x:v>R2_CONCORDANT_START</x:v>
      </x:c>
      <x:c r="B9" s="51" t="str">
        <x:v>L2_GAUSS_CONCORDANT</x:v>
      </x:c>
      <x:c r="C9" s="51" t="n">
        <x:v>56</x:v>
      </x:c>
      <x:c r="D9" s="68" t="n">
        <x:v>7.601569547082533e-11</x:v>
      </x:c>
      <x:c r="E9" s="68" t="n">
        <x:v>3.598237955546741e-15</x:v>
      </x:c>
      <x:c r="F9" s="68" t="n">
        <x:v>4.440892098500626e-16</x:v>
      </x:c>
      <x:c r="G9" s="51" t="str">
        <x:v>Met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2" hidden="0" customWidth="1"/>
    <x:col min="4" max="4" width="14" hidden="0" customWidth="1"/>
    <x:col min="5" max="5" width="16" hidden="0" customWidth="1"/>
    <x:col min="6" max="6" width="24" hidden="0" customWidth="1"/>
    <x:col min="7" max="7" width="24" hidden="0" customWidth="1"/>
    <x:col min="8" max="8" width="22" hidden="0" customWidth="1"/>
    <x:col min="9" max="9" width="22" hidden="0" customWidth="1"/>
    <x:col min="10" max="10" width="14" hidden="0" customWidth="1"/>
  </x:cols>
  <x:sheetData>
    <x:row r="1" ht="22" customHeight="1">
      <x:c r="A1" s="38" t="str">
        <x:v>Matrix PD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ht="22" customHeight="1">
      <x:c r="A2" s="40" t="str">
        <x:v>Positive-definite checks for every completed reduced covariance matrix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>
      <x:c r="A6" s="19" t="str">
        <x:v>Likelihood</x:v>
      </x:c>
      <x:c r="B6" s="20" t="str">
        <x:v>Catchment</x:v>
      </x:c>
      <x:c r="C6" s="20" t="str">
        <x:v>Archetype</x:v>
      </x:c>
      <x:c r="D6" s="20" t="str">
        <x:v>Full rank</x:v>
      </x:c>
      <x:c r="E6" s="20" t="str">
        <x:v>Reduced rank</x:v>
      </x:c>
      <x:c r="F6" s="20" t="str">
        <x:v>Minimum eigenvalue</x:v>
      </x:c>
      <x:c r="G6" s="20" t="str">
        <x:v>Maximum eigenvalue</x:v>
      </x:c>
      <x:c r="H6" s="20" t="str">
        <x:v>Eigenvalue ratio</x:v>
      </x:c>
      <x:c r="I6" s="20" t="str">
        <x:v>Condition number</x:v>
      </x:c>
      <x:c r="J6" s="21" t="str">
        <x:v>Status</x:v>
      </x:c>
    </x:row>
    <x:row r="7">
      <x:c r="A7" s="44" t="str">
        <x:v>L0_GAUSS_ZERO</x:v>
      </x:c>
      <x:c r="B7" s="44" t="str">
        <x:v>NYC-V1-R01</x:v>
      </x:c>
      <x:c r="C7" s="44" t="str">
        <x:v>V1</x:v>
      </x:c>
      <x:c r="D7" s="44" t="n">
        <x:v>33</x:v>
      </x:c>
      <x:c r="E7" s="44" t="n">
        <x:v>33</x:v>
      </x:c>
      <x:c r="F7" s="66" t="n">
        <x:v>37.649999999807484</x:v>
      </x:c>
      <x:c r="G7" s="66" t="n">
        <x:v>2193748.7283938355</x:v>
      </x:c>
      <x:c r="H7" s="66" t="n">
        <x:v>0.000017162403110484367</x:v>
      </x:c>
      <x:c r="I7" s="66" t="n">
        <x:v>58266.89849681415</x:v>
      </x:c>
      <x:c r="J7" s="44" t="str">
        <x:v>Met</x:v>
      </x:c>
    </x:row>
    <x:row r="8">
      <x:c r="A8" s="47" t="str">
        <x:v>L0_GAUSS_ZERO</x:v>
      </x:c>
      <x:c r="B8" s="47" t="str">
        <x:v>NYC-V1-R02</x:v>
      </x:c>
      <x:c r="C8" s="47" t="str">
        <x:v>V1</x:v>
      </x:c>
      <x:c r="D8" s="47" t="n">
        <x:v>33</x:v>
      </x:c>
      <x:c r="E8" s="47" t="n">
        <x:v>33</x:v>
      </x:c>
      <x:c r="F8" s="67" t="n">
        <x:v>21.020485399756275</x:v>
      </x:c>
      <x:c r="G8" s="67" t="n">
        <x:v>3788339.214072237</x:v>
      </x:c>
      <x:c r="H8" s="67" t="n">
        <x:v>0.000005548733683001031</x:v>
      </x:c>
      <x:c r="I8" s="67" t="n">
        <x:v>180221.30041374598</x:v>
      </x:c>
      <x:c r="J8" s="47" t="str">
        <x:v>Met</x:v>
      </x:c>
    </x:row>
    <x:row r="9">
      <x:c r="A9" s="47" t="str">
        <x:v>L0_GAUSS_ZERO</x:v>
      </x:c>
      <x:c r="B9" s="47" t="str">
        <x:v>NYC-V1-R03</x:v>
      </x:c>
      <x:c r="C9" s="47" t="str">
        <x:v>V1</x:v>
      </x:c>
      <x:c r="D9" s="47" t="n">
        <x:v>33</x:v>
      </x:c>
      <x:c r="E9" s="47" t="n">
        <x:v>33</x:v>
      </x:c>
      <x:c r="F9" s="67" t="n">
        <x:v>35.66170072983083</x:v>
      </x:c>
      <x:c r="G9" s="67" t="n">
        <x:v>1883280.8715728198</x:v>
      </x:c>
      <x:c r="H9" s="67" t="n">
        <x:v>0.00001893594379262611</x:v>
      </x:c>
      <x:c r="I9" s="67" t="n">
        <x:v>52809.620209657165</x:v>
      </x:c>
      <x:c r="J9" s="47" t="str">
        <x:v>Met</x:v>
      </x:c>
    </x:row>
    <x:row r="10">
      <x:c r="A10" s="47" t="str">
        <x:v>L0_GAUSS_ZERO</x:v>
      </x:c>
      <x:c r="B10" s="47" t="str">
        <x:v>NYC-V1-R04</x:v>
      </x:c>
      <x:c r="C10" s="47" t="str">
        <x:v>V1</x:v>
      </x:c>
      <x:c r="D10" s="47" t="n">
        <x:v>33</x:v>
      </x:c>
      <x:c r="E10" s="47" t="n">
        <x:v>33</x:v>
      </x:c>
      <x:c r="F10" s="67" t="n">
        <x:v>323.2572482152518</x:v>
      </x:c>
      <x:c r="G10" s="67" t="n">
        <x:v>2450358.2187826233</x:v>
      </x:c>
      <x:c r="H10" s="67" t="n">
        <x:v>0.000131922445354072</x:v>
      </x:c>
      <x:c r="I10" s="67" t="n">
        <x:v>7580.211216643684</x:v>
      </x:c>
      <x:c r="J10" s="47" t="str">
        <x:v>Met</x:v>
      </x:c>
    </x:row>
    <x:row r="11">
      <x:c r="A11" s="47" t="str">
        <x:v>L0_GAUSS_ZERO</x:v>
      </x:c>
      <x:c r="B11" s="47" t="str">
        <x:v>NYC-V2-R01</x:v>
      </x:c>
      <x:c r="C11" s="47" t="str">
        <x:v>V2</x:v>
      </x:c>
      <x:c r="D11" s="47" t="n">
        <x:v>33</x:v>
      </x:c>
      <x:c r="E11" s="47" t="n">
        <x:v>33</x:v>
      </x:c>
      <x:c r="F11" s="67" t="n">
        <x:v>564.2522251384488</x:v>
      </x:c>
      <x:c r="G11" s="67" t="n">
        <x:v>3124875.0718913125</x:v>
      </x:c>
      <x:c r="H11" s="67" t="n">
        <x:v>0.00018056793060752295</x:v>
      </x:c>
      <x:c r="I11" s="67" t="n">
        <x:v>5538.0819652497985</x:v>
      </x:c>
      <x:c r="J11" s="47" t="str">
        <x:v>Met</x:v>
      </x:c>
    </x:row>
    <x:row r="12">
      <x:c r="A12" s="47" t="str">
        <x:v>L0_GAUSS_ZERO</x:v>
      </x:c>
      <x:c r="B12" s="47" t="str">
        <x:v>NYC-V2-R02</x:v>
      </x:c>
      <x:c r="C12" s="47" t="str">
        <x:v>V2</x:v>
      </x:c>
      <x:c r="D12" s="47" t="n">
        <x:v>33</x:v>
      </x:c>
      <x:c r="E12" s="47" t="n">
        <x:v>33</x:v>
      </x:c>
      <x:c r="F12" s="67" t="n">
        <x:v>461.10000000014605</x:v>
      </x:c>
      <x:c r="G12" s="67" t="n">
        <x:v>1874687.178146815</x:v>
      </x:c>
      <x:c r="H12" s="67" t="n">
        <x:v>0.0002459610357264818</x:v>
      </x:c>
      <x:c r="I12" s="67" t="n">
        <x:v>4065.684619705533</x:v>
      </x:c>
      <x:c r="J12" s="47" t="str">
        <x:v>Met</x:v>
      </x:c>
    </x:row>
    <x:row r="13">
      <x:c r="A13" s="47" t="str">
        <x:v>L0_GAUSS_ZERO</x:v>
      </x:c>
      <x:c r="B13" s="47" t="str">
        <x:v>NYC-V2-R03</x:v>
      </x:c>
      <x:c r="C13" s="47" t="str">
        <x:v>V2</x:v>
      </x:c>
      <x:c r="D13" s="47" t="n">
        <x:v>33</x:v>
      </x:c>
      <x:c r="E13" s="47" t="n">
        <x:v>33</x:v>
      </x:c>
      <x:c r="F13" s="67" t="n">
        <x:v>163.10000000003723</x:v>
      </x:c>
      <x:c r="G13" s="67" t="n">
        <x:v>2223793.96519611</x:v>
      </x:c>
      <x:c r="H13" s="67" t="n">
        <x:v>0.00007334312555599273</x:v>
      </x:c>
      <x:c r="I13" s="67" t="n">
        <x:v>13634.543011622332</x:v>
      </x:c>
      <x:c r="J13" s="47" t="str">
        <x:v>Met</x:v>
      </x:c>
    </x:row>
    <x:row r="14">
      <x:c r="A14" s="47" t="str">
        <x:v>L0_GAUSS_ZERO</x:v>
      </x:c>
      <x:c r="B14" s="47" t="str">
        <x:v>NYC-V2-R04</x:v>
      </x:c>
      <x:c r="C14" s="47" t="str">
        <x:v>V2</x:v>
      </x:c>
      <x:c r="D14" s="47" t="n">
        <x:v>33</x:v>
      </x:c>
      <x:c r="E14" s="47" t="n">
        <x:v>33</x:v>
      </x:c>
      <x:c r="F14" s="67" t="n">
        <x:v>90.59999999988358</x:v>
      </x:c>
      <x:c r="G14" s="67" t="n">
        <x:v>2784031.671807266</x:v>
      </x:c>
      <x:c r="H14" s="67" t="n">
        <x:v>0.00003254273323013966</x:v>
      </x:c>
      <x:c r="I14" s="67" t="n">
        <x:v>30728.826399678182</x:v>
      </x:c>
      <x:c r="J14" s="47" t="str">
        <x:v>Met</x:v>
      </x:c>
    </x:row>
    <x:row r="15">
      <x:c r="A15" s="47" t="str">
        <x:v>L0_GAUSS_ZERO</x:v>
      </x:c>
      <x:c r="B15" s="47" t="str">
        <x:v>NYC-V3-R01</x:v>
      </x:c>
      <x:c r="C15" s="47" t="str">
        <x:v>V3</x:v>
      </x:c>
      <x:c r="D15" s="47" t="n">
        <x:v>33</x:v>
      </x:c>
      <x:c r="E15" s="47" t="n">
        <x:v>33</x:v>
      </x:c>
      <x:c r="F15" s="67" t="n">
        <x:v>16.799999999985527</x:v>
      </x:c>
      <x:c r="G15" s="67" t="n">
        <x:v>1751983.04849402</x:v>
      </x:c>
      <x:c r="H15" s="67" t="n">
        <x:v>0.000009589133875711053</x:v>
      </x:c>
      <x:c r="I15" s="67" t="n">
        <x:v>104284.70526759104</x:v>
      </x:c>
      <x:c r="J15" s="47" t="str">
        <x:v>Met</x:v>
      </x:c>
    </x:row>
    <x:row r="16">
      <x:c r="A16" s="47" t="str">
        <x:v>L0_GAUSS_ZERO</x:v>
      </x:c>
      <x:c r="B16" s="47" t="str">
        <x:v>NYC-V3-R02</x:v>
      </x:c>
      <x:c r="C16" s="47" t="str">
        <x:v>V3</x:v>
      </x:c>
      <x:c r="D16" s="47" t="n">
        <x:v>33</x:v>
      </x:c>
      <x:c r="E16" s="47" t="n">
        <x:v>33</x:v>
      </x:c>
      <x:c r="F16" s="67" t="n">
        <x:v>59.300000000112604</x:v>
      </x:c>
      <x:c r="G16" s="67" t="n">
        <x:v>2373473.8524048734</x:v>
      </x:c>
      <x:c r="H16" s="67" t="n">
        <x:v>0.00002498447578852748</x:v>
      </x:c>
      <x:c r="I16" s="67" t="n">
        <x:v>40024.85417201292</x:v>
      </x:c>
      <x:c r="J16" s="47" t="str">
        <x:v>Met</x:v>
      </x:c>
    </x:row>
    <x:row r="17">
      <x:c r="A17" s="47" t="str">
        <x:v>L0_GAUSS_ZERO</x:v>
      </x:c>
      <x:c r="B17" s="47" t="str">
        <x:v>NYC-V3-R03</x:v>
      </x:c>
      <x:c r="C17" s="47" t="str">
        <x:v>V3</x:v>
      </x:c>
      <x:c r="D17" s="47" t="n">
        <x:v>33</x:v>
      </x:c>
      <x:c r="E17" s="47" t="n">
        <x:v>33</x:v>
      </x:c>
      <x:c r="F17" s="67" t="n">
        <x:v>1320.7000000000821</x:v>
      </x:c>
      <x:c r="G17" s="67" t="n">
        <x:v>2616411.912107518</x:v>
      </x:c>
      <x:c r="H17" s="67" t="n">
        <x:v>0.0005047752587765354</x:v>
      </x:c>
      <x:c r="I17" s="67" t="n">
        <x:v>1981.0796638959305</x:v>
      </x:c>
      <x:c r="J17" s="47" t="str">
        <x:v>Met</x:v>
      </x:c>
    </x:row>
    <x:row r="18">
      <x:c r="A18" s="47" t="str">
        <x:v>L0_GAUSS_ZERO</x:v>
      </x:c>
      <x:c r="B18" s="47" t="str">
        <x:v>NYC-V3-R04</x:v>
      </x:c>
      <x:c r="C18" s="47" t="str">
        <x:v>V3</x:v>
      </x:c>
      <x:c r="D18" s="47" t="n">
        <x:v>33</x:v>
      </x:c>
      <x:c r="E18" s="47" t="n">
        <x:v>33</x:v>
      </x:c>
      <x:c r="F18" s="67" t="n">
        <x:v>3.3999999999710275</x:v>
      </x:c>
      <x:c r="G18" s="67" t="n">
        <x:v>2149694.0178345162</x:v>
      </x:c>
      <x:c r="H18" s="67" t="n">
        <x:v>0.0000015816204407527733</x:v>
      </x:c>
      <x:c r="I18" s="67" t="n">
        <x:v>632262.9464273043</x:v>
      </x:c>
      <x:c r="J18" s="47" t="str">
        <x:v>Met</x:v>
      </x:c>
    </x:row>
    <x:row r="19">
      <x:c r="A19" s="47" t="str">
        <x:v>L1_GAUSS_SHARED</x:v>
      </x:c>
      <x:c r="B19" s="47" t="str">
        <x:v>NYC-V1-R01</x:v>
      </x:c>
      <x:c r="C19" s="47" t="str">
        <x:v>V1</x:v>
      </x:c>
      <x:c r="D19" s="47" t="n">
        <x:v>33</x:v>
      </x:c>
      <x:c r="E19" s="47" t="n">
        <x:v>33</x:v>
      </x:c>
      <x:c r="F19" s="67" t="n">
        <x:v>33.999478372411154</x:v>
      </x:c>
      <x:c r="G19" s="67" t="n">
        <x:v>2886980.4426035723</x:v>
      </x:c>
      <x:c r="H19" s="67" t="n">
        <x:v>0.000011776830168530455</x:v>
      </x:c>
      <x:c r="I19" s="67" t="n">
        <x:v>84912.4922147691</x:v>
      </x:c>
      <x:c r="J19" s="47" t="str">
        <x:v>Met</x:v>
      </x:c>
    </x:row>
    <x:row r="20">
      <x:c r="A20" s="47" t="str">
        <x:v>L1_GAUSS_SHARED</x:v>
      </x:c>
      <x:c r="B20" s="47" t="str">
        <x:v>NYC-V1-R02</x:v>
      </x:c>
      <x:c r="C20" s="47" t="str">
        <x:v>V1</x:v>
      </x:c>
      <x:c r="D20" s="47" t="n">
        <x:v>33</x:v>
      </x:c>
      <x:c r="E20" s="47" t="n">
        <x:v>33</x:v>
      </x:c>
      <x:c r="F20" s="67" t="n">
        <x:v>40.72195455592083</x:v>
      </x:c>
      <x:c r="G20" s="67" t="n">
        <x:v>4431433.046488803</x:v>
      </x:c>
      <x:c r="H20" s="67" t="n">
        <x:v>0.000009189342167357447</x:v>
      </x:c>
      <x:c r="I20" s="67" t="n">
        <x:v>108821.71778870294</x:v>
      </x:c>
      <x:c r="J20" s="47" t="str">
        <x:v>Met</x:v>
      </x:c>
    </x:row>
    <x:row r="21">
      <x:c r="A21" s="47" t="str">
        <x:v>L1_GAUSS_SHARED</x:v>
      </x:c>
      <x:c r="B21" s="47" t="str">
        <x:v>NYC-V1-R03</x:v>
      </x:c>
      <x:c r="C21" s="47" t="str">
        <x:v>V1</x:v>
      </x:c>
      <x:c r="D21" s="47" t="n">
        <x:v>33</x:v>
      </x:c>
      <x:c r="E21" s="47" t="n">
        <x:v>33</x:v>
      </x:c>
      <x:c r="F21" s="67" t="n">
        <x:v>97.96971785421104</x:v>
      </x:c>
      <x:c r="G21" s="67" t="n">
        <x:v>2666938.7196564917</x:v>
      </x:c>
      <x:c r="H21" s="67" t="n">
        <x:v>0.000036734896505919635</x:v>
      </x:c>
      <x:c r="I21" s="67" t="n">
        <x:v>27222.072065423003</x:v>
      </x:c>
      <x:c r="J21" s="47" t="str">
        <x:v>Met</x:v>
      </x:c>
    </x:row>
    <x:row r="22">
      <x:c r="A22" s="47" t="str">
        <x:v>L1_GAUSS_SHARED</x:v>
      </x:c>
      <x:c r="B22" s="47" t="str">
        <x:v>NYC-V1-R04</x:v>
      </x:c>
      <x:c r="C22" s="47" t="str">
        <x:v>V1</x:v>
      </x:c>
      <x:c r="D22" s="47" t="n">
        <x:v>33</x:v>
      </x:c>
      <x:c r="E22" s="47" t="n">
        <x:v>33</x:v>
      </x:c>
      <x:c r="F22" s="67" t="n">
        <x:v>418.6528798254814</x:v>
      </x:c>
      <x:c r="G22" s="67" t="n">
        <x:v>2767626.349669147</x:v>
      </x:c>
      <x:c r="H22" s="67" t="n">
        <x:v>0.00015126784722060797</x:v>
      </x:c>
      <x:c r="I22" s="67" t="n">
        <x:v>6610.790186903414</x:v>
      </x:c>
      <x:c r="J22" s="47" t="str">
        <x:v>Met</x:v>
      </x:c>
    </x:row>
    <x:row r="23">
      <x:c r="A23" s="47" t="str">
        <x:v>L1_GAUSS_SHARED</x:v>
      </x:c>
      <x:c r="B23" s="47" t="str">
        <x:v>NYC-V2-R01</x:v>
      </x:c>
      <x:c r="C23" s="47" t="str">
        <x:v>V2</x:v>
      </x:c>
      <x:c r="D23" s="47" t="n">
        <x:v>33</x:v>
      </x:c>
      <x:c r="E23" s="47" t="n">
        <x:v>33</x:v>
      </x:c>
      <x:c r="F23" s="67" t="n">
        <x:v>663.1581189061153</x:v>
      </x:c>
      <x:c r="G23" s="67" t="n">
        <x:v>3647479.9890972534</x:v>
      </x:c>
      <x:c r="H23" s="67" t="n">
        <x:v>0.0001818126818758082</x:v>
      </x:c>
      <x:c r="I23" s="67" t="n">
        <x:v>5500.166378289692</x:v>
      </x:c>
      <x:c r="J23" s="47" t="str">
        <x:v>Met</x:v>
      </x:c>
    </x:row>
    <x:row r="24">
      <x:c r="A24" s="47" t="str">
        <x:v>L1_GAUSS_SHARED</x:v>
      </x:c>
      <x:c r="B24" s="47" t="str">
        <x:v>NYC-V2-R02</x:v>
      </x:c>
      <x:c r="C24" s="47" t="str">
        <x:v>V2</x:v>
      </x:c>
      <x:c r="D24" s="47" t="n">
        <x:v>33</x:v>
      </x:c>
      <x:c r="E24" s="47" t="n">
        <x:v>33</x:v>
      </x:c>
      <x:c r="F24" s="67" t="n">
        <x:v>409.4782727886082</x:v>
      </x:c>
      <x:c r="G24" s="67" t="n">
        <x:v>2164428.9245422278</x:v>
      </x:c>
      <x:c r="H24" s="67" t="n">
        <x:v>0.0001891853634672767</x:v>
      </x:c>
      <x:c r="I24" s="67" t="n">
        <x:v>5285.82117386142</x:v>
      </x:c>
      <x:c r="J24" s="47" t="str">
        <x:v>Met</x:v>
      </x:c>
    </x:row>
    <x:row r="25">
      <x:c r="A25" s="47" t="str">
        <x:v>L1_GAUSS_SHARED</x:v>
      </x:c>
      <x:c r="B25" s="47" t="str">
        <x:v>NYC-V2-R03</x:v>
      </x:c>
      <x:c r="C25" s="47" t="str">
        <x:v>V2</x:v>
      </x:c>
      <x:c r="D25" s="47" t="n">
        <x:v>33</x:v>
      </x:c>
      <x:c r="E25" s="47" t="n">
        <x:v>33</x:v>
      </x:c>
      <x:c r="F25" s="67" t="n">
        <x:v>151.2451212698825</x:v>
      </x:c>
      <x:c r="G25" s="67" t="n">
        <x:v>2488873.1583272777</x:v>
      </x:c>
      <x:c r="H25" s="67" t="n">
        <x:v>0.00006076851315779039</x:v>
      </x:c>
      <x:c r="I25" s="67" t="n">
        <x:v>16455.890526783478</x:v>
      </x:c>
      <x:c r="J25" s="47" t="str">
        <x:v>Met</x:v>
      </x:c>
    </x:row>
    <x:row r="26">
      <x:c r="A26" s="47" t="str">
        <x:v>L1_GAUSS_SHARED</x:v>
      </x:c>
      <x:c r="B26" s="47" t="str">
        <x:v>NYC-V2-R04</x:v>
      </x:c>
      <x:c r="C26" s="47" t="str">
        <x:v>V2</x:v>
      </x:c>
      <x:c r="D26" s="47" t="n">
        <x:v>33</x:v>
      </x:c>
      <x:c r="E26" s="47" t="n">
        <x:v>33</x:v>
      </x:c>
      <x:c r="F26" s="67" t="n">
        <x:v>82.27947701607174</x:v>
      </x:c>
      <x:c r="G26" s="67" t="n">
        <x:v>3146165.57024356</x:v>
      </x:c>
      <x:c r="H26" s="67" t="n">
        <x:v>0.000026152303551431366</x:v>
      </x:c>
      <x:c r="I26" s="67" t="n">
        <x:v>38237.5494393215</x:v>
      </x:c>
      <x:c r="J26" s="47" t="str">
        <x:v>Met</x:v>
      </x:c>
    </x:row>
    <x:row r="27">
      <x:c r="A27" s="47" t="str">
        <x:v>L1_GAUSS_SHARED</x:v>
      </x:c>
      <x:c r="B27" s="47" t="str">
        <x:v>NYC-V3-R01</x:v>
      </x:c>
      <x:c r="C27" s="47" t="str">
        <x:v>V3</x:v>
      </x:c>
      <x:c r="D27" s="47" t="n">
        <x:v>33</x:v>
      </x:c>
      <x:c r="E27" s="47" t="n">
        <x:v>33</x:v>
      </x:c>
      <x:c r="F27" s="67" t="n">
        <x:v>15.51783096713446</x:v>
      </x:c>
      <x:c r="G27" s="67" t="n">
        <x:v>2055750.363277178</x:v>
      </x:c>
      <x:c r="H27" s="67" t="n">
        <x:v>0.000007548499683782949</x:v>
      </x:c>
      <x:c r="I27" s="67" t="n">
        <x:v>132476.6565398924</x:v>
      </x:c>
      <x:c r="J27" s="47" t="str">
        <x:v>Met</x:v>
      </x:c>
    </x:row>
    <x:row r="28">
      <x:c r="A28" s="47" t="str">
        <x:v>L1_GAUSS_SHARED</x:v>
      </x:c>
      <x:c r="B28" s="47" t="str">
        <x:v>NYC-V3-R02</x:v>
      </x:c>
      <x:c r="C28" s="47" t="str">
        <x:v>V3</x:v>
      </x:c>
      <x:c r="D28" s="47" t="n">
        <x:v>33</x:v>
      </x:c>
      <x:c r="E28" s="47" t="n">
        <x:v>33</x:v>
      </x:c>
      <x:c r="F28" s="67" t="n">
        <x:v>55.565117601708245</x:v>
      </x:c>
      <x:c r="G28" s="67" t="n">
        <x:v>2725661.1365293902</x:v>
      </x:c>
      <x:c r="H28" s="67" t="n">
        <x:v>0.000020385922834288867</x:v>
      </x:c>
      <x:c r="I28" s="67" t="n">
        <x:v>49053.45753188139</x:v>
      </x:c>
      <x:c r="J28" s="47" t="str">
        <x:v>Met</x:v>
      </x:c>
    </x:row>
    <x:row r="29">
      <x:c r="A29" s="47" t="str">
        <x:v>L1_GAUSS_SHARED</x:v>
      </x:c>
      <x:c r="B29" s="47" t="str">
        <x:v>NYC-V3-R03</x:v>
      </x:c>
      <x:c r="C29" s="47" t="str">
        <x:v>V3</x:v>
      </x:c>
      <x:c r="D29" s="47" t="n">
        <x:v>33</x:v>
      </x:c>
      <x:c r="E29" s="47" t="n">
        <x:v>33</x:v>
      </x:c>
      <x:c r="F29" s="67" t="n">
        <x:v>1185.3703021012577</x:v>
      </x:c>
      <x:c r="G29" s="67" t="n">
        <x:v>2898297.6361736283</x:v>
      </x:c>
      <x:c r="H29" s="67" t="n">
        <x:v>0.00040898846526549274</x:v>
      </x:c>
      <x:c r="I29" s="67" t="n">
        <x:v>2445.056731247555</x:v>
      </x:c>
      <x:c r="J29" s="47" t="str">
        <x:v>Met</x:v>
      </x:c>
    </x:row>
    <x:row r="30">
      <x:c r="A30" s="47" t="str">
        <x:v>L1_GAUSS_SHARED</x:v>
      </x:c>
      <x:c r="B30" s="47" t="str">
        <x:v>NYC-V3-R04</x:v>
      </x:c>
      <x:c r="C30" s="47" t="str">
        <x:v>V3</x:v>
      </x:c>
      <x:c r="D30" s="47" t="n">
        <x:v>33</x:v>
      </x:c>
      <x:c r="E30" s="47" t="n">
        <x:v>33</x:v>
      </x:c>
      <x:c r="F30" s="67" t="n">
        <x:v>3.0947779256318944</x:v>
      </x:c>
      <x:c r="G30" s="67" t="n">
        <x:v>2486575.262030701</x:v>
      </x:c>
      <x:c r="H30" s="67" t="n">
        <x:v>0.0000012445945123352087</x:v>
      </x:c>
      <x:c r="I30" s="67" t="n">
        <x:v>803474.537360541</x:v>
      </x:c>
      <x:c r="J30" s="47" t="str">
        <x:v>Met</x:v>
      </x:c>
    </x:row>
    <x:row r="31">
      <x:c r="A31" s="47" t="str">
        <x:v>L2_GAUSS_CONCORDANT</x:v>
      </x:c>
      <x:c r="B31" s="47" t="str">
        <x:v>NYC-V1-R01</x:v>
      </x:c>
      <x:c r="C31" s="47" t="str">
        <x:v>V1</x:v>
      </x:c>
      <x:c r="D31" s="47" t="n">
        <x:v>33</x:v>
      </x:c>
      <x:c r="E31" s="47" t="n">
        <x:v>33</x:v>
      </x:c>
      <x:c r="F31" s="67" t="n">
        <x:v>30.507673491078368</x:v>
      </x:c>
      <x:c r="G31" s="67" t="n">
        <x:v>3694578.117070386</x:v>
      </x:c>
      <x:c r="H31" s="67" t="n">
        <x:v>0.000008257417362518622</x:v>
      </x:c>
      <x:c r="I31" s="67" t="n">
        <x:v>121103.24040772315</x:v>
      </x:c>
      <x:c r="J31" s="47" t="str">
        <x:v>Met</x:v>
      </x:c>
    </x:row>
    <x:row r="32">
      <x:c r="A32" s="47" t="str">
        <x:v>L2_GAUSS_CONCORDANT</x:v>
      </x:c>
      <x:c r="B32" s="47" t="str">
        <x:v>NYC-V1-R02</x:v>
      </x:c>
      <x:c r="C32" s="47" t="str">
        <x:v>V1</x:v>
      </x:c>
      <x:c r="D32" s="47" t="n">
        <x:v>33</x:v>
      </x:c>
      <x:c r="E32" s="47" t="n">
        <x:v>33</x:v>
      </x:c>
      <x:c r="F32" s="67" t="n">
        <x:v>25.938306615767033</x:v>
      </x:c>
      <x:c r="G32" s="67" t="n">
        <x:v>5184425.409102075</x:v>
      </x:c>
      <x:c r="H32" s="67" t="n">
        <x:v>0.000005003120802978138</x:v>
      </x:c>
      <x:c r="I32" s="67" t="n">
        <x:v>199875.245747563</x:v>
      </x:c>
      <x:c r="J32" s="47" t="str">
        <x:v>Met</x:v>
      </x:c>
    </x:row>
    <x:row r="33">
      <x:c r="A33" s="47" t="str">
        <x:v>L2_GAUSS_CONCORDANT</x:v>
      </x:c>
      <x:c r="B33" s="47" t="str">
        <x:v>NYC-V1-R03</x:v>
      </x:c>
      <x:c r="C33" s="47" t="str">
        <x:v>V1</x:v>
      </x:c>
      <x:c r="D33" s="47" t="n">
        <x:v>33</x:v>
      </x:c>
      <x:c r="E33" s="47" t="n">
        <x:v>33</x:v>
      </x:c>
      <x:c r="F33" s="67" t="n">
        <x:v>141.13629883216606</x:v>
      </x:c>
      <x:c r="G33" s="67" t="n">
        <x:v>3379130.394775778</x:v>
      </x:c>
      <x:c r="H33" s="67" t="n">
        <x:v>0.000041767047241019875</x:v>
      </x:c>
      <x:c r="I33" s="67" t="n">
        <x:v>23942.31974861486</x:v>
      </x:c>
      <x:c r="J33" s="47" t="str">
        <x:v>Met</x:v>
      </x:c>
    </x:row>
    <x:row r="34">
      <x:c r="A34" s="47" t="str">
        <x:v>L2_GAUSS_CONCORDANT</x:v>
      </x:c>
      <x:c r="B34" s="47" t="str">
        <x:v>NYC-V1-R04</x:v>
      </x:c>
      <x:c r="C34" s="47" t="str">
        <x:v>V1</x:v>
      </x:c>
      <x:c r="D34" s="47" t="n">
        <x:v>33</x:v>
      </x:c>
      <x:c r="E34" s="47" t="n">
        <x:v>33</x:v>
      </x:c>
      <x:c r="F34" s="67" t="n">
        <x:v>254.24780041060677</x:v>
      </x:c>
      <x:c r="G34" s="67" t="n">
        <x:v>3254424.566854533</x:v>
      </x:c>
      <x:c r="H34" s="67" t="n">
        <x:v>0.00007812373437690167</x:v>
      </x:c>
      <x:c r="I34" s="67" t="n">
        <x:v>12800.207363047708</x:v>
      </x:c>
      <x:c r="J34" s="47" t="str">
        <x:v>Met</x:v>
      </x:c>
    </x:row>
    <x:row r="35">
      <x:c r="A35" s="47" t="str">
        <x:v>L2_GAUSS_CONCORDANT</x:v>
      </x:c>
      <x:c r="B35" s="47" t="str">
        <x:v>NYC-V2-R01</x:v>
      </x:c>
      <x:c r="C35" s="47" t="str">
        <x:v>V2</x:v>
      </x:c>
      <x:c r="D35" s="47" t="n">
        <x:v>33</x:v>
      </x:c>
      <x:c r="E35" s="47" t="n">
        <x:v>33</x:v>
      </x:c>
      <x:c r="F35" s="67" t="n">
        <x:v>383.1322114881766</x:v>
      </x:c>
      <x:c r="G35" s="67" t="n">
        <x:v>4252435.980887121</x:v>
      </x:c>
      <x:c r="H35" s="67" t="n">
        <x:v>0.00009009711450335569</x:v>
      </x:c>
      <x:c r="I35" s="67" t="n">
        <x:v>11099.134589518453</x:v>
      </x:c>
      <x:c r="J35" s="47" t="str">
        <x:v>Met</x:v>
      </x:c>
    </x:row>
    <x:row r="36">
      <x:c r="A36" s="47" t="str">
        <x:v>L2_GAUSS_CONCORDANT</x:v>
      </x:c>
      <x:c r="B36" s="47" t="str">
        <x:v>NYC-V2-R02</x:v>
      </x:c>
      <x:c r="C36" s="47" t="str">
        <x:v>V2</x:v>
      </x:c>
      <x:c r="D36" s="47" t="n">
        <x:v>33</x:v>
      </x:c>
      <x:c r="E36" s="47" t="n">
        <x:v>33</x:v>
      </x:c>
      <x:c r="F36" s="67" t="n">
        <x:v>346.5558201880815</x:v>
      </x:c>
      <x:c r="G36" s="67" t="n">
        <x:v>2530146.2566244416</x:v>
      </x:c>
      <x:c r="H36" s="67" t="n">
        <x:v>0.0001369706669251737</x:v>
      </x:c>
      <x:c r="I36" s="67" t="n">
        <x:v>7300.833254658051</x:v>
      </x:c>
      <x:c r="J36" s="47" t="str">
        <x:v>Met</x:v>
      </x:c>
    </x:row>
    <x:row r="37">
      <x:c r="A37" s="47" t="str">
        <x:v>L2_GAUSS_CONCORDANT</x:v>
      </x:c>
      <x:c r="B37" s="47" t="str">
        <x:v>NYC-V2-R03</x:v>
      </x:c>
      <x:c r="C37" s="47" t="str">
        <x:v>V2</x:v>
      </x:c>
      <x:c r="D37" s="47" t="n">
        <x:v>33</x:v>
      </x:c>
      <x:c r="E37" s="47" t="n">
        <x:v>33</x:v>
      </x:c>
      <x:c r="F37" s="67" t="n">
        <x:v>142.0635614135227</x:v>
      </x:c>
      <x:c r="G37" s="67" t="n">
        <x:v>2860851.380742209</x:v>
      </x:c>
      <x:c r="H37" s="67" t="n">
        <x:v>0.00004965779151263225</x:v>
      </x:c>
      <x:c r="I37" s="67" t="n">
        <x:v>20137.8267043071</x:v>
      </x:c>
      <x:c r="J37" s="47" t="str">
        <x:v>Met</x:v>
      </x:c>
    </x:row>
    <x:row r="38">
      <x:c r="A38" s="47" t="str">
        <x:v>L2_GAUSS_CONCORDANT</x:v>
      </x:c>
      <x:c r="B38" s="47" t="str">
        <x:v>NYC-V2-R04</x:v>
      </x:c>
      <x:c r="C38" s="47" t="str">
        <x:v>V2</x:v>
      </x:c>
      <x:c r="D38" s="47" t="n">
        <x:v>33</x:v>
      </x:c>
      <x:c r="E38" s="47" t="n">
        <x:v>33</x:v>
      </x:c>
      <x:c r="F38" s="67" t="n">
        <x:v>72.9532219146697</x:v>
      </x:c>
      <x:c r="G38" s="67" t="n">
        <x:v>3686453.3413318107</x:v>
      </x:c>
      <x:c r="H38" s="67" t="n">
        <x:v>0.000019789541643381757</x:v>
      </x:c>
      <x:c r="I38" s="67" t="n">
        <x:v>50531.74136220741</x:v>
      </x:c>
      <x:c r="J38" s="47" t="str">
        <x:v>Met</x:v>
      </x:c>
    </x:row>
    <x:row r="39">
      <x:c r="A39" s="47" t="str">
        <x:v>L2_GAUSS_CONCORDANT</x:v>
      </x:c>
      <x:c r="B39" s="47" t="str">
        <x:v>NYC-V3-R01</x:v>
      </x:c>
      <x:c r="C39" s="47" t="str">
        <x:v>V3</x:v>
      </x:c>
      <x:c r="D39" s="47" t="n">
        <x:v>33</x:v>
      </x:c>
      <x:c r="E39" s="47" t="n">
        <x:v>33</x:v>
      </x:c>
      <x:c r="F39" s="67" t="n">
        <x:v>14.704758343308205</x:v>
      </x:c>
      <x:c r="G39" s="67" t="n">
        <x:v>2447808.781926062</x:v>
      </x:c>
      <x:c r="H39" s="67" t="n">
        <x:v>0.00000600731497161218</x:v>
      </x:c>
      <x:c r="I39" s="67" t="n">
        <x:v>166463.72043509324</x:v>
      </x:c>
      <x:c r="J39" s="47" t="str">
        <x:v>Met</x:v>
      </x:c>
    </x:row>
    <x:row r="40">
      <x:c r="A40" s="47" t="str">
        <x:v>L2_GAUSS_CONCORDANT</x:v>
      </x:c>
      <x:c r="B40" s="47" t="str">
        <x:v>NYC-V3-R02</x:v>
      </x:c>
      <x:c r="C40" s="47" t="str">
        <x:v>V3</x:v>
      </x:c>
      <x:c r="D40" s="47" t="n">
        <x:v>33</x:v>
      </x:c>
      <x:c r="E40" s="47" t="n">
        <x:v>33</x:v>
      </x:c>
      <x:c r="F40" s="67" t="n">
        <x:v>55.28037015391882</x:v>
      </x:c>
      <x:c r="G40" s="67" t="n">
        <x:v>3255924.386760951</x:v>
      </x:c>
      <x:c r="H40" s="67" t="n">
        <x:v>0.000016978394946361967</x:v>
      </x:c>
      <x:c r="I40" s="67" t="n">
        <x:v>58898.382512551594</x:v>
      </x:c>
      <x:c r="J40" s="47" t="str">
        <x:v>Met</x:v>
      </x:c>
    </x:row>
    <x:row r="41">
      <x:c r="A41" s="47" t="str">
        <x:v>L2_GAUSS_CONCORDANT</x:v>
      </x:c>
      <x:c r="B41" s="47" t="str">
        <x:v>NYC-V3-R03</x:v>
      </x:c>
      <x:c r="C41" s="47" t="str">
        <x:v>V3</x:v>
      </x:c>
      <x:c r="D41" s="47" t="n">
        <x:v>33</x:v>
      </x:c>
      <x:c r="E41" s="47" t="n">
        <x:v>33</x:v>
      </x:c>
      <x:c r="F41" s="67" t="n">
        <x:v>1007.7511760632631</x:v>
      </x:c>
      <x:c r="G41" s="67" t="n">
        <x:v>3327892.2631367315</x:v>
      </x:c>
      <x:c r="H41" s="67" t="n">
        <x:v>0.0003028196517135441</x:v>
      </x:c>
      <x:c r="I41" s="67" t="n">
        <x:v>3302.2955886164286</x:v>
      </x:c>
      <x:c r="J41" s="47" t="str">
        <x:v>Met</x:v>
      </x:c>
    </x:row>
    <x:row r="42">
      <x:c r="A42" s="51" t="str">
        <x:v>L2_GAUSS_CONCORDANT</x:v>
      </x:c>
      <x:c r="B42" s="51" t="str">
        <x:v>NYC-V3-R04</x:v>
      </x:c>
      <x:c r="C42" s="51" t="str">
        <x:v>V3</x:v>
      </x:c>
      <x:c r="D42" s="51" t="n">
        <x:v>33</x:v>
      </x:c>
      <x:c r="E42" s="51" t="n">
        <x:v>33</x:v>
      </x:c>
      <x:c r="F42" s="68" t="n">
        <x:v>2.8499180126400447</x:v>
      </x:c>
      <x:c r="G42" s="68" t="n">
        <x:v>2952540.6903426936</x:v>
      </x:c>
      <x:c r="H42" s="68" t="n">
        <x:v>9.652425864821062e-7</x:v>
      </x:c>
      <x:c r="I42" s="68" t="n">
        <x:v>1036008.9929771641</x:v>
      </x:c>
      <x:c r="J42" s="51" t="str">
        <x:v>Met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9" hidden="0" customWidth="1"/>
    <x:col min="2" max="2" width="12" hidden="0" customWidth="1"/>
    <x:col min="3" max="3" width="12" hidden="0" customWidth="1"/>
    <x:col min="4" max="4" width="12" hidden="0" customWidth="1"/>
    <x:col min="5" max="5" width="20" hidden="0" customWidth="1"/>
    <x:col min="6" max="6" width="20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14" hidden="0" customWidth="1"/>
  </x:cols>
  <x:sheetData>
    <x:row r="1" ht="22" customHeight="1">
      <x:c r="A1" s="38" t="str">
        <x:v>Simulation Summary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</x:row>
    <x:row r="2" ht="22" customHeight="1">
      <x:c r="A2" s="40" t="str">
        <x:v>Registered G04 result by likelihood family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</x:row>
    <x:row r="6">
      <x:c r="A6" s="19" t="str">
        <x:v>Likelihood</x:v>
      </x:c>
      <x:c r="B6" s="20" t="str">
        <x:v>Paths</x:v>
      </x:c>
      <x:c r="C6" s="20" t="str">
        <x:v>Passes</x:v>
      </x:c>
      <x:c r="D6" s="20" t="str">
        <x:v>Failures</x:v>
      </x:c>
      <x:c r="E6" s="20" t="str">
        <x:v>Minimum diagonal ratio</x:v>
      </x:c>
      <x:c r="F6" s="20" t="str">
        <x:v>Maximum diagonal ratio</x:v>
      </x:c>
      <x:c r="G6" s="20" t="str">
        <x:v>Maximum Frobenius error</x:v>
      </x:c>
      <x:c r="H6" s="20" t="str">
        <x:v>Median Frobenius error</x:v>
      </x:c>
      <x:c r="I6" s="20" t="str">
        <x:v>Median expected RMS</x:v>
      </x:c>
      <x:c r="J6" s="20" t="str">
        <x:v>Minimum effective rank</x:v>
      </x:c>
      <x:c r="K6" s="20" t="str">
        <x:v>Maximum effective rank</x:v>
      </x:c>
      <x:c r="L6" s="21" t="str">
        <x:v>Decision</x:v>
      </x:c>
    </x:row>
    <x:row r="7">
      <x:c r="A7" s="44" t="str">
        <x:v>L0_GAUSS_ZERO</x:v>
      </x:c>
      <x:c r="B7" s="44" t="n">
        <x:v>12</x:v>
      </x:c>
      <x:c r="C7" s="44" t="n">
        <x:v>11</x:v>
      </x:c>
      <x:c r="D7" s="44" t="n">
        <x:v>1</x:v>
      </x:c>
      <x:c r="E7" s="73" t="n">
        <x:v>0.986053015423381</x:v>
      </x:c>
      <x:c r="F7" s="73" t="n">
        <x:v>1.0117049779694944</x:v>
      </x:c>
      <x:c r="G7" s="73" t="n">
        <x:v>0.01070356525169127</x:v>
      </x:c>
      <x:c r="H7" s="73" t="n">
        <x:v>0.00798985457607738</x:v>
      </x:c>
      <x:c r="I7" s="73" t="n">
        <x:v>0.008210741807679918</x:v>
      </x:c>
      <x:c r="J7" s="73" t="n">
        <x:v>4.86457831670306</x:v>
      </x:c>
      <x:c r="K7" s="73" t="n">
        <x:v>8.013752304813023</x:v>
      </x:c>
      <x:c r="L7" s="46" t="str">
        <x:v>STOP</x:v>
      </x:c>
    </x:row>
    <x:row r="8">
      <x:c r="A8" s="47" t="str">
        <x:v>L1_GAUSS_SHARED</x:v>
      </x:c>
      <x:c r="B8" s="47" t="n">
        <x:v>12</x:v>
      </x:c>
      <x:c r="C8" s="47" t="n">
        <x:v>12</x:v>
      </x:c>
      <x:c r="D8" s="47" t="n">
        <x:v>0</x:v>
      </x:c>
      <x:c r="E8" s="74" t="n">
        <x:v>0.9877786051875697</x:v>
      </x:c>
      <x:c r="F8" s="74" t="n">
        <x:v>1.0177637182256545</x:v>
      </x:c>
      <x:c r="G8" s="74" t="n">
        <x:v>0.009965454706738187</x:v>
      </x:c>
      <x:c r="H8" s="74" t="n">
        <x:v>0.008174079148491852</x:v>
      </x:c>
      <x:c r="I8" s="74" t="n">
        <x:v>0.007969296968505082</x:v>
      </x:c>
      <x:c r="J8" s="74" t="n">
        <x:v>4.573665661593095</x:v>
      </x:c>
      <x:c r="K8" s="74" t="n">
        <x:v>6.965190835453755</x:v>
      </x:c>
      <x:c r="L8" s="50" t="str">
        <x:v>Met</x:v>
      </x:c>
    </x:row>
    <x:row r="9">
      <x:c r="A9" s="47" t="str">
        <x:v>L2_GAUSS_CONCORDANT</x:v>
      </x:c>
      <x:c r="B9" s="47" t="n">
        <x:v>12</x:v>
      </x:c>
      <x:c r="C9" s="47" t="n">
        <x:v>10</x:v>
      </x:c>
      <x:c r="D9" s="47" t="n">
        <x:v>2</x:v>
      </x:c>
      <x:c r="E9" s="74" t="n">
        <x:v>0.9851554571658412</x:v>
      </x:c>
      <x:c r="F9" s="74" t="n">
        <x:v>1.014319883831996</x:v>
      </x:c>
      <x:c r="G9" s="74" t="n">
        <x:v>0.011767054030415811</x:v>
      </x:c>
      <x:c r="H9" s="74" t="n">
        <x:v>0.0072895170835808945</x:v>
      </x:c>
      <x:c r="I9" s="74" t="n">
        <x:v>0.007532531261192854</x:v>
      </x:c>
      <x:c r="J9" s="74" t="n">
        <x:v>4.070505777574074</x:v>
      </x:c>
      <x:c r="K9" s="74" t="n">
        <x:v>5.459933920081912</x:v>
      </x:c>
      <x:c r="L9" s="49" t="str">
        <x:v>STOP</x:v>
      </x:c>
    </x:row>
    <x:row r="10">
      <x:c r="A10" s="51" t="str">
        <x:v>L3_T7_ZERO</x:v>
      </x:c>
      <x:c r="B10" s="51" t="n">
        <x:v>12</x:v>
      </x:c>
      <x:c r="C10" s="51" t="n">
        <x:v>4</x:v>
      </x:c>
      <x:c r="D10" s="51" t="n">
        <x:v>8</x:v>
      </x:c>
      <x:c r="E10" s="75" t="n">
        <x:v>0.984837967106678</x:v>
      </x:c>
      <x:c r="F10" s="75" t="n">
        <x:v>1.0199839032199394</x:v>
      </x:c>
      <x:c r="G10" s="75" t="n">
        <x:v>0.013946393661491748</x:v>
      </x:c>
      <x:c r="H10" s="75" t="n">
        <x:v>0.011126776325510552</x:v>
      </x:c>
      <x:c r="I10" s="75" t="n">
        <x:v>0.010909971270864087</x:v>
      </x:c>
      <x:c r="J10" s="75" t="n">
        <x:v>4.86457831670306</x:v>
      </x:c>
      <x:c r="K10" s="75" t="n">
        <x:v>8.013752304813023</x:v>
      </x:c>
      <x:c r="L10" s="76" t="str">
        <x:v>STOP</x:v>
      </x:c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</x:row>
    <x:row r="13">
      <x:c r="A13" s="41" t="str">
        <x:v>Finding</x:v>
      </x:c>
      <x:c r="B13" s="41" t="str">
        <x:v>Finding</x:v>
      </x:c>
      <x:c r="C13" s="41" t="str">
        <x:v>Finding</x:v>
      </x:c>
      <x:c r="D13" s="41" t="str">
        <x:v>Finding</x:v>
      </x:c>
      <x:c r="E13" s="41" t="str">
        <x:v>Finding</x:v>
      </x:c>
      <x:c r="F13" s="41" t="str">
        <x:v>Finding</x:v>
      </x:c>
      <x:c r="G13" s="41" t="str">
        <x:v>Finding</x:v>
      </x:c>
      <x:c r="H13" s="41" t="str">
        <x:v>Finding</x:v>
      </x:c>
      <x:c r="I13" s="41" t="str">
        <x:v>Finding</x:v>
      </x:c>
      <x:c r="J13" s="41" t="str">
        <x:v>Finding</x:v>
      </x:c>
      <x:c r="K13" s="41" t="str">
        <x:v>Finding</x:v>
      </x:c>
      <x:c r="L13" s="41" t="str">
        <x:v>Finding</x:v>
      </x:c>
    </x:row>
    <x:row r="14">
      <x:c r="A14" s="36" t="str">
        <x:v>All 1,584 diagonal ratios remain within 0.98–1.02. Eleven paths fail only the native-coordinate Frobenius cutoff. The pass/fail rate changes with covariance effective rank and Student-t fourth moments, so the cutoff does not apply a common statistical test across the four families.</x:v>
      </x:c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4" hidden="0" customWidth="1"/>
    <x:col min="8" max="8" width="18" hidden="0" customWidth="1"/>
    <x:col min="9" max="9" width="20" hidden="0" customWidth="1"/>
    <x:col min="10" max="10" width="22" hidden="0" customWidth="1"/>
    <x:col min="11" max="11" width="16" hidden="0" customWidth="1"/>
    <x:col min="12" max="12" width="18" hidden="0" customWidth="1"/>
    <x:col min="13" max="13" width="14" hidden="0" customWidth="1"/>
    <x:col min="14" max="14" width="70" hidden="0" customWidth="1"/>
  </x:cols>
  <x:sheetData>
    <x:row r="1" ht="22" customHeight="1">
      <x:c r="A1" s="38" t="str">
        <x:v>Simulation Paths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 ht="22" customHeight="1">
      <x:c r="A2" s="40" t="str">
        <x:v>All 48 deterministic 100,000-draw fixed-state covariance tests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</x:row>
    <x:row r="6">
      <x:c r="A6" s="19" t="str">
        <x:v>Likelihood</x:v>
      </x:c>
      <x:c r="B6" s="20" t="str">
        <x:v>Catchment</x:v>
      </x:c>
      <x:c r="C6" s="20" t="str">
        <x:v>Family</x:v>
      </x:c>
      <x:c r="D6" s="20" t="str">
        <x:v>Minimum diagonal ratio</x:v>
      </x:c>
      <x:c r="E6" s="20" t="str">
        <x:v>Maximum diagonal ratio</x:v>
      </x:c>
      <x:c r="F6" s="20" t="str">
        <x:v>Native Frobenius error</x:v>
      </x:c>
      <x:c r="G6" s="20" t="str">
        <x:v>Whitened Frobenius error</x:v>
      </x:c>
      <x:c r="H6" s="20" t="str">
        <x:v>Effective rank</x:v>
      </x:c>
      <x:c r="I6" s="20" t="str">
        <x:v>Expected native RMS</x:v>
      </x:c>
      <x:c r="J6" s="20" t="str">
        <x:v>Expected whitened RMS</x:v>
      </x:c>
      <x:c r="K6" s="20" t="str">
        <x:v>Diagonal gate</x:v>
      </x:c>
      <x:c r="L6" s="20" t="str">
        <x:v>Frobenius gate</x:v>
      </x:c>
      <x:c r="M6" s="20" t="str">
        <x:v>G04</x:v>
      </x:c>
      <x:c r="N6" s="21" t="str">
        <x:v>Seed SHA-256</x:v>
      </x:c>
    </x:row>
    <x:row r="7">
      <x:c r="A7" s="44" t="str">
        <x:v>L0_GAUSS_ZERO</x:v>
      </x:c>
      <x:c r="B7" s="44" t="str">
        <x:v>NYC-V1-R01</x:v>
      </x:c>
      <x:c r="C7" s="44" t="str">
        <x:v>Gaussian</x:v>
      </x:c>
      <x:c r="D7" s="73" t="n">
        <x:v>0.9919712952510504</x:v>
      </x:c>
      <x:c r="E7" s="73" t="n">
        <x:v>1.0091494738985798</x:v>
      </x:c>
      <x:c r="F7" s="73" t="n">
        <x:v>0.00876315383510993</x:v>
      </x:c>
      <x:c r="G7" s="73" t="n">
        <x:v>0.018527701553904395</x:v>
      </x:c>
      <x:c r="H7" s="73" t="n">
        <x:v>8.013752304813023</x:v>
      </x:c>
      <x:c r="I7" s="73" t="n">
        <x:v>0.009494078314830262</x:v>
      </x:c>
      <x:c r="J7" s="73" t="n">
        <x:v>0.018439088914585774</x:v>
      </x:c>
      <x:c r="K7" s="44" t="n">
        <x:v>1</x:v>
      </x:c>
      <x:c r="L7" s="44" t="n">
        <x:v>1</x:v>
      </x:c>
      <x:c r="M7" s="44" t="str">
        <x:f>IF(AND(K7=1,L7=1),"Met","STOP")</x:f>
        <x:v>Met</x:v>
      </x:c>
      <x:c r="N7" s="44" t="str">
        <x:v>9068304f5abfaf92af3c6a6dfa5636b90f29ecc8204c91ca69ace955b8403915</x:v>
      </x:c>
    </x:row>
    <x:row r="8">
      <x:c r="A8" s="47" t="str">
        <x:v>L0_GAUSS_ZERO</x:v>
      </x:c>
      <x:c r="B8" s="47" t="str">
        <x:v>NYC-V1-R02</x:v>
      </x:c>
      <x:c r="C8" s="47" t="str">
        <x:v>Gaussian</x:v>
      </x:c>
      <x:c r="D8" s="74" t="n">
        <x:v>0.9881775238115013</x:v>
      </x:c>
      <x:c r="E8" s="74" t="n">
        <x:v>1.004487031460106</x:v>
      </x:c>
      <x:c r="F8" s="74" t="n">
        <x:v>0.006875602557695295</x:v>
      </x:c>
      <x:c r="G8" s="74" t="n">
        <x:v>0.01870446363081264</x:v>
      </x:c>
      <x:c r="H8" s="74" t="n">
        <x:v>5.0977812516125205</x:v>
      </x:c>
      <x:c r="I8" s="74" t="n">
        <x:v>0.007808829138617723</x:v>
      </x:c>
      <x:c r="J8" s="74" t="n">
        <x:v>0.018439088914585774</x:v>
      </x:c>
      <x:c r="K8" s="47" t="n">
        <x:v>1</x:v>
      </x:c>
      <x:c r="L8" s="47" t="n">
        <x:v>1</x:v>
      </x:c>
      <x:c r="M8" s="47" t="str">
        <x:f>IF(AND(K8=1,L8=1),"Met","STOP")</x:f>
        <x:v>Met</x:v>
      </x:c>
      <x:c r="N8" s="47" t="str">
        <x:v>5f0676ebff88e045e541759bd964461806e9223dce9950c1fd3a58f54a83074b</x:v>
      </x:c>
    </x:row>
    <x:row r="9">
      <x:c r="A9" s="47" t="str">
        <x:v>L0_GAUSS_ZERO</x:v>
      </x:c>
      <x:c r="B9" s="47" t="str">
        <x:v>NYC-V1-R03</x:v>
      </x:c>
      <x:c r="C9" s="47" t="str">
        <x:v>Gaussian</x:v>
      </x:c>
      <x:c r="D9" s="74" t="n">
        <x:v>0.9911635702547349</x:v>
      </x:c>
      <x:c r="E9" s="74" t="n">
        <x:v>1.0062419101045734</x:v>
      </x:c>
      <x:c r="F9" s="74" t="n">
        <x:v>0.008096442841682754</x:v>
      </x:c>
      <x:c r="G9" s="74" t="n">
        <x:v>0.018132607403384488</x:v>
      </x:c>
      <x:c r="H9" s="74" t="n">
        <x:v>6.9735574932011195</x:v>
      </x:c>
      <x:c r="I9" s="74" t="n">
        <x:v>0.008929477864467284</x:v>
      </x:c>
      <x:c r="J9" s="74" t="n">
        <x:v>0.018439088914585774</x:v>
      </x:c>
      <x:c r="K9" s="47" t="n">
        <x:v>1</x:v>
      </x:c>
      <x:c r="L9" s="47" t="n">
        <x:v>1</x:v>
      </x:c>
      <x:c r="M9" s="47" t="str">
        <x:f>IF(AND(K9=1,L9=1),"Met","STOP")</x:f>
        <x:v>Met</x:v>
      </x:c>
      <x:c r="N9" s="47" t="str">
        <x:v>d66db6eb06c92d9763ebd5f9ce3d790d9d1c0753d37124068216ce1721847ed7</x:v>
      </x:c>
    </x:row>
    <x:row r="10">
      <x:c r="A10" s="47" t="str">
        <x:v>L0_GAUSS_ZERO</x:v>
      </x:c>
      <x:c r="B10" s="47" t="str">
        <x:v>NYC-V1-R04</x:v>
      </x:c>
      <x:c r="C10" s="47" t="str">
        <x:v>Gaussian</x:v>
      </x:c>
      <x:c r="D10" s="74" t="n">
        <x:v>0.9914501631863283</x:v>
      </x:c>
      <x:c r="E10" s="74" t="n">
        <x:v>1.0094514307250895</x:v>
      </x:c>
      <x:c r="F10" s="74" t="n">
        <x:v>0.009576865140759455</x:v>
      </x:c>
      <x:c r="G10" s="74" t="n">
        <x:v>0.018437223258429523</x:v>
      </x:c>
      <x:c r="H10" s="74" t="n">
        <x:v>6.054760059909477</x:v>
      </x:c>
      <x:c r="I10" s="74" t="n">
        <x:v>0.008399261907994938</x:v>
      </x:c>
      <x:c r="J10" s="74" t="n">
        <x:v>0.018439088914585774</x:v>
      </x:c>
      <x:c r="K10" s="47" t="n">
        <x:v>1</x:v>
      </x:c>
      <x:c r="L10" s="47" t="n">
        <x:v>1</x:v>
      </x:c>
      <x:c r="M10" s="47" t="str">
        <x:f>IF(AND(K10=1,L10=1),"Met","STOP")</x:f>
        <x:v>Met</x:v>
      </x:c>
      <x:c r="N10" s="47" t="str">
        <x:v>3341cea95edae751ec2e659cbae745aa8990d5de41ac41df4c08bd47d0f07758</x:v>
      </x:c>
    </x:row>
    <x:row r="11">
      <x:c r="A11" s="47" t="str">
        <x:v>L0_GAUSS_ZERO</x:v>
      </x:c>
      <x:c r="B11" s="47" t="str">
        <x:v>NYC-V2-R01</x:v>
      </x:c>
      <x:c r="C11" s="47" t="str">
        <x:v>Gaussian</x:v>
      </x:c>
      <x:c r="D11" s="74" t="n">
        <x:v>0.986053015423381</x:v>
      </x:c>
      <x:c r="E11" s="74" t="n">
        <x:v>1.011596963309244</x:v>
      </x:c>
      <x:c r="F11" s="74" t="n">
        <x:v>0.01070356525169127</x:v>
      </x:c>
      <x:c r="G11" s="74" t="n">
        <x:v>0.018648124650697574</x:v>
      </x:c>
      <x:c r="H11" s="74" t="n">
        <x:v>5.643168138725471</x:v>
      </x:c>
      <x:c r="I11" s="74" t="n">
        <x:v>0.008150563255828074</x:v>
      </x:c>
      <x:c r="J11" s="74" t="n">
        <x:v>0.018439088914585774</x:v>
      </x:c>
      <x:c r="K11" s="47" t="n">
        <x:v>1</x:v>
      </x:c>
      <x:c r="L11" s="47" t="n">
        <x:v>0</x:v>
      </x:c>
      <x:c r="M11" s="47" t="str">
        <x:f>IF(AND(K11=1,L11=1),"Met","STOP")</x:f>
        <x:v>STOP</x:v>
      </x:c>
      <x:c r="N11" s="47" t="str">
        <x:v>64703b4561aef004bda1c3b745dbbbec696fa4286adf15a6f5994ee0038c6f25</x:v>
      </x:c>
    </x:row>
    <x:row r="12">
      <x:c r="A12" s="47" t="str">
        <x:v>L0_GAUSS_ZERO</x:v>
      </x:c>
      <x:c r="B12" s="47" t="str">
        <x:v>NYC-V2-R02</x:v>
      </x:c>
      <x:c r="C12" s="47" t="str">
        <x:v>Gaussian</x:v>
      </x:c>
      <x:c r="D12" s="74" t="n">
        <x:v>0.9883188300754389</x:v>
      </x:c>
      <x:c r="E12" s="74" t="n">
        <x:v>1.0060630296815085</x:v>
      </x:c>
      <x:c r="F12" s="74" t="n">
        <x:v>0.005843816369374523</x:v>
      </x:c>
      <x:c r="G12" s="74" t="n">
        <x:v>0.018352350790638683</x:v>
      </x:c>
      <x:c r="H12" s="74" t="n">
        <x:v>5.131614444778989</x:v>
      </x:c>
      <x:c r="I12" s="74" t="n">
        <x:v>0.007830462594750702</x:v>
      </x:c>
      <x:c r="J12" s="74" t="n">
        <x:v>0.018439088914585774</x:v>
      </x:c>
      <x:c r="K12" s="47" t="n">
        <x:v>1</x:v>
      </x:c>
      <x:c r="L12" s="47" t="n">
        <x:v>1</x:v>
      </x:c>
      <x:c r="M12" s="47" t="str">
        <x:f>IF(AND(K12=1,L12=1),"Met","STOP")</x:f>
        <x:v>Met</x:v>
      </x:c>
      <x:c r="N12" s="47" t="str">
        <x:v>037142be4dbfd4bbf3cd8a577f88adcb2f37b1465896c124b17fd0f103045e7d</x:v>
      </x:c>
    </x:row>
    <x:row r="13">
      <x:c r="A13" s="47" t="str">
        <x:v>L0_GAUSS_ZERO</x:v>
      </x:c>
      <x:c r="B13" s="47" t="str">
        <x:v>NYC-V2-R03</x:v>
      </x:c>
      <x:c r="C13" s="47" t="str">
        <x:v>Gaussian</x:v>
      </x:c>
      <x:c r="D13" s="74" t="n">
        <x:v>0.9892925300238019</x:v>
      </x:c>
      <x:c r="E13" s="74" t="n">
        <x:v>1.0090686722544824</x:v>
      </x:c>
      <x:c r="F13" s="74" t="n">
        <x:v>0.00688797328367111</x:v>
      </x:c>
      <x:c r="G13" s="74" t="n">
        <x:v>0.018428015288745218</x:v>
      </x:c>
      <x:c r="H13" s="74" t="n">
        <x:v>4.86457831670306</x:v>
      </x:c>
      <x:c r="I13" s="74" t="n">
        <x:v>0.007658053484210632</x:v>
      </x:c>
      <x:c r="J13" s="74" t="n">
        <x:v>0.018439088914585774</x:v>
      </x:c>
      <x:c r="K13" s="47" t="n">
        <x:v>1</x:v>
      </x:c>
      <x:c r="L13" s="47" t="n">
        <x:v>1</x:v>
      </x:c>
      <x:c r="M13" s="47" t="str">
        <x:f>IF(AND(K13=1,L13=1),"Met","STOP")</x:f>
        <x:v>Met</x:v>
      </x:c>
      <x:c r="N13" s="47" t="str">
        <x:v>f59b5188a2ec87d16ef1ed4775450adbfa6996b00597a53acce0366f4e8ee32f</x:v>
      </x:c>
    </x:row>
    <x:row r="14">
      <x:c r="A14" s="47" t="str">
        <x:v>L0_GAUSS_ZERO</x:v>
      </x:c>
      <x:c r="B14" s="47" t="str">
        <x:v>NYC-V2-R04</x:v>
      </x:c>
      <x:c r="C14" s="47" t="str">
        <x:v>Gaussian</x:v>
      </x:c>
      <x:c r="D14" s="74" t="n">
        <x:v>0.9922945665761567</x:v>
      </x:c>
      <x:c r="E14" s="74" t="n">
        <x:v>1.0092944441487135</x:v>
      </x:c>
      <x:c r="F14" s="74" t="n">
        <x:v>0.007883266310472006</x:v>
      </x:c>
      <x:c r="G14" s="74" t="n">
        <x:v>0.018540923547936287</x:v>
      </x:c>
      <x:c r="H14" s="74" t="n">
        <x:v>5.447435449749627</x:v>
      </x:c>
      <x:c r="I14" s="74" t="n">
        <x:v>0.008029592424120683</x:v>
      </x:c>
      <x:c r="J14" s="74" t="n">
        <x:v>0.018439088914585774</x:v>
      </x:c>
      <x:c r="K14" s="47" t="n">
        <x:v>1</x:v>
      </x:c>
      <x:c r="L14" s="47" t="n">
        <x:v>1</x:v>
      </x:c>
      <x:c r="M14" s="47" t="str">
        <x:f>IF(AND(K14=1,L14=1),"Met","STOP")</x:f>
        <x:v>Met</x:v>
      </x:c>
      <x:c r="N14" s="47" t="str">
        <x:v>66fe4576d3a2596c66adbed8b03a8e49af7613fd78764cfd2c4b5a1a2d8028c8</x:v>
      </x:c>
    </x:row>
    <x:row r="15">
      <x:c r="A15" s="47" t="str">
        <x:v>L0_GAUSS_ZERO</x:v>
      </x:c>
      <x:c r="B15" s="47" t="str">
        <x:v>NYC-V3-R01</x:v>
      </x:c>
      <x:c r="C15" s="47" t="str">
        <x:v>Gaussian</x:v>
      </x:c>
      <x:c r="D15" s="74" t="n">
        <x:v>0.9946503755462546</x:v>
      </x:c>
      <x:c r="E15" s="74" t="n">
        <x:v>1.0094303509308442</x:v>
      </x:c>
      <x:c r="F15" s="74" t="n">
        <x:v>0.006694997798408906</x:v>
      </x:c>
      <x:c r="G15" s="74" t="n">
        <x:v>0.01826785105649733</x:v>
      </x:c>
      <x:c r="H15" s="74" t="n">
        <x:v>6.143184556548811</x:v>
      </x:c>
      <x:c r="I15" s="74" t="n">
        <x:v>0.008451736245617708</x:v>
      </x:c>
      <x:c r="J15" s="74" t="n">
        <x:v>0.018439088914585774</x:v>
      </x:c>
      <x:c r="K15" s="47" t="n">
        <x:v>1</x:v>
      </x:c>
      <x:c r="L15" s="47" t="n">
        <x:v>1</x:v>
      </x:c>
      <x:c r="M15" s="47" t="str">
        <x:f>IF(AND(K15=1,L15=1),"Met","STOP")</x:f>
        <x:v>Met</x:v>
      </x:c>
      <x:c r="N15" s="47" t="str">
        <x:v>7a4b0bfc08f0f54aa8cd621237941144b8a8fc62a0a4e513a1fc17fb721ec503</x:v>
      </x:c>
    </x:row>
    <x:row r="16">
      <x:c r="A16" s="47" t="str">
        <x:v>L0_GAUSS_ZERO</x:v>
      </x:c>
      <x:c r="B16" s="47" t="str">
        <x:v>NYC-V3-R02</x:v>
      </x:c>
      <x:c r="C16" s="47" t="str">
        <x:v>Gaussian</x:v>
      </x:c>
      <x:c r="D16" s="74" t="n">
        <x:v>0.9919237387440815</x:v>
      </x:c>
      <x:c r="E16" s="74" t="n">
        <x:v>1.006512152988834</x:v>
      </x:c>
      <x:c r="F16" s="74" t="n">
        <x:v>0.00844209004990086</x:v>
      </x:c>
      <x:c r="G16" s="74" t="n">
        <x:v>0.01726513713966096</x:v>
      </x:c>
      <x:c r="H16" s="74" t="n">
        <x:v>5.543949980288329</x:v>
      </x:c>
      <x:c r="I16" s="74" t="n">
        <x:v>0.008089468449959076</x:v>
      </x:c>
      <x:c r="J16" s="74" t="n">
        <x:v>0.018439088914585774</x:v>
      </x:c>
      <x:c r="K16" s="47" t="n">
        <x:v>1</x:v>
      </x:c>
      <x:c r="L16" s="47" t="n">
        <x:v>1</x:v>
      </x:c>
      <x:c r="M16" s="47" t="str">
        <x:f>IF(AND(K16=1,L16=1),"Met","STOP")</x:f>
        <x:v>Met</x:v>
      </x:c>
      <x:c r="N16" s="47" t="str">
        <x:v>1d8e1012ae8328a6c317732411b7e0ebd28b24326ab92d2c432feb75c009cb9f</x:v>
      </x:c>
    </x:row>
    <x:row r="17">
      <x:c r="A17" s="47" t="str">
        <x:v>L0_GAUSS_ZERO</x:v>
      </x:c>
      <x:c r="B17" s="47" t="str">
        <x:v>NYC-V3-R03</x:v>
      </x:c>
      <x:c r="C17" s="47" t="str">
        <x:v>Gaussian</x:v>
      </x:c>
      <x:c r="D17" s="74" t="n">
        <x:v>0.9904203338234862</x:v>
      </x:c>
      <x:c r="E17" s="74" t="n">
        <x:v>1.0117049779694944</x:v>
      </x:c>
      <x:c r="F17" s="74" t="n">
        <x:v>0.007755538224950326</x:v>
      </x:c>
      <x:c r="G17" s="74" t="n">
        <x:v>0.01874193311816674</x:v>
      </x:c>
      <x:c r="H17" s="74" t="n">
        <x:v>5.840812359371702</x:v>
      </x:c>
      <x:c r="I17" s="74" t="n">
        <x:v>0.008270920359531763</x:v>
      </x:c>
      <x:c r="J17" s="74" t="n">
        <x:v>0.018439088914585774</x:v>
      </x:c>
      <x:c r="K17" s="47" t="n">
        <x:v>1</x:v>
      </x:c>
      <x:c r="L17" s="47" t="n">
        <x:v>1</x:v>
      </x:c>
      <x:c r="M17" s="47" t="str">
        <x:f>IF(AND(K17=1,L17=1),"Met","STOP")</x:f>
        <x:v>Met</x:v>
      </x:c>
      <x:c r="N17" s="47" t="str">
        <x:v>ce07d9acb79351388e5f30a5e603c148890ce72406459954fe1cad1cec94f1b8</x:v>
      </x:c>
    </x:row>
    <x:row r="18">
      <x:c r="A18" s="47" t="str">
        <x:v>L0_GAUSS_ZERO</x:v>
      </x:c>
      <x:c r="B18" s="47" t="str">
        <x:v>NYC-V3-R04</x:v>
      </x:c>
      <x:c r="C18" s="47" t="str">
        <x:v>Gaussian</x:v>
      </x:c>
      <x:c r="D18" s="74" t="n">
        <x:v>0.9900454335383851</x:v>
      </x:c>
      <x:c r="E18" s="74" t="n">
        <x:v>1.010218888914009</x:v>
      </x:c>
      <x:c r="F18" s="74" t="n">
        <x:v>0.00919552193173806</x:v>
      </x:c>
      <x:c r="G18" s="74" t="n">
        <x:v>0.018941999691606985</x:v>
      </x:c>
      <x:c r="H18" s="74" t="n">
        <x:v>6.3588955503719395</x:v>
      </x:c>
      <x:c r="I18" s="74" t="n">
        <x:v>0.008578400521292964</x:v>
      </x:c>
      <x:c r="J18" s="74" t="n">
        <x:v>0.018439088914585774</x:v>
      </x:c>
      <x:c r="K18" s="47" t="n">
        <x:v>1</x:v>
      </x:c>
      <x:c r="L18" s="47" t="n">
        <x:v>1</x:v>
      </x:c>
      <x:c r="M18" s="47" t="str">
        <x:f>IF(AND(K18=1,L18=1),"Met","STOP")</x:f>
        <x:v>Met</x:v>
      </x:c>
      <x:c r="N18" s="47" t="str">
        <x:v>ac1dda872cafa30fac51e8d37bcdf2374a8c27d9bcbd70b0e376db5b30e7a242</x:v>
      </x:c>
    </x:row>
    <x:row r="19">
      <x:c r="A19" s="47" t="str">
        <x:v>L1_GAUSS_SHARED</x:v>
      </x:c>
      <x:c r="B19" s="47" t="str">
        <x:v>NYC-V1-R01</x:v>
      </x:c>
      <x:c r="C19" s="47" t="str">
        <x:v>Gaussian</x:v>
      </x:c>
      <x:c r="D19" s="74" t="n">
        <x:v>0.9890807889318733</x:v>
      </x:c>
      <x:c r="E19" s="74" t="n">
        <x:v>1.0077758852481202</x:v>
      </x:c>
      <x:c r="F19" s="74" t="n">
        <x:v>0.007503983532305068</x:v>
      </x:c>
      <x:c r="G19" s="74" t="n">
        <x:v>0.019084774344596028</x:v>
      </x:c>
      <x:c r="H19" s="74" t="n">
        <x:v>6.965190835453755</x:v>
      </x:c>
      <x:c r="I19" s="74" t="n">
        <x:v>0.008924791782139096</x:v>
      </x:c>
      <x:c r="J19" s="74" t="n">
        <x:v>0.018439088914585774</x:v>
      </x:c>
      <x:c r="K19" s="47" t="n">
        <x:v>1</x:v>
      </x:c>
      <x:c r="L19" s="47" t="n">
        <x:v>1</x:v>
      </x:c>
      <x:c r="M19" s="47" t="str">
        <x:f>IF(AND(K19=1,L19=1),"Met","STOP")</x:f>
        <x:v>Met</x:v>
      </x:c>
      <x:c r="N19" s="47" t="str">
        <x:v>dcd689971a1a0b505016fc90b00d28609db77a4388cf6e4e7a4ba4c3b0f7e083</x:v>
      </x:c>
    </x:row>
    <x:row r="20">
      <x:c r="A20" s="47" t="str">
        <x:v>L1_GAUSS_SHARED</x:v>
      </x:c>
      <x:c r="B20" s="47" t="str">
        <x:v>NYC-V1-R02</x:v>
      </x:c>
      <x:c r="C20" s="47" t="str">
        <x:v>Gaussian</x:v>
      </x:c>
      <x:c r="D20" s="74" t="n">
        <x:v>0.9937765439844878</x:v>
      </x:c>
      <x:c r="E20" s="74" t="n">
        <x:v>1.007010911059249</x:v>
      </x:c>
      <x:c r="F20" s="74" t="n">
        <x:v>0.0053331618901861265</x:v>
      </x:c>
      <x:c r="G20" s="74" t="n">
        <x:v>0.017777386185984748</x:v>
      </x:c>
      <x:c r="H20" s="74" t="n">
        <x:v>4.754241728227013</x:v>
      </x:c>
      <x:c r="I20" s="74" t="n">
        <x:v>0.007585671841193114</x:v>
      </x:c>
      <x:c r="J20" s="74" t="n">
        <x:v>0.018439088914585774</x:v>
      </x:c>
      <x:c r="K20" s="47" t="n">
        <x:v>1</x:v>
      </x:c>
      <x:c r="L20" s="47" t="n">
        <x:v>1</x:v>
      </x:c>
      <x:c r="M20" s="47" t="str">
        <x:f>IF(AND(K20=1,L20=1),"Met","STOP")</x:f>
        <x:v>Met</x:v>
      </x:c>
      <x:c r="N20" s="47" t="str">
        <x:v>701a6772ea74a791f11c65e26ee3714d4f187faadd1a9c91e5ff1d1a58066856</x:v>
      </x:c>
    </x:row>
    <x:row r="21">
      <x:c r="A21" s="47" t="str">
        <x:v>L1_GAUSS_SHARED</x:v>
      </x:c>
      <x:c r="B21" s="47" t="str">
        <x:v>NYC-V1-R03</x:v>
      </x:c>
      <x:c r="C21" s="47" t="str">
        <x:v>Gaussian</x:v>
      </x:c>
      <x:c r="D21" s="74" t="n">
        <x:v>0.990659344008337</x:v>
      </x:c>
      <x:c r="E21" s="74" t="n">
        <x:v>1.00683505095755</x:v>
      </x:c>
      <x:c r="F21" s="74" t="n">
        <x:v>0.008658917246485836</x:v>
      </x:c>
      <x:c r="G21" s="74" t="n">
        <x:v>0.019395297062901152</x:v>
      </x:c>
      <x:c r="H21" s="74" t="n">
        <x:v>6.156303008482108</x:v>
      </x:c>
      <x:c r="I21" s="74" t="n">
        <x:v>0.008459493488668283</x:v>
      </x:c>
      <x:c r="J21" s="74" t="n">
        <x:v>0.018439088914585774</x:v>
      </x:c>
      <x:c r="K21" s="47" t="n">
        <x:v>1</x:v>
      </x:c>
      <x:c r="L21" s="47" t="n">
        <x:v>1</x:v>
      </x:c>
      <x:c r="M21" s="47" t="str">
        <x:f>IF(AND(K21=1,L21=1),"Met","STOP")</x:f>
        <x:v>Met</x:v>
      </x:c>
      <x:c r="N21" s="47" t="str">
        <x:v>253144fed4794939163a0c8cefee4ed9fb4a8f7366184f1dd454ef7f3b1ac255</x:v>
      </x:c>
    </x:row>
    <x:row r="22">
      <x:c r="A22" s="47" t="str">
        <x:v>L1_GAUSS_SHARED</x:v>
      </x:c>
      <x:c r="B22" s="47" t="str">
        <x:v>NYC-V1-R04</x:v>
      </x:c>
      <x:c r="C22" s="47" t="str">
        <x:v>Gaussian</x:v>
      </x:c>
      <x:c r="D22" s="74" t="n">
        <x:v>0.988548772469817</x:v>
      </x:c>
      <x:c r="E22" s="74" t="n">
        <x:v>1.0087216972808806</x:v>
      </x:c>
      <x:c r="F22" s="74" t="n">
        <x:v>0.00585617018673231</x:v>
      </x:c>
      <x:c r="G22" s="74" t="n">
        <x:v>0.01818983771433196</x:v>
      </x:c>
      <x:c r="H22" s="74" t="n">
        <x:v>5.550264138992184</x:v>
      </x:c>
      <x:c r="I22" s="74" t="n">
        <x:v>0.008093370212088525</x:v>
      </x:c>
      <x:c r="J22" s="74" t="n">
        <x:v>0.018439088914585774</x:v>
      </x:c>
      <x:c r="K22" s="47" t="n">
        <x:v>1</x:v>
      </x:c>
      <x:c r="L22" s="47" t="n">
        <x:v>1</x:v>
      </x:c>
      <x:c r="M22" s="47" t="str">
        <x:f>IF(AND(K22=1,L22=1),"Met","STOP")</x:f>
        <x:v>Met</x:v>
      </x:c>
      <x:c r="N22" s="47" t="str">
        <x:v>c8cc380faafc5ec12fd16e25e9c6b17c4c5b2374f370c6585250c7571c0a0487</x:v>
      </x:c>
    </x:row>
    <x:row r="23">
      <x:c r="A23" s="47" t="str">
        <x:v>L1_GAUSS_SHARED</x:v>
      </x:c>
      <x:c r="B23" s="47" t="str">
        <x:v>NYC-V2-R01</x:v>
      </x:c>
      <x:c r="C23" s="47" t="str">
        <x:v>Gaussian</x:v>
      </x:c>
      <x:c r="D23" s="74" t="n">
        <x:v>0.9894445880010062</x:v>
      </x:c>
      <x:c r="E23" s="74" t="n">
        <x:v>1.009794138077641</x:v>
      </x:c>
      <x:c r="F23" s="74" t="n">
        <x:v>0.00815426958835383</x:v>
      </x:c>
      <x:c r="G23" s="74" t="n">
        <x:v>0.018677679769735375</x:v>
      </x:c>
      <x:c r="H23" s="74" t="n">
        <x:v>5.255303922860028</x:v>
      </x:c>
      <x:c r="I23" s="74" t="n">
        <x:v>0.007909047934397685</x:v>
      </x:c>
      <x:c r="J23" s="74" t="n">
        <x:v>0.018439088914585774</x:v>
      </x:c>
      <x:c r="K23" s="47" t="n">
        <x:v>1</x:v>
      </x:c>
      <x:c r="L23" s="47" t="n">
        <x:v>1</x:v>
      </x:c>
      <x:c r="M23" s="47" t="str">
        <x:f>IF(AND(K23=1,L23=1),"Met","STOP")</x:f>
        <x:v>Met</x:v>
      </x:c>
      <x:c r="N23" s="47" t="str">
        <x:v>fa41766699749d5f9d24831172fe3962c9abff9f0ae47ae38d0a2bfe5aebb9f2</x:v>
      </x:c>
    </x:row>
    <x:row r="24">
      <x:c r="A24" s="47" t="str">
        <x:v>L1_GAUSS_SHARED</x:v>
      </x:c>
      <x:c r="B24" s="47" t="str">
        <x:v>NYC-V2-R02</x:v>
      </x:c>
      <x:c r="C24" s="47" t="str">
        <x:v>Gaussian</x:v>
      </x:c>
      <x:c r="D24" s="74" t="n">
        <x:v>0.9909132450104708</x:v>
      </x:c>
      <x:c r="E24" s="74" t="n">
        <x:v>1.0080646214706508</x:v>
      </x:c>
      <x:c r="F24" s="74" t="n">
        <x:v>0.008609417204622691</x:v>
      </x:c>
      <x:c r="G24" s="74" t="n">
        <x:v>0.01886834008382678</x:v>
      </x:c>
      <x:c r="H24" s="74" t="n">
        <x:v>4.782892072626711</x:v>
      </x:c>
      <x:c r="I24" s="74" t="n">
        <x:v>0.007604532906514845</x:v>
      </x:c>
      <x:c r="J24" s="74" t="n">
        <x:v>0.018439088914585774</x:v>
      </x:c>
      <x:c r="K24" s="47" t="n">
        <x:v>1</x:v>
      </x:c>
      <x:c r="L24" s="47" t="n">
        <x:v>1</x:v>
      </x:c>
      <x:c r="M24" s="47" t="str">
        <x:f>IF(AND(K24=1,L24=1),"Met","STOP")</x:f>
        <x:v>Met</x:v>
      </x:c>
      <x:c r="N24" s="47" t="str">
        <x:v>caec7b2edecf94357ef9e91c23d826ba1328572f9541f214b3e80c72879e3d93</x:v>
      </x:c>
    </x:row>
    <x:row r="25">
      <x:c r="A25" s="47" t="str">
        <x:v>L1_GAUSS_SHARED</x:v>
      </x:c>
      <x:c r="B25" s="47" t="str">
        <x:v>NYC-V2-R03</x:v>
      </x:c>
      <x:c r="C25" s="47" t="str">
        <x:v>Gaussian</x:v>
      </x:c>
      <x:c r="D25" s="74" t="n">
        <x:v>0.9940841757362671</x:v>
      </x:c>
      <x:c r="E25" s="74" t="n">
        <x:v>1.0084664902041702</x:v>
      </x:c>
      <x:c r="F25" s="74" t="n">
        <x:v>0.009545368689131509</x:v>
      </x:c>
      <x:c r="G25" s="74" t="n">
        <x:v>0.01861864710158838</x:v>
      </x:c>
      <x:c r="H25" s="74" t="n">
        <x:v>4.573665661593095</x:v>
      </x:c>
      <x:c r="I25" s="74" t="n">
        <x:v>0.007465698668974723</x:v>
      </x:c>
      <x:c r="J25" s="74" t="n">
        <x:v>0.018439088914585774</x:v>
      </x:c>
      <x:c r="K25" s="47" t="n">
        <x:v>1</x:v>
      </x:c>
      <x:c r="L25" s="47" t="n">
        <x:v>1</x:v>
      </x:c>
      <x:c r="M25" s="47" t="str">
        <x:f>IF(AND(K25=1,L25=1),"Met","STOP")</x:f>
        <x:v>Met</x:v>
      </x:c>
      <x:c r="N25" s="47" t="str">
        <x:v>f5047c194985b70090ea263236bc889e1985fbfcb001be67b3b301801c683d45</x:v>
      </x:c>
    </x:row>
    <x:row r="26">
      <x:c r="A26" s="47" t="str">
        <x:v>L1_GAUSS_SHARED</x:v>
      </x:c>
      <x:c r="B26" s="47" t="str">
        <x:v>NYC-V2-R04</x:v>
      </x:c>
      <x:c r="C26" s="47" t="str">
        <x:v>Gaussian</x:v>
      </x:c>
      <x:c r="D26" s="74" t="n">
        <x:v>0.9940900603949592</x:v>
      </x:c>
      <x:c r="E26" s="74" t="n">
        <x:v>1.0177637182256545</x:v>
      </x:c>
      <x:c r="F26" s="74" t="n">
        <x:v>0.009371265305489773</x:v>
      </x:c>
      <x:c r="G26" s="74" t="n">
        <x:v>0.018492601911636174</x:v>
      </x:c>
      <x:c r="H26" s="74" t="n">
        <x:v>5.002379258306657</x:v>
      </x:c>
      <x:c r="I26" s="74" t="n">
        <x:v>0.007747502344824852</x:v>
      </x:c>
      <x:c r="J26" s="74" t="n">
        <x:v>0.018439088914585774</x:v>
      </x:c>
      <x:c r="K26" s="47" t="n">
        <x:v>1</x:v>
      </x:c>
      <x:c r="L26" s="47" t="n">
        <x:v>1</x:v>
      </x:c>
      <x:c r="M26" s="47" t="str">
        <x:f>IF(AND(K26=1,L26=1),"Met","STOP")</x:f>
        <x:v>Met</x:v>
      </x:c>
      <x:c r="N26" s="47" t="str">
        <x:v>ac71b624fd65081df06b238d6c0d76737c86d83f8fd917892da59e84b2e78a5c</x:v>
      </x:c>
    </x:row>
    <x:row r="27">
      <x:c r="A27" s="47" t="str">
        <x:v>L1_GAUSS_SHARED</x:v>
      </x:c>
      <x:c r="B27" s="47" t="str">
        <x:v>NYC-V3-R01</x:v>
      </x:c>
      <x:c r="C27" s="47" t="str">
        <x:v>Gaussian</x:v>
      </x:c>
      <x:c r="D27" s="74" t="n">
        <x:v>0.9929240400431556</x:v>
      </x:c>
      <x:c r="E27" s="74" t="n">
        <x:v>1.0085255570488834</x:v>
      </x:c>
      <x:c r="F27" s="74" t="n">
        <x:v>0.008193888708629873</x:v>
      </x:c>
      <x:c r="G27" s="74" t="n">
        <x:v>0.017823498224591672</x:v>
      </x:c>
      <x:c r="H27" s="74" t="n">
        <x:v>5.6289647109329985</x:v>
      </x:c>
      <x:c r="I27" s="74" t="n">
        <x:v>0.008141845436344882</x:v>
      </x:c>
      <x:c r="J27" s="74" t="n">
        <x:v>0.018439088914585774</x:v>
      </x:c>
      <x:c r="K27" s="47" t="n">
        <x:v>1</x:v>
      </x:c>
      <x:c r="L27" s="47" t="n">
        <x:v>1</x:v>
      </x:c>
      <x:c r="M27" s="47" t="str">
        <x:f>IF(AND(K27=1,L27=1),"Met","STOP")</x:f>
        <x:v>Met</x:v>
      </x:c>
      <x:c r="N27" s="47" t="str">
        <x:v>5508fbe5a00e57b17413228542790eca6be3f72920549d12163e051c21455fcb</x:v>
      </x:c>
    </x:row>
    <x:row r="28">
      <x:c r="A28" s="47" t="str">
        <x:v>L1_GAUSS_SHARED</x:v>
      </x:c>
      <x:c r="B28" s="47" t="str">
        <x:v>NYC-V3-R02</x:v>
      </x:c>
      <x:c r="C28" s="47" t="str">
        <x:v>Gaussian</x:v>
      </x:c>
      <x:c r="D28" s="74" t="n">
        <x:v>0.9927961860256511</x:v>
      </x:c>
      <x:c r="E28" s="74" t="n">
        <x:v>1.0105631869866014</x:v>
      </x:c>
      <x:c r="F28" s="74" t="n">
        <x:v>0.006756780441090578</x:v>
      </x:c>
      <x:c r="G28" s="74" t="n">
        <x:v>0.018522177385865125</x:v>
      </x:c>
      <x:c r="H28" s="74" t="n">
        <x:v>5.075801644039236</x:v>
      </x:c>
      <x:c r="I28" s="74" t="n">
        <x:v>0.007794742871987014</x:v>
      </x:c>
      <x:c r="J28" s="74" t="n">
        <x:v>0.018439088914585774</x:v>
      </x:c>
      <x:c r="K28" s="47" t="n">
        <x:v>1</x:v>
      </x:c>
      <x:c r="L28" s="47" t="n">
        <x:v>1</x:v>
      </x:c>
      <x:c r="M28" s="47" t="str">
        <x:f>IF(AND(K28=1,L28=1),"Met","STOP")</x:f>
        <x:v>Met</x:v>
      </x:c>
      <x:c r="N28" s="47" t="str">
        <x:v>4fa807d86d37f6279fa236004f10b6ad01466baeacf9815597648e6f8d835a97</x:v>
      </x:c>
    </x:row>
    <x:row r="29">
      <x:c r="A29" s="47" t="str">
        <x:v>L1_GAUSS_SHARED</x:v>
      </x:c>
      <x:c r="B29" s="47" t="str">
        <x:v>NYC-V3-R03</x:v>
      </x:c>
      <x:c r="C29" s="47" t="str">
        <x:v>Gaussian</x:v>
      </x:c>
      <x:c r="D29" s="74" t="n">
        <x:v>0.9896088464772368</x:v>
      </x:c>
      <x:c r="E29" s="74" t="n">
        <x:v>1.006946914498465</x:v>
      </x:c>
      <x:c r="F29" s="74" t="n">
        <x:v>0.00654267870887082</x:v>
      </x:c>
      <x:c r="G29" s="74" t="n">
        <x:v>0.01828622424102219</x:v>
      </x:c>
      <x:c r="H29" s="74" t="n">
        <x:v>5.447360900807004</x:v>
      </x:c>
      <x:c r="I29" s="74" t="n">
        <x:v>0.008029546002612478</x:v>
      </x:c>
      <x:c r="J29" s="74" t="n">
        <x:v>0.018439088914585774</x:v>
      </x:c>
      <x:c r="K29" s="47" t="n">
        <x:v>1</x:v>
      </x:c>
      <x:c r="L29" s="47" t="n">
        <x:v>1</x:v>
      </x:c>
      <x:c r="M29" s="47" t="str">
        <x:f>IF(AND(K29=1,L29=1),"Met","STOP")</x:f>
        <x:v>Met</x:v>
      </x:c>
      <x:c r="N29" s="47" t="str">
        <x:v>67420cc077c65f24b0837f1743b678c195aab002735495837000c50865c797aa</x:v>
      </x:c>
    </x:row>
    <x:row r="30">
      <x:c r="A30" s="47" t="str">
        <x:v>L1_GAUSS_SHARED</x:v>
      </x:c>
      <x:c r="B30" s="47" t="str">
        <x:v>NYC-V3-R04</x:v>
      </x:c>
      <x:c r="C30" s="47" t="str">
        <x:v>Gaussian</x:v>
      </x:c>
      <x:c r="D30" s="74" t="n">
        <x:v>0.9877786051875697</x:v>
      </x:c>
      <x:c r="E30" s="74" t="n">
        <x:v>1.0119621206626948</x:v>
      </x:c>
      <x:c r="F30" s="74" t="n">
        <x:v>0.009965454706738187</x:v>
      </x:c>
      <x:c r="G30" s="74" t="n">
        <x:v>0.018517551955612478</x:v>
      </x:c>
      <x:c r="H30" s="74" t="n">
        <x:v>5.838760594492283</x:v>
      </x:c>
      <x:c r="I30" s="74" t="n">
        <x:v>0.008269679917924443</x:v>
      </x:c>
      <x:c r="J30" s="74" t="n">
        <x:v>0.018439088914585774</x:v>
      </x:c>
      <x:c r="K30" s="47" t="n">
        <x:v>1</x:v>
      </x:c>
      <x:c r="L30" s="47" t="n">
        <x:v>1</x:v>
      </x:c>
      <x:c r="M30" s="47" t="str">
        <x:f>IF(AND(K30=1,L30=1),"Met","STOP")</x:f>
        <x:v>Met</x:v>
      </x:c>
      <x:c r="N30" s="47" t="str">
        <x:v>7535a99a7f96d6771faa7d89fa154580ea7a794a54d4aeff152656e7dc7913fb</x:v>
      </x:c>
    </x:row>
    <x:row r="31">
      <x:c r="A31" s="47" t="str">
        <x:v>L2_GAUSS_CONCORDANT</x:v>
      </x:c>
      <x:c r="B31" s="47" t="str">
        <x:v>NYC-V1-R01</x:v>
      </x:c>
      <x:c r="C31" s="47" t="str">
        <x:v>Gaussian</x:v>
      </x:c>
      <x:c r="D31" s="74" t="n">
        <x:v>0.990636305519362</x:v>
      </x:c>
      <x:c r="E31" s="74" t="n">
        <x:v>1.014319883831996</x:v>
      </x:c>
      <x:c r="F31" s="74" t="n">
        <x:v>0.007141182420901374</x:v>
      </x:c>
      <x:c r="G31" s="74" t="n">
        <x:v>0.018581519409449795</x:v>
      </x:c>
      <x:c r="H31" s="74" t="n">
        <x:v>5.459933920081912</x:v>
      </x:c>
      <x:c r="I31" s="74" t="n">
        <x:v>0.008037371411152973</x:v>
      </x:c>
      <x:c r="J31" s="74" t="n">
        <x:v>0.018439088914585774</x:v>
      </x:c>
      <x:c r="K31" s="47" t="n">
        <x:v>1</x:v>
      </x:c>
      <x:c r="L31" s="47" t="n">
        <x:v>1</x:v>
      </x:c>
      <x:c r="M31" s="47" t="str">
        <x:f>IF(AND(K31=1,L31=1),"Met","STOP")</x:f>
        <x:v>Met</x:v>
      </x:c>
      <x:c r="N31" s="47" t="str">
        <x:v>be6ffb82b552cbf644505702f0281e255e714543f218f829fff2b0bf47cd97aa</x:v>
      </x:c>
    </x:row>
    <x:row r="32">
      <x:c r="A32" s="47" t="str">
        <x:v>L2_GAUSS_CONCORDANT</x:v>
      </x:c>
      <x:c r="B32" s="47" t="str">
        <x:v>NYC-V1-R02</x:v>
      </x:c>
      <x:c r="C32" s="47" t="str">
        <x:v>Gaussian</x:v>
      </x:c>
      <x:c r="D32" s="74" t="n">
        <x:v>0.9947148271847543</x:v>
      </x:c>
      <x:c r="E32" s="74" t="n">
        <x:v>1.0078712494008049</x:v>
      </x:c>
      <x:c r="F32" s="74" t="n">
        <x:v>0.007437851746260416</x:v>
      </x:c>
      <x:c r="G32" s="74" t="n">
        <x:v>0.018137796530831033</x:v>
      </x:c>
      <x:c r="H32" s="74" t="n">
        <x:v>4.17400892397838</x:v>
      </x:c>
      <x:c r="I32" s="74" t="n">
        <x:v>0.007193058406532217</x:v>
      </x:c>
      <x:c r="J32" s="74" t="n">
        <x:v>0.018439088914585774</x:v>
      </x:c>
      <x:c r="K32" s="47" t="n">
        <x:v>1</x:v>
      </x:c>
      <x:c r="L32" s="47" t="n">
        <x:v>1</x:v>
      </x:c>
      <x:c r="M32" s="47" t="str">
        <x:f>IF(AND(K32=1,L32=1),"Met","STOP")</x:f>
        <x:v>Met</x:v>
      </x:c>
      <x:c r="N32" s="47" t="str">
        <x:v>0c96b368d13847eff5abeee601786a228073a56a4087ae02bb9acbbda83569cc</x:v>
      </x:c>
    </x:row>
    <x:row r="33">
      <x:c r="A33" s="47" t="str">
        <x:v>L2_GAUSS_CONCORDANT</x:v>
      </x:c>
      <x:c r="B33" s="47" t="str">
        <x:v>NYC-V1-R03</x:v>
      </x:c>
      <x:c r="C33" s="47" t="str">
        <x:v>Gaussian</x:v>
      </x:c>
      <x:c r="D33" s="74" t="n">
        <x:v>0.9922678532007996</x:v>
      </x:c>
      <x:c r="E33" s="74" t="n">
        <x:v>1.0080295568865458</x:v>
      </x:c>
      <x:c r="F33" s="74" t="n">
        <x:v>0.005747822536363826</x:v>
      </x:c>
      <x:c r="G33" s="74" t="n">
        <x:v>0.01679985288485485</x:v>
      </x:c>
      <x:c r="H33" s="74" t="n">
        <x:v>4.950826670068661</x:v>
      </x:c>
      <x:c r="I33" s="74" t="n">
        <x:v>0.00771416014227645</x:v>
      </x:c>
      <x:c r="J33" s="74" t="n">
        <x:v>0.018439088914585774</x:v>
      </x:c>
      <x:c r="K33" s="47" t="n">
        <x:v>1</x:v>
      </x:c>
      <x:c r="L33" s="47" t="n">
        <x:v>1</x:v>
      </x:c>
      <x:c r="M33" s="47" t="str">
        <x:f>IF(AND(K33=1,L33=1),"Met","STOP")</x:f>
        <x:v>Met</x:v>
      </x:c>
      <x:c r="N33" s="47" t="str">
        <x:v>aa4fa9b158f9dd4317bb57841b5c0344fd6e171ebbb7a662600e8130da8152c0</x:v>
      </x:c>
    </x:row>
    <x:row r="34">
      <x:c r="A34" s="47" t="str">
        <x:v>L2_GAUSS_CONCORDANT</x:v>
      </x:c>
      <x:c r="B34" s="47" t="str">
        <x:v>NYC-V1-R04</x:v>
      </x:c>
      <x:c r="C34" s="47" t="str">
        <x:v>Gaussian</x:v>
      </x:c>
      <x:c r="D34" s="74" t="n">
        <x:v>0.9877914504280987</x:v>
      </x:c>
      <x:c r="E34" s="74" t="n">
        <x:v>1.0119222171424318</x:v>
      </x:c>
      <x:c r="F34" s="74" t="n">
        <x:v>0.011242726834739824</x:v>
      </x:c>
      <x:c r="G34" s="74" t="n">
        <x:v>0.019293390360406792</x:v>
      </x:c>
      <x:c r="H34" s="74" t="n">
        <x:v>4.7435439925633025</x:v>
      </x:c>
      <x:c r="I34" s="74" t="n">
        <x:v>0.007578617283227398</x:v>
      </x:c>
      <x:c r="J34" s="74" t="n">
        <x:v>0.018439088914585774</x:v>
      </x:c>
      <x:c r="K34" s="47" t="n">
        <x:v>1</x:v>
      </x:c>
      <x:c r="L34" s="47" t="n">
        <x:v>0</x:v>
      </x:c>
      <x:c r="M34" s="47" t="str">
        <x:f>IF(AND(K34=1,L34=1),"Met","STOP")</x:f>
        <x:v>STOP</x:v>
      </x:c>
      <x:c r="N34" s="47" t="str">
        <x:v>e5174d1bf96c9c0d925dc9d44da2dec708d7874897fa5ec97ab64030c71a0119</x:v>
      </x:c>
    </x:row>
    <x:row r="35">
      <x:c r="A35" s="47" t="str">
        <x:v>L2_GAUSS_CONCORDANT</x:v>
      </x:c>
      <x:c r="B35" s="47" t="str">
        <x:v>NYC-V2-R01</x:v>
      </x:c>
      <x:c r="C35" s="47" t="str">
        <x:v>Gaussian</x:v>
      </x:c>
      <x:c r="D35" s="74" t="n">
        <x:v>0.9883775642089544</x:v>
      </x:c>
      <x:c r="E35" s="74" t="n">
        <x:v>1.0082896022935246</x:v>
      </x:c>
      <x:c r="F35" s="74" t="n">
        <x:v>0.0071246767648765405</x:v>
      </x:c>
      <x:c r="G35" s="74" t="n">
        <x:v>0.018560392366469818</x:v>
      </x:c>
      <x:c r="H35" s="74" t="n">
        <x:v>4.604686231891614</x:v>
      </x:c>
      <x:c r="I35" s="74" t="n">
        <x:v>0.007486445239158311</x:v>
      </x:c>
      <x:c r="J35" s="74" t="n">
        <x:v>0.018439088914585774</x:v>
      </x:c>
      <x:c r="K35" s="47" t="n">
        <x:v>1</x:v>
      </x:c>
      <x:c r="L35" s="47" t="n">
        <x:v>1</x:v>
      </x:c>
      <x:c r="M35" s="47" t="str">
        <x:f>IF(AND(K35=1,L35=1),"Met","STOP")</x:f>
        <x:v>Met</x:v>
      </x:c>
      <x:c r="N35" s="47" t="str">
        <x:v>6301b8c8d0e25cf7416b2339a0de2ec31de6d36a4ff2978563dfa9ac113427e6</x:v>
      </x:c>
    </x:row>
    <x:row r="36">
      <x:c r="A36" s="47" t="str">
        <x:v>L2_GAUSS_CONCORDANT</x:v>
      </x:c>
      <x:c r="B36" s="47" t="str">
        <x:v>NYC-V2-R02</x:v>
      </x:c>
      <x:c r="C36" s="47" t="str">
        <x:v>Gaussian</x:v>
      </x:c>
      <x:c r="D36" s="74" t="n">
        <x:v>0.9942984639703413</x:v>
      </x:c>
      <x:c r="E36" s="74" t="n">
        <x:v>1.0085381265823739</x:v>
      </x:c>
      <x:c r="F36" s="74" t="n">
        <x:v>0.006350938192950354</x:v>
      </x:c>
      <x:c r="G36" s="74" t="n">
        <x:v>0.018280916161769783</x:v>
      </x:c>
      <x:c r="H36" s="74" t="n">
        <x:v>4.210608187753254</x:v>
      </x:c>
      <x:c r="I36" s="74" t="n">
        <x:v>0.00721845425818662</x:v>
      </x:c>
      <x:c r="J36" s="74" t="n">
        <x:v>0.018439088914585774</x:v>
      </x:c>
      <x:c r="K36" s="47" t="n">
        <x:v>1</x:v>
      </x:c>
      <x:c r="L36" s="47" t="n">
        <x:v>1</x:v>
      </x:c>
      <x:c r="M36" s="47" t="str">
        <x:f>IF(AND(K36=1,L36=1),"Met","STOP")</x:f>
        <x:v>Met</x:v>
      </x:c>
      <x:c r="N36" s="47" t="str">
        <x:v>925b059e8c2403c6ab6c30568ec662a0f61dc02dd559070625bd7b6e78d3da86</x:v>
      </x:c>
    </x:row>
    <x:row r="37">
      <x:c r="A37" s="47" t="str">
        <x:v>L2_GAUSS_CONCORDANT</x:v>
      </x:c>
      <x:c r="B37" s="47" t="str">
        <x:v>NYC-V2-R03</x:v>
      </x:c>
      <x:c r="C37" s="47" t="str">
        <x:v>Gaussian</x:v>
      </x:c>
      <x:c r="D37" s="74" t="n">
        <x:v>0.995525232284967</x:v>
      </x:c>
      <x:c r="E37" s="74" t="n">
        <x:v>1.0095562726435108</x:v>
      </x:c>
      <x:c r="F37" s="74" t="n">
        <x:v>0.0054209286034703616</x:v>
      </x:c>
      <x:c r="G37" s="74" t="n">
        <x:v>0.017233953046765838</x:v>
      </x:c>
      <x:c r="H37" s="74" t="n">
        <x:v>4.070505777574074</x:v>
      </x:c>
      <x:c r="I37" s="74" t="n">
        <x:v>0.007120748399974594</x:v>
      </x:c>
      <x:c r="J37" s="74" t="n">
        <x:v>0.018439088914585774</x:v>
      </x:c>
      <x:c r="K37" s="47" t="n">
        <x:v>1</x:v>
      </x:c>
      <x:c r="L37" s="47" t="n">
        <x:v>1</x:v>
      </x:c>
      <x:c r="M37" s="47" t="str">
        <x:f>IF(AND(K37=1,L37=1),"Met","STOP")</x:f>
        <x:v>Met</x:v>
      </x:c>
      <x:c r="N37" s="47" t="str">
        <x:v>113da0910e73f5f90b128b74c132c71a63ff09f016471823bc2d6400f4d3ab85</x:v>
      </x:c>
    </x:row>
    <x:row r="38">
      <x:c r="A38" s="47" t="str">
        <x:v>L2_GAUSS_CONCORDANT</x:v>
      </x:c>
      <x:c r="B38" s="47" t="str">
        <x:v>NYC-V2-R04</x:v>
      </x:c>
      <x:c r="C38" s="47" t="str">
        <x:v>Gaussian</x:v>
      </x:c>
      <x:c r="D38" s="74" t="n">
        <x:v>0.991651265418059</x:v>
      </x:c>
      <x:c r="E38" s="74" t="n">
        <x:v>1.0080402633562024</x:v>
      </x:c>
      <x:c r="F38" s="74" t="n">
        <x:v>0.00833278912392037</x:v>
      </x:c>
      <x:c r="G38" s="74" t="n">
        <x:v>0.019044115828814653</x:v>
      </x:c>
      <x:c r="H38" s="74" t="n">
        <x:v>4.315092007163093</x:v>
      </x:c>
      <x:c r="I38" s="74" t="n">
        <x:v>0.007290467753966884</x:v>
      </x:c>
      <x:c r="J38" s="74" t="n">
        <x:v>0.018439088914585774</x:v>
      </x:c>
      <x:c r="K38" s="47" t="n">
        <x:v>1</x:v>
      </x:c>
      <x:c r="L38" s="47" t="n">
        <x:v>1</x:v>
      </x:c>
      <x:c r="M38" s="47" t="str">
        <x:f>IF(AND(K38=1,L38=1),"Met","STOP")</x:f>
        <x:v>Met</x:v>
      </x:c>
      <x:c r="N38" s="47" t="str">
        <x:v>2a2564113552c8023da3c2f1eb4bd1d3d3f2c7f319fc86242e9d4183fc7e84fd</x:v>
      </x:c>
    </x:row>
    <x:row r="39">
      <x:c r="A39" s="47" t="str">
        <x:v>L2_GAUSS_CONCORDANT</x:v>
      </x:c>
      <x:c r="B39" s="47" t="str">
        <x:v>NYC-V3-R01</x:v>
      </x:c>
      <x:c r="C39" s="47" t="str">
        <x:v>Gaussian</x:v>
      </x:c>
      <x:c r="D39" s="74" t="n">
        <x:v>0.9872127609283246</x:v>
      </x:c>
      <x:c r="E39" s="74" t="n">
        <x:v>1.0064993456074485</x:v>
      </x:c>
      <x:c r="F39" s="74" t="n">
        <x:v>0.008588471820329267</x:v>
      </x:c>
      <x:c r="G39" s="74" t="n">
        <x:v>0.017459644418645857</x:v>
      </x:c>
      <x:c r="H39" s="74" t="n">
        <x:v>4.844249961027917</x:v>
      </x:c>
      <x:c r="I39" s="74" t="n">
        <x:v>0.007644769428195933</x:v>
      </x:c>
      <x:c r="J39" s="74" t="n">
        <x:v>0.018439088914585774</x:v>
      </x:c>
      <x:c r="K39" s="47" t="n">
        <x:v>1</x:v>
      </x:c>
      <x:c r="L39" s="47" t="n">
        <x:v>1</x:v>
      </x:c>
      <x:c r="M39" s="47" t="str">
        <x:f>IF(AND(K39=1,L39=1),"Met","STOP")</x:f>
        <x:v>Met</x:v>
      </x:c>
      <x:c r="N39" s="47" t="str">
        <x:v>d4412f4cee4f4f608264cdd802f3bf0d26def9ac0b2bb79a686ee4b211518ab6</x:v>
      </x:c>
    </x:row>
    <x:row r="40">
      <x:c r="A40" s="47" t="str">
        <x:v>L2_GAUSS_CONCORDANT</x:v>
      </x:c>
      <x:c r="B40" s="47" t="str">
        <x:v>NYC-V3-R02</x:v>
      </x:c>
      <x:c r="C40" s="47" t="str">
        <x:v>Gaussian</x:v>
      </x:c>
      <x:c r="D40" s="74" t="n">
        <x:v>0.9912800976633664</x:v>
      </x:c>
      <x:c r="E40" s="74" t="n">
        <x:v>1.011283958401636</x:v>
      </x:c>
      <x:c r="F40" s="74" t="n">
        <x:v>0.008011695097639519</x:v>
      </x:c>
      <x:c r="G40" s="74" t="n">
        <x:v>0.018496639617434855</x:v>
      </x:c>
      <x:c r="H40" s="74" t="n">
        <x:v>4.3092031907068105</x:v>
      </x:c>
      <x:c r="I40" s="74" t="n">
        <x:v>0.007286427925058211</x:v>
      </x:c>
      <x:c r="J40" s="74" t="n">
        <x:v>0.018439088914585774</x:v>
      </x:c>
      <x:c r="K40" s="47" t="n">
        <x:v>1</x:v>
      </x:c>
      <x:c r="L40" s="47" t="n">
        <x:v>1</x:v>
      </x:c>
      <x:c r="M40" s="47" t="str">
        <x:f>IF(AND(K40=1,L40=1),"Met","STOP")</x:f>
        <x:v>Met</x:v>
      </x:c>
      <x:c r="N40" s="47" t="str">
        <x:v>cae6c195ae232b6c420d54eed7940e1635fb5c03df6426bc0de64f44c71036a7</x:v>
      </x:c>
    </x:row>
    <x:row r="41">
      <x:c r="A41" s="47" t="str">
        <x:v>L2_GAUSS_CONCORDANT</x:v>
      </x:c>
      <x:c r="B41" s="47" t="str">
        <x:v>NYC-V3-R03</x:v>
      </x:c>
      <x:c r="C41" s="47" t="str">
        <x:v>Gaussian</x:v>
      </x:c>
      <x:c r="D41" s="74" t="n">
        <x:v>0.991609423488869</x:v>
      </x:c>
      <x:c r="E41" s="74" t="n">
        <x:v>1.0092882908716856</x:v>
      </x:c>
      <x:c r="F41" s="74" t="n">
        <x:v>0.006398033560602493</x:v>
      </x:c>
      <x:c r="G41" s="74" t="n">
        <x:v>0.017784653432841725</x:v>
      </x:c>
      <x:c r="H41" s="74" t="n">
        <x:v>4.807311404672966</x:v>
      </x:c>
      <x:c r="I41" s="74" t="n">
        <x:v>0.007620571766391919</x:v>
      </x:c>
      <x:c r="J41" s="74" t="n">
        <x:v>0.018439088914585774</x:v>
      </x:c>
      <x:c r="K41" s="47" t="n">
        <x:v>1</x:v>
      </x:c>
      <x:c r="L41" s="47" t="n">
        <x:v>1</x:v>
      </x:c>
      <x:c r="M41" s="47" t="str">
        <x:f>IF(AND(K41=1,L41=1),"Met","STOP")</x:f>
        <x:v>Met</x:v>
      </x:c>
      <x:c r="N41" s="47" t="str">
        <x:v>008617d1faa8b5f7e3a579eb3ffa2d3de7601f733c7b66098be6e7b82c86b436</x:v>
      </x:c>
    </x:row>
    <x:row r="42">
      <x:c r="A42" s="47" t="str">
        <x:v>L2_GAUSS_CONCORDANT</x:v>
      </x:c>
      <x:c r="B42" s="47" t="str">
        <x:v>NYC-V3-R04</x:v>
      </x:c>
      <x:c r="C42" s="47" t="str">
        <x:v>Gaussian</x:v>
      </x:c>
      <x:c r="D42" s="74" t="n">
        <x:v>0.9851554571658412</x:v>
      </x:c>
      <x:c r="E42" s="74" t="n">
        <x:v>1.0097456735682537</x:v>
      </x:c>
      <x:c r="F42" s="74" t="n">
        <x:v>0.011767054030415811</x:v>
      </x:c>
      <x:c r="G42" s="74" t="n">
        <x:v>0.018659926755458384</x:v>
      </x:c>
      <x:c r="H42" s="74" t="n">
        <x:v>5.011922396924427</x:v>
      </x:c>
      <x:c r="I42" s="74" t="n">
        <x:v>0.007753658747278234</x:v>
      </x:c>
      <x:c r="J42" s="74" t="n">
        <x:v>0.018439088914585774</x:v>
      </x:c>
      <x:c r="K42" s="47" t="n">
        <x:v>1</x:v>
      </x:c>
      <x:c r="L42" s="47" t="n">
        <x:v>0</x:v>
      </x:c>
      <x:c r="M42" s="47" t="str">
        <x:f>IF(AND(K42=1,L42=1),"Met","STOP")</x:f>
        <x:v>STOP</x:v>
      </x:c>
      <x:c r="N42" s="47" t="str">
        <x:v>d86097e1ba32354dc4c75b6accbb223a8f7ba03d41d1a5d446c9d0b578f644f7</x:v>
      </x:c>
    </x:row>
    <x:row r="43">
      <x:c r="A43" s="47" t="str">
        <x:v>L3_T7_ZERO</x:v>
      </x:c>
      <x:c r="B43" s="47" t="str">
        <x:v>NYC-V1-R01</x:v>
      </x:c>
      <x:c r="C43" s="47" t="str">
        <x:v>Student t, df=7</x:v>
      </x:c>
      <x:c r="D43" s="74" t="n">
        <x:v>0.9931533278741352</x:v>
      </x:c>
      <x:c r="E43" s="74" t="n">
        <x:v>1.0199839032199394</x:v>
      </x:c>
      <x:c r="F43" s="74" t="n">
        <x:v>0.01168854384713429</x:v>
      </x:c>
      <x:c r="G43" s="74" t="n">
        <x:v>0.02481625640665183</x:v>
      </x:c>
      <x:c r="H43" s="74" t="n">
        <x:v>8.013752304813023</x:v>
      </x:c>
      <x:c r="I43" s="74" t="n">
        <x:v>0.012525808227291513</x:v>
      </x:c>
      <x:c r="J43" s="74" t="n">
        <x:v>0.023944379994757296</x:v>
      </x:c>
      <x:c r="K43" s="47" t="n">
        <x:v>1</x:v>
      </x:c>
      <x:c r="L43" s="47" t="n">
        <x:v>0</x:v>
      </x:c>
      <x:c r="M43" s="47" t="str">
        <x:f>IF(AND(K43=1,L43=1),"Met","STOP")</x:f>
        <x:v>STOP</x:v>
      </x:c>
      <x:c r="N43" s="47" t="str">
        <x:v>7dd4ddb9378b82e0b4b6693b23433d0f4657a778b2edba7476a6e4f2a15b93df</x:v>
      </x:c>
    </x:row>
    <x:row r="44">
      <x:c r="A44" s="47" t="str">
        <x:v>L3_T7_ZERO</x:v>
      </x:c>
      <x:c r="B44" s="47" t="str">
        <x:v>NYC-V1-R02</x:v>
      </x:c>
      <x:c r="C44" s="47" t="str">
        <x:v>Student t, df=7</x:v>
      </x:c>
      <x:c r="D44" s="74" t="n">
        <x:v>0.9883549464153079</x:v>
      </x:c>
      <x:c r="E44" s="74" t="n">
        <x:v>1.0058706475126147</x:v>
      </x:c>
      <x:c r="F44" s="74" t="n">
        <x:v>0.009949917536234422</x:v>
      </x:c>
      <x:c r="G44" s="74" t="n">
        <x:v>0.02406669003709163</x:v>
      </x:c>
      <x:c r="H44" s="74" t="n">
        <x:v>5.0977812516125205</x:v>
      </x:c>
      <x:c r="I44" s="74" t="n">
        <x:v>0.010406553425296101</x:v>
      </x:c>
      <x:c r="J44" s="74" t="n">
        <x:v>0.023944379994757296</x:v>
      </x:c>
      <x:c r="K44" s="47" t="n">
        <x:v>1</x:v>
      </x:c>
      <x:c r="L44" s="47" t="n">
        <x:v>1</x:v>
      </x:c>
      <x:c r="M44" s="47" t="str">
        <x:f>IF(AND(K44=1,L44=1),"Met","STOP")</x:f>
        <x:v>Met</x:v>
      </x:c>
      <x:c r="N44" s="47" t="str">
        <x:v>aaf38cf5171bf983adc76d3ba846bbb0668ae79c4453f03c3573d2fefc08bf0b</x:v>
      </x:c>
    </x:row>
    <x:row r="45">
      <x:c r="A45" s="47" t="str">
        <x:v>L3_T7_ZERO</x:v>
      </x:c>
      <x:c r="B45" s="47" t="str">
        <x:v>NYC-V1-R03</x:v>
      </x:c>
      <x:c r="C45" s="47" t="str">
        <x:v>Student t, df=7</x:v>
      </x:c>
      <x:c r="D45" s="74" t="n">
        <x:v>0.9868357951853582</x:v>
      </x:c>
      <x:c r="E45" s="74" t="n">
        <x:v>1.0158033933443917</x:v>
      </x:c>
      <x:c r="F45" s="74" t="n">
        <x:v>0.013082892631534912</x:v>
      </x:c>
      <x:c r="G45" s="74" t="n">
        <x:v>0.024809432514981005</x:v>
      </x:c>
      <x:c r="H45" s="74" t="n">
        <x:v>6.9735574932011195</x:v>
      </x:c>
      <x:c r="I45" s="74" t="n">
        <x:v>0.01181352155596933</x:v>
      </x:c>
      <x:c r="J45" s="74" t="n">
        <x:v>0.023944379994757296</x:v>
      </x:c>
      <x:c r="K45" s="47" t="n">
        <x:v>1</x:v>
      </x:c>
      <x:c r="L45" s="47" t="n">
        <x:v>0</x:v>
      </x:c>
      <x:c r="M45" s="47" t="str">
        <x:f>IF(AND(K45=1,L45=1),"Met","STOP")</x:f>
        <x:v>STOP</x:v>
      </x:c>
      <x:c r="N45" s="47" t="str">
        <x:v>7284af65be13965f9c231216d38632533da29a1b71a4865f00d801f87a63968a</x:v>
      </x:c>
    </x:row>
    <x:row r="46">
      <x:c r="A46" s="47" t="str">
        <x:v>L3_T7_ZERO</x:v>
      </x:c>
      <x:c r="B46" s="47" t="str">
        <x:v>NYC-V1-R04</x:v>
      </x:c>
      <x:c r="C46" s="47" t="str">
        <x:v>Student t, df=7</x:v>
      </x:c>
      <x:c r="D46" s="74" t="n">
        <x:v>0.9860677018588923</x:v>
      </x:c>
      <x:c r="E46" s="74" t="n">
        <x:v>1.0100076112460323</x:v>
      </x:c>
      <x:c r="F46" s="74" t="n">
        <x:v>0.009024985164635456</x:v>
      </x:c>
      <x:c r="G46" s="74" t="n">
        <x:v>0.023146193407572443</x:v>
      </x:c>
      <x:c r="H46" s="74" t="n">
        <x:v>6.054760059909477</x:v>
      </x:c>
      <x:c r="I46" s="74" t="n">
        <x:v>0.011146569023627463</x:v>
      </x:c>
      <x:c r="J46" s="74" t="n">
        <x:v>0.023944379994757296</x:v>
      </x:c>
      <x:c r="K46" s="47" t="n">
        <x:v>1</x:v>
      </x:c>
      <x:c r="L46" s="47" t="n">
        <x:v>1</x:v>
      </x:c>
      <x:c r="M46" s="47" t="str">
        <x:f>IF(AND(K46=1,L46=1),"Met","STOP")</x:f>
        <x:v>Met</x:v>
      </x:c>
      <x:c r="N46" s="47" t="str">
        <x:v>d353c9a18defb16d27bf41f95994cc29c95270ef1f49e1d498a764c651f19f5c</x:v>
      </x:c>
    </x:row>
    <x:row r="47">
      <x:c r="A47" s="47" t="str">
        <x:v>L3_T7_ZERO</x:v>
      </x:c>
      <x:c r="B47" s="47" t="str">
        <x:v>NYC-V2-R01</x:v>
      </x:c>
      <x:c r="C47" s="47" t="str">
        <x:v>Student t, df=7</x:v>
      </x:c>
      <x:c r="D47" s="74" t="n">
        <x:v>0.9868971256800969</x:v>
      </x:c>
      <x:c r="E47" s="74" t="n">
        <x:v>1.0047606625743708</x:v>
      </x:c>
      <x:c r="F47" s="74" t="n">
        <x:v>0.01206473076322411</x:v>
      </x:c>
      <x:c r="G47" s="74" t="n">
        <x:v>0.02416644218332276</x:v>
      </x:c>
      <x:c r="H47" s="74" t="n">
        <x:v>5.643168138725471</x:v>
      </x:c>
      <x:c r="I47" s="74" t="n">
        <x:v>0.010834488250278577</x:v>
      </x:c>
      <x:c r="J47" s="74" t="n">
        <x:v>0.023944379994757296</x:v>
      </x:c>
      <x:c r="K47" s="47" t="n">
        <x:v>1</x:v>
      </x:c>
      <x:c r="L47" s="47" t="n">
        <x:v>0</x:v>
      </x:c>
      <x:c r="M47" s="47" t="str">
        <x:f>IF(AND(K47=1,L47=1),"Met","STOP")</x:f>
        <x:v>STOP</x:v>
      </x:c>
      <x:c r="N47" s="47" t="str">
        <x:v>606ace4cef22c0cb0e5a94af6ba26c3f813d4029d376d4ff45f4ed1a3a59b902</x:v>
      </x:c>
    </x:row>
    <x:row r="48">
      <x:c r="A48" s="47" t="str">
        <x:v>L3_T7_ZERO</x:v>
      </x:c>
      <x:c r="B48" s="47" t="str">
        <x:v>NYC-V2-R02</x:v>
      </x:c>
      <x:c r="C48" s="47" t="str">
        <x:v>Student t, df=7</x:v>
      </x:c>
      <x:c r="D48" s="74" t="n">
        <x:v>0.9852493331692178</x:v>
      </x:c>
      <x:c r="E48" s="74" t="n">
        <x:v>1.0097939955030675</x:v>
      </x:c>
      <x:c r="F48" s="74" t="n">
        <x:v>0.009338799722309303</x:v>
      </x:c>
      <x:c r="G48" s="74" t="n">
        <x:v>0.02384161331337154</x:v>
      </x:c>
      <x:c r="H48" s="74" t="n">
        <x:v>5.131614444778989</x:v>
      </x:c>
      <x:c r="I48" s="74" t="n">
        <x:v>0.010433611107680624</x:v>
      </x:c>
      <x:c r="J48" s="74" t="n">
        <x:v>0.023944379994757296</x:v>
      </x:c>
      <x:c r="K48" s="47" t="n">
        <x:v>1</x:v>
      </x:c>
      <x:c r="L48" s="47" t="n">
        <x:v>1</x:v>
      </x:c>
      <x:c r="M48" s="47" t="str">
        <x:f>IF(AND(K48=1,L48=1),"Met","STOP")</x:f>
        <x:v>Met</x:v>
      </x:c>
      <x:c r="N48" s="47" t="str">
        <x:v>868279b0a310974e098da60e0f274791aab15010e72a873bcd962f9a10eadcd4</x:v>
      </x:c>
    </x:row>
    <x:row r="49">
      <x:c r="A49" s="47" t="str">
        <x:v>L3_T7_ZERO</x:v>
      </x:c>
      <x:c r="B49" s="47" t="str">
        <x:v>NYC-V2-R03</x:v>
      </x:c>
      <x:c r="C49" s="47" t="str">
        <x:v>Student t, df=7</x:v>
      </x:c>
      <x:c r="D49" s="74" t="n">
        <x:v>0.9913797310076905</x:v>
      </x:c>
      <x:c r="E49" s="74" t="n">
        <x:v>1.0122935023511483</x:v>
      </x:c>
      <x:c r="F49" s="74" t="n">
        <x:v>0.012085127909662922</x:v>
      </x:c>
      <x:c r="G49" s="74" t="n">
        <x:v>0.023512778869758524</x:v>
      </x:c>
      <x:c r="H49" s="74" t="n">
        <x:v>4.86457831670306</x:v>
      </x:c>
      <x:c r="I49" s="74" t="n">
        <x:v>0.010218103474310567</x:v>
      </x:c>
      <x:c r="J49" s="74" t="n">
        <x:v>0.023944379994757296</x:v>
      </x:c>
      <x:c r="K49" s="47" t="n">
        <x:v>1</x:v>
      </x:c>
      <x:c r="L49" s="47" t="n">
        <x:v>0</x:v>
      </x:c>
      <x:c r="M49" s="47" t="str">
        <x:f>IF(AND(K49=1,L49=1),"Met","STOP")</x:f>
        <x:v>STOP</x:v>
      </x:c>
      <x:c r="N49" s="47" t="str">
        <x:v>5f22e4ed34ea6b2807a966d27be3cbd4aecdaa5a825f2ca4fab1430e324824de</x:v>
      </x:c>
    </x:row>
    <x:row r="50">
      <x:c r="A50" s="47" t="str">
        <x:v>L3_T7_ZERO</x:v>
      </x:c>
      <x:c r="B50" s="47" t="str">
        <x:v>NYC-V2-R04</x:v>
      </x:c>
      <x:c r="C50" s="47" t="str">
        <x:v>Student t, df=7</x:v>
      </x:c>
      <x:c r="D50" s="74" t="n">
        <x:v>0.9926938202861623</x:v>
      </x:c>
      <x:c r="E50" s="74" t="n">
        <x:v>1.014420520180432</x:v>
      </x:c>
      <x:c r="F50" s="74" t="n">
        <x:v>0.012570490521986909</x:v>
      </x:c>
      <x:c r="G50" s="74" t="n">
        <x:v>0.023360984574156626</x:v>
      </x:c>
      <x:c r="H50" s="74" t="n">
        <x:v>5.447435449749627</x:v>
      </x:c>
      <x:c r="I50" s="74" t="n">
        <x:v>0.010682879956383194</x:v>
      </x:c>
      <x:c r="J50" s="74" t="n">
        <x:v>0.023944379994757296</x:v>
      </x:c>
      <x:c r="K50" s="47" t="n">
        <x:v>1</x:v>
      </x:c>
      <x:c r="L50" s="47" t="n">
        <x:v>0</x:v>
      </x:c>
      <x:c r="M50" s="47" t="str">
        <x:f>IF(AND(K50=1,L50=1),"Met","STOP")</x:f>
        <x:v>STOP</x:v>
      </x:c>
      <x:c r="N50" s="47" t="str">
        <x:v>a8a4270bc074f7ee10dc6addd7ccc0e4de327e600753cc844057e74dff25e8f5</x:v>
      </x:c>
    </x:row>
    <x:row r="51">
      <x:c r="A51" s="47" t="str">
        <x:v>L3_T7_ZERO</x:v>
      </x:c>
      <x:c r="B51" s="47" t="str">
        <x:v>NYC-V3-R01</x:v>
      </x:c>
      <x:c r="C51" s="47" t="str">
        <x:v>Student t, df=7</x:v>
      </x:c>
      <x:c r="D51" s="74" t="n">
        <x:v>0.9933035864632377</x:v>
      </x:c>
      <x:c r="E51" s="74" t="n">
        <x:v>1.0091065770386694</x:v>
      </x:c>
      <x:c r="F51" s="74" t="n">
        <x:v>0.010565008803886814</x:v>
      </x:c>
      <x:c r="G51" s="74" t="n">
        <x:v>0.02346742747928505</x:v>
      </x:c>
      <x:c r="H51" s="74" t="n">
        <x:v>6.143184556548811</x:v>
      </x:c>
      <x:c r="I51" s="74" t="n">
        <x:v>0.011212481554461834</x:v>
      </x:c>
      <x:c r="J51" s="74" t="n">
        <x:v>0.023944379994757296</x:v>
      </x:c>
      <x:c r="K51" s="47" t="n">
        <x:v>1</x:v>
      </x:c>
      <x:c r="L51" s="47" t="n">
        <x:v>0</x:v>
      </x:c>
      <x:c r="M51" s="47" t="str">
        <x:f>IF(AND(K51=1,L51=1),"Met","STOP")</x:f>
        <x:v>STOP</x:v>
      </x:c>
      <x:c r="N51" s="47" t="str">
        <x:v>e46fc5d48564f39f0a0203c8491d6db398acd93ed9f2895b228e995e266cc3e9</x:v>
      </x:c>
    </x:row>
    <x:row r="52">
      <x:c r="A52" s="47" t="str">
        <x:v>L3_T7_ZERO</x:v>
      </x:c>
      <x:c r="B52" s="47" t="str">
        <x:v>NYC-V3-R02</x:v>
      </x:c>
      <x:c r="C52" s="47" t="str">
        <x:v>Student t, df=7</x:v>
      </x:c>
      <x:c r="D52" s="74" t="n">
        <x:v>0.989321050048308</x:v>
      </x:c>
      <x:c r="E52" s="74" t="n">
        <x:v>1.0102314760179427</x:v>
      </x:c>
      <x:c r="F52" s="74" t="n">
        <x:v>0.01016253949697408</x:v>
      </x:c>
      <x:c r="G52" s="74" t="n">
        <x:v>0.024101980113660455</x:v>
      </x:c>
      <x:c r="H52" s="74" t="n">
        <x:v>5.543949980288329</x:v>
      </x:c>
      <x:c r="I52" s="74" t="n">
        <x:v>0.010757904055691898</x:v>
      </x:c>
      <x:c r="J52" s="74" t="n">
        <x:v>0.023944379994757296</x:v>
      </x:c>
      <x:c r="K52" s="47" t="n">
        <x:v>1</x:v>
      </x:c>
      <x:c r="L52" s="47" t="n">
        <x:v>0</x:v>
      </x:c>
      <x:c r="M52" s="47" t="str">
        <x:f>IF(AND(K52=1,L52=1),"Met","STOP")</x:f>
        <x:v>STOP</x:v>
      </x:c>
      <x:c r="N52" s="47" t="str">
        <x:v>ad107c19dbbe7b3ccb75a2f4729e58b855ee3600d249ea99911fbde05844899c</x:v>
      </x:c>
    </x:row>
    <x:row r="53">
      <x:c r="A53" s="47" t="str">
        <x:v>L3_T7_ZERO</x:v>
      </x:c>
      <x:c r="B53" s="47" t="str">
        <x:v>NYC-V3-R03</x:v>
      </x:c>
      <x:c r="C53" s="47" t="str">
        <x:v>Student t, df=7</x:v>
      </x:c>
      <x:c r="D53" s="74" t="n">
        <x:v>0.9913813126370871</x:v>
      </x:c>
      <x:c r="E53" s="74" t="n">
        <x:v>1.0178205973427632</x:v>
      </x:c>
      <x:c r="F53" s="74" t="n">
        <x:v>0.013946393661491748</x:v>
      </x:c>
      <x:c r="G53" s="74" t="n">
        <x:v>0.02358128828586891</x:v>
      </x:c>
      <x:c r="H53" s="74" t="n">
        <x:v>5.840812359371702</x:v>
      </x:c>
      <x:c r="I53" s="74" t="n">
        <x:v>0.010985454291449597</x:v>
      </x:c>
      <x:c r="J53" s="74" t="n">
        <x:v>0.023944379994757296</x:v>
      </x:c>
      <x:c r="K53" s="47" t="n">
        <x:v>1</x:v>
      </x:c>
      <x:c r="L53" s="47" t="n">
        <x:v>0</x:v>
      </x:c>
      <x:c r="M53" s="47" t="str">
        <x:f>IF(AND(K53=1,L53=1),"Met","STOP")</x:f>
        <x:v>STOP</x:v>
      </x:c>
      <x:c r="N53" s="47" t="str">
        <x:v>7a767c85ef8f4973d6588f47e7e624613f9dbe2ae7afa372063c9d9390027f96</x:v>
      </x:c>
    </x:row>
    <x:row r="54">
      <x:c r="A54" s="51" t="str">
        <x:v>L3_T7_ZERO</x:v>
      </x:c>
      <x:c r="B54" s="51" t="str">
        <x:v>NYC-V3-R04</x:v>
      </x:c>
      <x:c r="C54" s="51" t="str">
        <x:v>Student t, df=7</x:v>
      </x:c>
      <x:c r="D54" s="75" t="n">
        <x:v>0.984837967106678</x:v>
      </x:c>
      <x:c r="E54" s="75" t="n">
        <x:v>1.0049617125162704</x:v>
      </x:c>
      <x:c r="F54" s="75" t="n">
        <x:v>0.007720812051293654</x:v>
      </x:c>
      <x:c r="G54" s="75" t="n">
        <x:v>0.02299153400506507</x:v>
      </x:c>
      <x:c r="H54" s="75" t="n">
        <x:v>6.3588955503719395</x:v>
      </x:c>
      <x:c r="I54" s="75" t="n">
        <x:v>0.01137167207755888</x:v>
      </x:c>
      <x:c r="J54" s="75" t="n">
        <x:v>0.023944379994757296</x:v>
      </x:c>
      <x:c r="K54" s="51" t="n">
        <x:v>1</x:v>
      </x:c>
      <x:c r="L54" s="51" t="n">
        <x:v>1</x:v>
      </x:c>
      <x:c r="M54" s="51" t="str">
        <x:f>IF(AND(K54=1,L54=1),"Met","STOP")</x:f>
        <x:v>Met</x:v>
      </x:c>
      <x:c r="N54" s="51" t="str">
        <x:v>454aabf75c04541cec51c22826cbc01cd7b6f4a18ae2e16706bfcb8b91aa4e3c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52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98" hidden="0" customWidth="1"/>
    <x:col min="7" max="7" width="14" hidden="0" customWidth="1"/>
  </x:cols>
  <x:sheetData>
    <x:row r="1" ht="22" customHeight="1">
      <x:c r="A1" s="38" t="str">
        <x:v>Propriety</x:v>
      </x:c>
      <x:c r="B1" s="39"/>
      <x:c r="C1" s="39"/>
      <x:c r="D1" s="39"/>
      <x:c r="E1" s="39"/>
      <x:c r="F1" s="39"/>
      <x:c r="G1" s="39"/>
    </x:row>
    <x:row r="2" ht="22" customHeight="1">
      <x:c r="A2" s="40" t="str">
        <x:v>Proof ledger for the improper flat ledger-total prior in all twelve cases</x:v>
      </x:c>
      <x:c r="B2" s="39"/>
      <x:c r="C2" s="39"/>
      <x:c r="D2" s="39"/>
      <x:c r="E2" s="39"/>
      <x:c r="F2" s="39"/>
      <x:c r="G2" s="39"/>
    </x:row>
    <x:row r="3">
      <x:c r="A3" s="39"/>
      <x:c r="B3" s="39"/>
      <x:c r="C3" s="39"/>
      <x:c r="D3" s="39"/>
      <x:c r="E3" s="39"/>
      <x:c r="F3" s="39"/>
      <x:c r="G3" s="39"/>
    </x:row>
    <x:row r="4">
      <x:c r="A4" s="39"/>
      <x:c r="B4" s="39"/>
      <x:c r="C4" s="39"/>
      <x:c r="D4" s="39"/>
      <x:c r="E4" s="39"/>
      <x:c r="F4" s="39"/>
      <x:c r="G4" s="39"/>
    </x:row>
    <x:row r="5">
      <x:c r="A5" s="39"/>
      <x:c r="B5" s="39"/>
      <x:c r="C5" s="39"/>
      <x:c r="D5" s="39"/>
      <x:c r="E5" s="39"/>
      <x:c r="F5" s="39"/>
      <x:c r="G5" s="39"/>
    </x:row>
    <x:row r="6">
      <x:c r="A6" s="19" t="str">
        <x:v>Case</x:v>
      </x:c>
      <x:c r="B6" s="20" t="str">
        <x:v>Likelihood</x:v>
      </x:c>
      <x:c r="C6" s="20" t="str">
        <x:v>Prior</x:v>
      </x:c>
      <x:c r="D6" s="20" t="str">
        <x:v>Flat dimensions</x:v>
      </x:c>
      <x:c r="E6" s="20" t="str">
        <x:v>Tail exponent</x:v>
      </x:c>
      <x:c r="F6" s="20" t="str">
        <x:v>Proof argument</x:v>
      </x:c>
      <x:c r="G6" s="21" t="str">
        <x:v>Status</x:v>
      </x:c>
    </x:row>
    <x:row r="7">
      <x:c r="A7" s="44" t="str">
        <x:v>L0_GAUSS_ZERO__P0_WEAK_BRANCH</x:v>
      </x:c>
      <x:c r="B7" s="44" t="str">
        <x:v>L0_GAUSS_ZERO</x:v>
      </x:c>
      <x:c r="C7" s="44" t="str">
        <x:v>P0_WEAK_BRANCH</x:v>
      </x:c>
      <x:c r="D7" s="44" t="n">
        <x:v>2</x:v>
      </x:c>
      <x:c r="E7" s="44"/>
      <x:c r="F7" s="58" t="str">
        <x:v>positive-definite reduced Gaussian likelihood gives quadratic decay in both ledger totals; branch-conditional multinomial reference is proper</x:v>
      </x:c>
      <x:c r="G7" s="44" t="str">
        <x:v>Met</x:v>
      </x:c>
    </x:row>
    <x:row r="8">
      <x:c r="A8" s="47" t="str">
        <x:v>L0_GAUSS_ZERO__P1_PUMS_POOL</x:v>
      </x:c>
      <x:c r="B8" s="47" t="str">
        <x:v>L0_GAUSS_ZERO</x:v>
      </x:c>
      <x:c r="C8" s="47" t="str">
        <x:v>P1_PUMS_POOL</x:v>
      </x:c>
      <x:c r="D8" s="47" t="n">
        <x:v>2</x:v>
      </x:c>
      <x:c r="E8" s="47"/>
      <x:c r="F8" s="59" t="str">
        <x:v>positive-definite reduced Gaussian likelihood gives quadratic decay in both ledger totals; conditional multinomial reference is proper with positive floor</x:v>
      </x:c>
      <x:c r="G8" s="47" t="str">
        <x:v>Met</x:v>
      </x:c>
    </x:row>
    <x:row r="9">
      <x:c r="A9" s="47" t="str">
        <x:v>L0_GAUSS_ZERO__P2_ADVERSE_TILT</x:v>
      </x:c>
      <x:c r="B9" s="47" t="str">
        <x:v>L0_GAUSS_ZERO</x:v>
      </x:c>
      <x:c r="C9" s="47" t="str">
        <x:v>P2_ADVERSE_TILT</x:v>
      </x:c>
      <x:c r="D9" s="47" t="n">
        <x:v>2</x:v>
      </x:c>
      <x:c r="E9" s="47"/>
      <x:c r="F9" s="59" t="str">
        <x:v>positive-definite reduced Gaussian likelihood gives quadratic decay in both ledger totals; bounded 4:1 tilt preserves finiteness</x:v>
      </x:c>
      <x:c r="G9" s="47" t="str">
        <x:v>Met</x:v>
      </x:c>
    </x:row>
    <x:row r="10">
      <x:c r="A10" s="47" t="str">
        <x:v>L1_GAUSS_SHARED__P0_WEAK_BRANCH</x:v>
      </x:c>
      <x:c r="B10" s="47" t="str">
        <x:v>L1_GAUSS_SHARED</x:v>
      </x:c>
      <x:c r="C10" s="47" t="str">
        <x:v>P0_WEAK_BRANCH</x:v>
      </x:c>
      <x:c r="D10" s="47" t="n">
        <x:v>2</x:v>
      </x:c>
      <x:c r="E10" s="47"/>
      <x:c r="F10" s="59" t="str">
        <x:v>positive-definite reduced Gaussian likelihood gives quadratic decay in both ledger totals; branch-conditional multinomial reference is proper</x:v>
      </x:c>
      <x:c r="G10" s="47" t="str">
        <x:v>Met</x:v>
      </x:c>
    </x:row>
    <x:row r="11">
      <x:c r="A11" s="47" t="str">
        <x:v>L1_GAUSS_SHARED__P1_PUMS_POOL</x:v>
      </x:c>
      <x:c r="B11" s="47" t="str">
        <x:v>L1_GAUSS_SHARED</x:v>
      </x:c>
      <x:c r="C11" s="47" t="str">
        <x:v>P1_PUMS_POOL</x:v>
      </x:c>
      <x:c r="D11" s="47" t="n">
        <x:v>2</x:v>
      </x:c>
      <x:c r="E11" s="47"/>
      <x:c r="F11" s="59" t="str">
        <x:v>positive-definite reduced Gaussian likelihood gives quadratic decay in both ledger totals; conditional multinomial reference is proper with positive floor</x:v>
      </x:c>
      <x:c r="G11" s="47" t="str">
        <x:v>Met</x:v>
      </x:c>
    </x:row>
    <x:row r="12">
      <x:c r="A12" s="47" t="str">
        <x:v>L1_GAUSS_SHARED__P2_ADVERSE_TILT</x:v>
      </x:c>
      <x:c r="B12" s="47" t="str">
        <x:v>L1_GAUSS_SHARED</x:v>
      </x:c>
      <x:c r="C12" s="47" t="str">
        <x:v>P2_ADVERSE_TILT</x:v>
      </x:c>
      <x:c r="D12" s="47" t="n">
        <x:v>2</x:v>
      </x:c>
      <x:c r="E12" s="47"/>
      <x:c r="F12" s="59" t="str">
        <x:v>positive-definite reduced Gaussian likelihood gives quadratic decay in both ledger totals; bounded 4:1 tilt preserves finiteness</x:v>
      </x:c>
      <x:c r="G12" s="47" t="str">
        <x:v>Met</x:v>
      </x:c>
    </x:row>
    <x:row r="13">
      <x:c r="A13" s="47" t="str">
        <x:v>L2_GAUSS_CONCORDANT__P0_WEAK_BRANCH</x:v>
      </x:c>
      <x:c r="B13" s="47" t="str">
        <x:v>L2_GAUSS_CONCORDANT</x:v>
      </x:c>
      <x:c r="C13" s="47" t="str">
        <x:v>P0_WEAK_BRANCH</x:v>
      </x:c>
      <x:c r="D13" s="47" t="n">
        <x:v>2</x:v>
      </x:c>
      <x:c r="E13" s="47"/>
      <x:c r="F13" s="59" t="str">
        <x:v>positive-definite reduced Gaussian likelihood gives quadratic decay in both ledger totals; branch-conditional multinomial reference is proper</x:v>
      </x:c>
      <x:c r="G13" s="47" t="str">
        <x:v>Met</x:v>
      </x:c>
    </x:row>
    <x:row r="14">
      <x:c r="A14" s="47" t="str">
        <x:v>L2_GAUSS_CONCORDANT__P1_PUMS_POOL</x:v>
      </x:c>
      <x:c r="B14" s="47" t="str">
        <x:v>L2_GAUSS_CONCORDANT</x:v>
      </x:c>
      <x:c r="C14" s="47" t="str">
        <x:v>P1_PUMS_POOL</x:v>
      </x:c>
      <x:c r="D14" s="47" t="n">
        <x:v>2</x:v>
      </x:c>
      <x:c r="E14" s="47"/>
      <x:c r="F14" s="59" t="str">
        <x:v>positive-definite reduced Gaussian likelihood gives quadratic decay in both ledger totals; conditional multinomial reference is proper with positive floor</x:v>
      </x:c>
      <x:c r="G14" s="47" t="str">
        <x:v>Met</x:v>
      </x:c>
    </x:row>
    <x:row r="15">
      <x:c r="A15" s="47" t="str">
        <x:v>L2_GAUSS_CONCORDANT__P2_ADVERSE_TILT</x:v>
      </x:c>
      <x:c r="B15" s="47" t="str">
        <x:v>L2_GAUSS_CONCORDANT</x:v>
      </x:c>
      <x:c r="C15" s="47" t="str">
        <x:v>P2_ADVERSE_TILT</x:v>
      </x:c>
      <x:c r="D15" s="47" t="n">
        <x:v>2</x:v>
      </x:c>
      <x:c r="E15" s="47"/>
      <x:c r="F15" s="59" t="str">
        <x:v>positive-definite reduced Gaussian likelihood gives quadratic decay in both ledger totals; bounded 4:1 tilt preserves finiteness</x:v>
      </x:c>
      <x:c r="G15" s="47" t="str">
        <x:v>Met</x:v>
      </x:c>
    </x:row>
    <x:row r="16">
      <x:c r="A16" s="47" t="str">
        <x:v>L3_T7_ZERO__P0_WEAK_BRANCH</x:v>
      </x:c>
      <x:c r="B16" s="47" t="str">
        <x:v>L3_T7_ZERO</x:v>
      </x:c>
      <x:c r="C16" s="47" t="str">
        <x:v>P0_WEAK_BRANCH</x:v>
      </x:c>
      <x:c r="D16" s="47" t="n">
        <x:v>2</x:v>
      </x:c>
      <x:c r="E16" s="47" t="n">
        <x:v>40</x:v>
      </x:c>
      <x:c r="F16" s="59" t="str">
        <x:v>polynomial tail exponent 40 exceeds the two-dimensional ledger-total lattice dimension; branch-conditional multinomial reference is proper</x:v>
      </x:c>
      <x:c r="G16" s="47" t="str">
        <x:v>Met</x:v>
      </x:c>
    </x:row>
    <x:row r="17">
      <x:c r="A17" s="47" t="str">
        <x:v>L3_T7_ZERO__P1_PUMS_POOL</x:v>
      </x:c>
      <x:c r="B17" s="47" t="str">
        <x:v>L3_T7_ZERO</x:v>
      </x:c>
      <x:c r="C17" s="47" t="str">
        <x:v>P1_PUMS_POOL</x:v>
      </x:c>
      <x:c r="D17" s="47" t="n">
        <x:v>2</x:v>
      </x:c>
      <x:c r="E17" s="47" t="n">
        <x:v>40</x:v>
      </x:c>
      <x:c r="F17" s="59" t="str">
        <x:v>polynomial tail exponent 40 exceeds the two-dimensional ledger-total lattice dimension; conditional multinomial reference is proper with positive floor</x:v>
      </x:c>
      <x:c r="G17" s="47" t="str">
        <x:v>Met</x:v>
      </x:c>
    </x:row>
    <x:row r="18">
      <x:c r="A18" s="51" t="str">
        <x:v>L3_T7_ZERO__P2_ADVERSE_TILT</x:v>
      </x:c>
      <x:c r="B18" s="51" t="str">
        <x:v>L3_T7_ZERO</x:v>
      </x:c>
      <x:c r="C18" s="51" t="str">
        <x:v>P2_ADVERSE_TILT</x:v>
      </x:c>
      <x:c r="D18" s="51" t="n">
        <x:v>2</x:v>
      </x:c>
      <x:c r="E18" s="51" t="n">
        <x:v>40</x:v>
      </x:c>
      <x:c r="F18" s="60" t="str">
        <x:v>polynomial tail exponent 40 exceeds the two-dimensional ledger-total lattice dimension; bounded 4:1 tilt preserves finiteness</x:v>
      </x:c>
      <x:c r="G18" s="51" t="str">
        <x:v>Met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9" hidden="0" customWidth="1"/>
    <x:col min="2" max="2" width="68" hidden="0" customWidth="1"/>
    <x:col min="3" max="3" width="24" hidden="0" customWidth="1"/>
    <x:col min="4" max="4" width="12" hidden="0" customWidth="1"/>
    <x:col min="5" max="5" width="12" hidden="0" customWidth="1"/>
    <x:col min="6" max="6" width="14" hidden="0" customWidth="1"/>
    <x:col min="7" max="7" width="18" hidden="0" customWidth="1"/>
    <x:col min="8" max="8" width="14" hidden="0" customWidth="1"/>
    <x:col min="9" max="9" width="25" hidden="0" customWidth="1"/>
    <x:col min="10" max="10" width="20" hidden="0" customWidth="1"/>
    <x:col min="11" max="11" width="18" hidden="0" customWidth="1"/>
    <x:col min="12" max="12" width="14" hidden="0" customWidth="1"/>
    <x:col min="13" max="13" width="14" hidden="0" customWidth="1"/>
  </x:cols>
  <x:sheetData>
    <x:row r="1" ht="22" customHeight="1">
      <x:c r="A1" s="38" t="str">
        <x:v>Connectivity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</x:row>
    <x:row r="2" ht="22" customHeight="1">
      <x:c r="A2" s="40" t="str">
        <x:v>Exact graph enumeration on reduced supports representing the registered move grammar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</x:row>
    <x:row r="6">
      <x:c r="A6" s="19" t="str">
        <x:v>Problem</x:v>
      </x:c>
      <x:c r="B6" s="20" t="str">
        <x:v>Support</x:v>
      </x:c>
      <x:c r="C6" s="20" t="str">
        <x:v>Required moves</x:v>
      </x:c>
      <x:c r="D6" s="20" t="str">
        <x:v>States</x:v>
      </x:c>
      <x:c r="E6" s="20" t="str">
        <x:v>Edges</x:v>
      </x:c>
      <x:c r="F6" s="20" t="str">
        <x:v>Components</x:v>
      </x:c>
      <x:c r="G6" s="20" t="str">
        <x:v>Largest component</x:v>
      </x:c>
      <x:c r="H6" s="20" t="str">
        <x:v>Diameter</x:v>
      </x:c>
      <x:c r="I6" s="20" t="str">
        <x:v>Ablation</x:v>
      </x:c>
      <x:c r="J6" s="20" t="str">
        <x:v>Ablation components</x:v>
      </x:c>
      <x:c r="K6" s="20" t="str">
        <x:v>Ablation diameter</x:v>
      </x:c>
      <x:c r="L6" s="20" t="str">
        <x:v>Required</x:v>
      </x:c>
      <x:c r="M6" s="21" t="str">
        <x:v>Status</x:v>
      </x:c>
    </x:row>
    <x:row r="7">
      <x:c r="A7" s="44" t="str">
        <x:v>C01_SCALE_COMPOSITION</x:v>
      </x:c>
      <x:c r="B7" s="58" t="str">
        <x:v>three-cell simplex with total 0–5</x:v>
      </x:c>
      <x:c r="C7" s="58" t="str">
        <x:v>M1 + M2</x:v>
      </x:c>
      <x:c r="D7" s="44" t="n">
        <x:v>56</x:v>
      </x:c>
      <x:c r="E7" s="44" t="n">
        <x:v>140</x:v>
      </x:c>
      <x:c r="F7" s="44" t="n">
        <x:v>1</x:v>
      </x:c>
      <x:c r="G7" s="44" t="n">
        <x:v>56</x:v>
      </x:c>
      <x:c r="H7" s="44" t="n">
        <x:v>10</x:v>
      </x:c>
      <x:c r="I7" s="44" t="str">
        <x:v>remove M2</x:v>
      </x:c>
      <x:c r="J7" s="44" t="n">
        <x:v>21</x:v>
      </x:c>
      <x:c r="K7" s="44"/>
      <x:c r="L7" s="44" t="n">
        <x:v>1</x:v>
      </x:c>
      <x:c r="M7" s="44" t="str">
        <x:v>Met</x:v>
      </x:c>
    </x:row>
    <x:row r="8">
      <x:c r="A8" s="47" t="str">
        <x:v>C02_INTERACTION_FIBER</x:v>
      </x:c>
      <x:c r="B8" s="59" t="str">
        <x:v>2x2 table with row and column margins fixed at 2</x:v>
      </x:c>
      <x:c r="C8" s="59" t="str">
        <x:v>M4</x:v>
      </x:c>
      <x:c r="D8" s="47" t="n">
        <x:v>3</x:v>
      </x:c>
      <x:c r="E8" s="47" t="n">
        <x:v>2</x:v>
      </x:c>
      <x:c r="F8" s="47" t="n">
        <x:v>1</x:v>
      </x:c>
      <x:c r="G8" s="47" t="n">
        <x:v>3</x:v>
      </x:c>
      <x:c r="H8" s="47" t="n">
        <x:v>2</x:v>
      </x:c>
      <x:c r="I8" s="47" t="str">
        <x:v>remove M4</x:v>
      </x:c>
      <x:c r="J8" s="47" t="n">
        <x:v>3</x:v>
      </x:c>
      <x:c r="K8" s="47"/>
      <x:c r="L8" s="47" t="n">
        <x:v>1</x:v>
      </x:c>
      <x:c r="M8" s="47" t="str">
        <x:v>Met</x:v>
      </x:c>
    </x:row>
    <x:row r="9">
      <x:c r="A9" s="47" t="str">
        <x:v>C03_INTEGER_KERNEL</x:v>
      </x:c>
      <x:c r="B9" s="59" t="str">
        <x:v>three duplicate aggregate columns summing to 5</x:v>
      </x:c>
      <x:c r="C9" s="59" t="str">
        <x:v>M5</x:v>
      </x:c>
      <x:c r="D9" s="47" t="n">
        <x:v>21</x:v>
      </x:c>
      <x:c r="E9" s="47" t="n">
        <x:v>45</x:v>
      </x:c>
      <x:c r="F9" s="47" t="n">
        <x:v>1</x:v>
      </x:c>
      <x:c r="G9" s="47" t="n">
        <x:v>21</x:v>
      </x:c>
      <x:c r="H9" s="47" t="n">
        <x:v>5</x:v>
      </x:c>
      <x:c r="I9" s="47" t="str">
        <x:v>remove M5</x:v>
      </x:c>
      <x:c r="J9" s="47" t="n">
        <x:v>21</x:v>
      </x:c>
      <x:c r="K9" s="47"/>
      <x:c r="L9" s="47" t="n">
        <x:v>1</x:v>
      </x:c>
      <x:c r="M9" s="47" t="str">
        <x:v>Met</x:v>
      </x:c>
    </x:row>
    <x:row r="10">
      <x:c r="A10" s="47" t="str">
        <x:v>C04_BRIDGE_CORNER</x:v>
      </x:c>
      <x:c r="B10" s="59" t="str">
        <x:v>four persons, two households, minimum-person bridge 2+family≤non-GQ persons</x:v>
      </x:c>
      <x:c r="C10" s="59" t="str">
        <x:v>M2 + M3 + M6</x:v>
      </x:c>
      <x:c r="D10" s="47" t="n">
        <x:v>6</x:v>
      </x:c>
      <x:c r="E10" s="47" t="n">
        <x:v>9</x:v>
      </x:c>
      <x:c r="F10" s="47" t="n">
        <x:v>1</x:v>
      </x:c>
      <x:c r="G10" s="47" t="n">
        <x:v>6</x:v>
      </x:c>
      <x:c r="H10" s="47" t="n">
        <x:v>2</x:v>
      </x:c>
      <x:c r="I10" s="47" t="str">
        <x:v>remove M6</x:v>
      </x:c>
      <x:c r="J10" s="47" t="n">
        <x:v>1</x:v>
      </x:c>
      <x:c r="K10" s="47" t="n">
        <x:v>4</x:v>
      </x:c>
      <x:c r="L10" s="47" t="n">
        <x:v>1</x:v>
      </x:c>
      <x:c r="M10" s="47" t="str">
        <x:v>Met</x:v>
      </x:c>
    </x:row>
    <x:row r="11">
      <x:c r="A11" s="51" t="str">
        <x:v>C05_STRUCTURAL_ZERO</x:v>
      </x:c>
      <x:c r="B11" s="60" t="str">
        <x:v>2x3 fixed-margin table with one prohibited cell removed</x:v>
      </x:c>
      <x:c r="C11" s="60" t="str">
        <x:v>M4 on lawful rectangle</x:v>
      </x:c>
      <x:c r="D11" s="51" t="n">
        <x:v>2</x:v>
      </x:c>
      <x:c r="E11" s="51" t="n">
        <x:v>1</x:v>
      </x:c>
      <x:c r="F11" s="51" t="n">
        <x:v>1</x:v>
      </x:c>
      <x:c r="G11" s="51" t="n">
        <x:v>2</x:v>
      </x:c>
      <x:c r="H11" s="51" t="n">
        <x:v>1</x:v>
      </x:c>
      <x:c r="I11" s="51" t="str">
        <x:v>permit prohibited cell</x:v>
      </x:c>
      <x:c r="J11" s="51"/>
      <x:c r="K11" s="51"/>
      <x:c r="L11" s="51" t="n">
        <x:v>1</x:v>
      </x:c>
      <x:c r="M11" s="51" t="str">
        <x:v>Met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62" hidden="0" customWidth="1"/>
    <x:col min="3" max="3" width="42" hidden="0" customWidth="1"/>
    <x:col min="4" max="4" width="48" hidden="0" customWidth="1"/>
    <x:col min="5" max="5" width="14" hidden="0" customWidth="1"/>
    <x:col min="6" max="6" width="16" hidden="0" customWidth="1"/>
  </x:cols>
  <x:sheetData>
    <x:row r="1" ht="22" customHeight="1">
      <x:c r="A1" s="38" t="str">
        <x:v>Failure Tests</x:v>
      </x:c>
      <x:c r="B1" s="39"/>
      <x:c r="C1" s="39"/>
      <x:c r="D1" s="39"/>
      <x:c r="E1" s="39"/>
      <x:c r="F1" s="39"/>
    </x:row>
    <x:row r="2" ht="22" customHeight="1">
      <x:c r="A2" s="40" t="str">
        <x:v>Seeded defects must be detected before a posterior implementation receives authority</x:v>
      </x:c>
      <x:c r="B2" s="39"/>
      <x:c r="C2" s="39"/>
      <x:c r="D2" s="39"/>
      <x:c r="E2" s="39"/>
      <x:c r="F2" s="39"/>
    </x:row>
    <x:row r="3">
      <x:c r="A3" s="39"/>
      <x:c r="B3" s="39"/>
      <x:c r="C3" s="39"/>
      <x:c r="D3" s="39"/>
      <x:c r="E3" s="39"/>
      <x:c r="F3" s="39"/>
    </x:row>
    <x:row r="4">
      <x:c r="A4" s="39"/>
      <x:c r="B4" s="39"/>
      <x:c r="C4" s="39"/>
      <x:c r="D4" s="39"/>
      <x:c r="E4" s="39"/>
      <x:c r="F4" s="39"/>
    </x:row>
    <x:row r="5">
      <x:c r="A5" s="39"/>
      <x:c r="B5" s="39"/>
      <x:c r="C5" s="39"/>
      <x:c r="D5" s="39"/>
      <x:c r="E5" s="39"/>
      <x:c r="F5" s="39"/>
    </x:row>
    <x:row r="6">
      <x:c r="A6" s="19" t="str">
        <x:v>Test</x:v>
      </x:c>
      <x:c r="B6" s="20" t="str">
        <x:v>Injected defect</x:v>
      </x:c>
      <x:c r="C6" s="20" t="str">
        <x:v>Observed</x:v>
      </x:c>
      <x:c r="D6" s="20" t="str">
        <x:v>Expected response</x:v>
      </x:c>
      <x:c r="E6" s="20" t="str">
        <x:v>Detected</x:v>
      </x:c>
      <x:c r="F6" s="21" t="str">
        <x:v>Status</x:v>
      </x:c>
    </x:row>
    <x:row r="7">
      <x:c r="A7" s="44" t="str">
        <x:v>F07_T_SCALE_ERROR</x:v>
      </x:c>
      <x:c r="B7" s="58" t="str">
        <x:v>Use V as Student-t scale instead of 5/7 V</x:v>
      </x:c>
      <x:c r="C7" s="58" t="str">
        <x:v>diagonal ratio 1.388 to 1.423</x:v>
      </x:c>
      <x:c r="D7" s="58" t="str">
        <x:v>covariance unit test fails</x:v>
      </x:c>
      <x:c r="E7" s="44" t="n">
        <x:v>1</x:v>
      </x:c>
      <x:c r="F7" s="44" t="str">
        <x:v>Detected</x:v>
      </x:c>
    </x:row>
    <x:row r="8">
      <x:c r="A8" s="47" t="str">
        <x:v>F05_IDENTITY_DUPLICATION</x:v>
      </x:c>
      <x:c r="B8" s="59" t="str">
        <x:v>Factor all 39 margins without rank reduction</x:v>
      </x:c>
      <x:c r="C8" s="59" t="str">
        <x:v>full rank 33 of 39</x:v>
      </x:c>
      <x:c r="D8" s="59" t="str">
        <x:v>singular full covariance rejected</x:v>
      </x:c>
      <x:c r="E8" s="47" t="n">
        <x:v>1</x:v>
      </x:c>
      <x:c r="F8" s="47" t="str">
        <x:v>Detected</x:v>
      </x:c>
    </x:row>
    <x:row r="9">
      <x:c r="A9" s="47" t="str">
        <x:v>F08_ESTIMATOR_TRUNCATION</x:v>
      </x:c>
      <x:c r="B9" s="59" t="str">
        <x:v>Clip a zero-centered estimator residual at zero</x:v>
      </x:c>
      <x:c r="C9" s="59" t="str">
        <x:v>mean shift 0.401 SD; variance ratio 0.342</x:v>
      </x:c>
      <x:c r="D9" s="59" t="str">
        <x:v>boundary estimator test fails</x:v>
      </x:c>
      <x:c r="E9" s="47" t="n">
        <x:v>1</x:v>
      </x:c>
      <x:c r="F9" s="47" t="str">
        <x:v>Detected</x:v>
      </x:c>
    </x:row>
    <x:row r="10">
      <x:c r="A10" s="47" t="str">
        <x:v>F15_STUCK_CHAIN_M4</x:v>
      </x:c>
      <x:c r="B10" s="59" t="str">
        <x:v>Remove M4 from fixed interaction fiber</x:v>
      </x:c>
      <x:c r="C10" s="59" t="str">
        <x:v>3 components</x:v>
      </x:c>
      <x:c r="D10" s="59" t="str">
        <x:v>connectivity test fails</x:v>
      </x:c>
      <x:c r="E10" s="47" t="n">
        <x:v>1</x:v>
      </x:c>
      <x:c r="F10" s="47" t="str">
        <x:v>Detected</x:v>
      </x:c>
    </x:row>
    <x:row r="11">
      <x:c r="A11" s="51" t="str">
        <x:v>F15_STUCK_CHAIN_M5</x:v>
      </x:c>
      <x:c r="B11" s="60" t="str">
        <x:v>Remove M5 from exact aggregate fiber</x:v>
      </x:c>
      <x:c r="C11" s="60" t="str">
        <x:v>21 components</x:v>
      </x:c>
      <x:c r="D11" s="60" t="str">
        <x:v>connectivity test fails</x:v>
      </x:c>
      <x:c r="E11" s="51" t="n">
        <x:v>1</x:v>
      </x:c>
      <x:c r="F11" s="51" t="str">
        <x:v>Detected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64" hidden="0" customWidth="1"/>
    <x:col min="3" max="3" width="94" hidden="0" customWidth="1"/>
    <x:col min="4" max="4" width="72" hidden="0" customWidth="1"/>
  </x:cols>
  <x:sheetData>
    <x:row r="1" ht="22" customHeight="1">
      <x:c r="A1" s="38" t="str">
        <x:v>Amendment</x:v>
      </x:c>
      <x:c r="B1" s="39"/>
      <x:c r="C1" s="39"/>
      <x:c r="D1" s="39"/>
    </x:row>
    <x:row r="2" ht="22" customHeight="1">
      <x:c r="A2" s="40" t="str">
        <x:v>Frozen v3C0A correction; no amended rerun occurs in this pass</x:v>
      </x:c>
      <x:c r="B2" s="39"/>
      <x:c r="C2" s="39"/>
      <x:c r="D2" s="39"/>
    </x:row>
    <x:row r="3">
      <x:c r="A3" s="39"/>
      <x:c r="B3" s="39"/>
      <x:c r="C3" s="39"/>
      <x:c r="D3" s="39"/>
    </x:row>
    <x:row r="4">
      <x:c r="A4" s="39"/>
      <x:c r="B4" s="39"/>
      <x:c r="C4" s="39"/>
      <x:c r="D4" s="39"/>
    </x:row>
    <x:row r="5">
      <x:c r="A5" s="41" t="str">
        <x:v>Amendment control</x:v>
      </x:c>
      <x:c r="B5" s="41" t="str">
        <x:v>Amendment control</x:v>
      </x:c>
      <x:c r="C5" s="41" t="str">
        <x:v>Amendment control</x:v>
      </x:c>
      <x:c r="D5" s="41" t="str">
        <x:v>Amendment control</x:v>
      </x:c>
    </x:row>
    <x:row r="6">
      <x:c r="A6" s="19" t="str">
        <x:v>Field</x:v>
      </x:c>
      <x:c r="B6" s="20" t="str">
        <x:v>Value</x:v>
      </x:c>
      <x:c r="C6" s="20" t="str">
        <x:v>Unit</x:v>
      </x:c>
      <x:c r="D6" s="21" t="str">
        <x:v>Authority</x:v>
      </x:c>
    </x:row>
    <x:row r="7">
      <x:c r="A7" s="44" t="str">
        <x:v>Successor registration</x:v>
      </x:c>
      <x:c r="B7" s="44" t="str">
        <x:v>DF-NYC-L0-PR55A-POSTERIOR-PREFLIGHT-v3C0A</x:v>
      </x:c>
      <x:c r="C7" s="44" t="str">
        <x:v>identifier</x:v>
      </x:c>
      <x:c r="D7" s="44" t="str">
        <x:v>versioned amendment</x:v>
      </x:c>
    </x:row>
    <x:row r="8">
      <x:c r="A8" s="47" t="str">
        <x:v>Draws per path</x:v>
      </x:c>
      <x:c r="B8" s="47" t="n">
        <x:v>100000</x:v>
      </x:c>
      <x:c r="C8" s="47" t="str">
        <x:v>draws</x:v>
      </x:c>
      <x:c r="D8" s="47" t="str">
        <x:v>unchanged</x:v>
      </x:c>
    </x:row>
    <x:row r="9">
      <x:c r="A9" s="47" t="str">
        <x:v>Paths</x:v>
      </x:c>
      <x:c r="B9" s="47" t="n">
        <x:v>48</x:v>
      </x:c>
      <x:c r="C9" s="47" t="str">
        <x:v>paths</x:v>
      </x:c>
      <x:c r="D9" s="47" t="str">
        <x:v>unchanged</x:v>
      </x:c>
    </x:row>
    <x:row r="10">
      <x:c r="A10" s="47" t="str">
        <x:v>Independent dimension</x:v>
      </x:c>
      <x:c r="B10" s="47" t="n">
        <x:v>33</x:v>
      </x:c>
      <x:c r="C10" s="47" t="str">
        <x:v>coordinates</x:v>
      </x:c>
      <x:c r="D10" s="47" t="str">
        <x:v>row basis</x:v>
      </x:c>
    </x:row>
    <x:row r="11">
      <x:c r="A11" s="47" t="str">
        <x:v>Unique covariance elements</x:v>
      </x:c>
      <x:c r="B11" s="47" t="n">
        <x:v>561</x:v>
      </x:c>
      <x:c r="C11" s="47" t="str">
        <x:v>per path</x:v>
      </x:c>
      <x:c r="D11" s="47" t="str">
        <x:v>33×34/2</x:v>
      </x:c>
    </x:row>
    <x:row r="12">
      <x:c r="A12" s="47" t="str">
        <x:v>Total simultaneous elements</x:v>
      </x:c>
      <x:c r="B12" s="47" t="n">
        <x:v>26928</x:v>
      </x:c>
      <x:c r="C12" s="47" t="str">
        <x:v>elements</x:v>
      </x:c>
      <x:c r="D12" s="47" t="str">
        <x:v>48×561</x:v>
      </x:c>
    </x:row>
    <x:row r="13">
      <x:c r="A13" s="47" t="str">
        <x:v>Familywise alpha</x:v>
      </x:c>
      <x:c r="B13" s="67" t="n">
        <x:v>0.01</x:v>
      </x:c>
      <x:c r="C13" s="47" t="str">
        <x:v>probability</x:v>
      </x:c>
      <x:c r="D13" s="47" t="str">
        <x:v>two-sided campaign control</x:v>
      </x:c>
    </x:row>
    <x:row r="14">
      <x:c r="A14" s="47" t="str">
        <x:v>Critical absolute z</x:v>
      </x:c>
      <x:c r="B14" s="67" t="n">
        <x:v>5.083081293249799</x:v>
      </x:c>
      <x:c r="C14" s="47" t="str">
        <x:v>standard errors</x:v>
      </x:c>
      <x:c r="D14" s="47" t="str">
        <x:v>Bonferroni 99% familywise</x:v>
      </x:c>
    </x:row>
    <x:row r="15">
      <x:c r="A15" s="47" t="str">
        <x:v>Gaussian kappa</x:v>
      </x:c>
      <x:c r="B15" s="67" t="n">
        <x:v>1</x:v>
      </x:c>
      <x:c r="C15" s="47" t="str">
        <x:v>fourth-moment factor</x:v>
      </x:c>
      <x:c r="D15" s="47" t="str">
        <x:v>1</x:v>
      </x:c>
    </x:row>
    <x:row r="16">
      <x:c r="A16" s="47" t="str">
        <x:v>Student-t7 kappa</x:v>
      </x:c>
      <x:c r="B16" s="67" t="n">
        <x:v>1.6666666666666667</x:v>
      </x:c>
      <x:c r="C16" s="47" t="str">
        <x:v>fourth-moment factor</x:v>
      </x:c>
      <x:c r="D16" s="47" t="str">
        <x:v>5/3</x:v>
      </x:c>
    </x:row>
    <x:row r="17">
      <x:c r="A17" s="47" t="str">
        <x:v>Factor error ceiling</x:v>
      </x:c>
      <x:c r="B17" s="67" t="n">
        <x:v>1e-12</x:v>
      </x:c>
      <x:c r="C17" s="47" t="str">
        <x:v>relative</x:v>
      </x:c>
      <x:c r="D17" s="47" t="str">
        <x:v>deterministic</x:v>
      </x:c>
    </x:row>
    <x:row r="18">
      <x:c r="A18" s="51" t="str">
        <x:v>Amended rerun executed</x:v>
      </x:c>
      <x:c r="B18" s="51" t="n">
        <x:v>0</x:v>
      </x:c>
      <x:c r="C18" s="51" t="str">
        <x:v>flag</x:v>
      </x:c>
      <x:c r="D18" s="51" t="str">
        <x:v>must remain zero in this pass</x:v>
      </x:c>
    </x:row>
    <x:row r="19">
      <x:c r="A19" s="39"/>
      <x:c r="B19" s="39"/>
      <x:c r="C19" s="39"/>
      <x:c r="D19" s="39"/>
    </x:row>
    <x:row r="20">
      <x:c r="A20" s="39"/>
      <x:c r="B20" s="39"/>
      <x:c r="C20" s="39"/>
      <x:c r="D20" s="39"/>
    </x:row>
    <x:row r="21">
      <x:c r="A21" s="41" t="str">
        <x:v>Registered changes</x:v>
      </x:c>
      <x:c r="B21" s="41" t="str">
        <x:v>Registered changes</x:v>
      </x:c>
      <x:c r="C21" s="41" t="str">
        <x:v>Registered changes</x:v>
      </x:c>
      <x:c r="D21" s="41" t="str">
        <x:v>Registered changes</x:v>
      </x:c>
    </x:row>
    <x:row r="22">
      <x:c r="A22" s="19" t="str">
        <x:v>Item</x:v>
      </x:c>
      <x:c r="B22" s="20" t="str">
        <x:v>v3C0 rule</x:v>
      </x:c>
      <x:c r="C22" s="20" t="str">
        <x:v>v3C0A requirement</x:v>
      </x:c>
      <x:c r="D22" s="21" t="str">
        <x:v>Reason</x:v>
      </x:c>
    </x:row>
    <x:row r="23">
      <x:c r="A23" s="58" t="str">
        <x:v>G04 statistic</x:v>
      </x:c>
      <x:c r="B23" s="58" t="str">
        <x:v>relative Frobenius error in native covariance coordinates &lt;=0.01</x:v>
      </x:c>
      <x:c r="C23" s="58" t="str">
        <x:v>whiten centered draws with the registered target Cholesky and test the maximum standardized error across the 561 unique covariance elements</x:v>
      </x:c>
      <x:c r="D23" s="58" t="str">
        <x:v>native-coordinate relative error changes with covariance effective rank and is not comparable across cases</x:v>
      </x:c>
    </x:row>
    <x:row r="24">
      <x:c r="A24" s="59" t="str">
        <x:v>campaign error control</x:v>
      </x:c>
      <x:c r="B24" s="59" t="str">
        <x:v>48 independent path decisions with fixed component and Frobenius cutoffs</x:v>
      </x:c>
      <x:c r="C24" s="59" t="str">
        <x:v>two-sided Bonferroni familywise alpha 0.01 over 48 paths x 561 unique elements; critical |z| &lt;= 5.083081</x:v>
      </x:c>
      <x:c r="D24" s="59" t="str">
        <x:v>the amendment must control the whole preflight surface rather than each path or diagonal separately</x:v>
      </x:c>
    </x:row>
    <x:row r="25">
      <x:c r="A25" s="59" t="str">
        <x:v>element standard errors</x:v>
      </x:c>
      <x:c r="B25" s="59" t="str">
        <x:v>same 0.98–1.02 diagonal band for every family</x:v>
      </x:c>
      <x:c r="C25" s="59" t="str">
        <x:v>for whitened covariance use SE(diagonal)=sqrt((3*kappa-1)/(N-1)) and SE(off-diagonal)=sqrt(kappa/(N-1))</x:v>
      </x:c>
      <x:c r="D25" s="59" t="str">
        <x:v>covariance sampling error is element-specific and depends on the fourth moment</x:v>
      </x:c>
    </x:row>
    <x:row r="26">
      <x:c r="A26" s="59" t="str">
        <x:v>simulation count</x:v>
      </x:c>
      <x:c r="B26" s="59" t="str">
        <x:v>100,000 draws</x:v>
      </x:c>
      <x:c r="C26" s="59" t="str">
        <x:v>retain exactly 100,000 draws per path and the committed seed grammar; no increase after observing a failure</x:v>
      </x:c>
      <x:c r="D26" s="59" t="str">
        <x:v>the calibrated statistic removes the incentive to sample until an absolute error cutoff passes</x:v>
      </x:c>
    </x:row>
    <x:row r="27">
      <x:c r="A27" s="59" t="str">
        <x:v>heavy-tail fourth moment</x:v>
      </x:c>
      <x:c r="B27" s="59" t="str">
        <x:v>same numerical gate as Gaussian</x:v>
      </x:c>
      <x:c r="C27" s="59" t="str">
        <x:v>set kappa=1 for Gaussian and kappa=(7-2)/(7-4)=5/3 for Student t df=7</x:v>
      </x:c>
      <x:c r="D27" s="59" t="str">
        <x:v>equal covariance does not imply equal sample-covariance variance</x:v>
      </x:c>
    </x:row>
    <x:row r="28">
      <x:c r="A28" s="59" t="str">
        <x:v>algebraic factor check</x:v>
      </x:c>
      <x:c r="B28" s="59" t="str">
        <x:v>implicit in simulation</x:v>
      </x:c>
      <x:c r="C28" s="59" t="str">
        <x:v>before random draws require relative factor-covariance error &lt;=1e-12; Gaussian LLT=V and t7 (7/5)LLT=V</x:v>
      </x:c>
      <x:c r="D28" s="59" t="str">
        <x:v>deterministic scale errors should not depend on Monte Carlo detection</x:v>
      </x:c>
    </x:row>
    <x:row r="29">
      <x:c r="A29" s="59" t="str">
        <x:v>Frobenius diagnostic</x:v>
      </x:c>
      <x:c r="B29" s="59" t="str">
        <x:v>hard cutoff &lt;=0.01</x:v>
      </x:c>
      <x:c r="C29" s="59" t="str">
        <x:v>report native and whitened Frobenius errors with analytical RMS expectations; do not use them as stop gates</x:v>
      </x:c>
      <x:c r="D29" s="59" t="str">
        <x:v>they remain useful magnitude diagnostics after removing the spectrum-dependent pass/fail rule</x:v>
      </x:c>
    </x:row>
    <x:row r="30">
      <x:c r="A30" s="60" t="str">
        <x:v>version boundary</x:v>
      </x:c>
      <x:c r="B30" s="60" t="str">
        <x:v>v3C0</x:v>
      </x:c>
      <x:c r="C30" s="60" t="str">
        <x:v>issue v3C0A and rerun every preflight path from committed seeds</x:v>
      </x:c>
      <x:c r="D30" s="60" t="str">
        <x:v>a co-governing preregistered gate cannot be silently relaxed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62" hidden="0" customWidth="1"/>
    <x:col min="2" max="2" width="14" hidden="0" customWidth="1"/>
    <x:col min="3" max="3" width="48" hidden="0" customWidth="1"/>
  </x:cols>
  <x:sheetData>
    <x:row r="1" ht="22" customHeight="1">
      <x:c r="A1" s="38" t="str">
        <x:v>Empty Outputs</x:v>
      </x:c>
      <x:c r="B1" s="39"/>
      <x:c r="C1" s="39"/>
    </x:row>
    <x:row r="2" ht="22" customHeight="1">
      <x:c r="A2" s="40" t="str">
        <x:v>The preflight stops before posterior, donor, building or architecture production</x:v>
      </x:c>
      <x:c r="B2" s="39"/>
      <x:c r="C2" s="39"/>
    </x:row>
    <x:row r="3">
      <x:c r="A3" s="39"/>
      <x:c r="B3" s="39"/>
      <x:c r="C3" s="39"/>
    </x:row>
    <x:row r="4">
      <x:c r="A4" s="39"/>
      <x:c r="B4" s="39"/>
      <x:c r="C4" s="39"/>
    </x:row>
    <x:row r="5">
      <x:c r="A5" s="39"/>
      <x:c r="B5" s="39"/>
      <x:c r="C5" s="39"/>
    </x:row>
    <x:row r="6">
      <x:c r="A6" s="19" t="str">
        <x:v>Output</x:v>
      </x:c>
      <x:c r="B6" s="20" t="str">
        <x:v>Rows</x:v>
      </x:c>
      <x:c r="C6" s="21" t="str">
        <x:v>Reason</x:v>
      </x:c>
    </x:row>
    <x:row r="7">
      <x:c r="A7" s="44" t="str">
        <x:v>posterior atomic states</x:v>
      </x:c>
      <x:c r="B7" s="45" t="n">
        <x:v>0</x:v>
      </x:c>
      <x:c r="C7" s="44" t="str">
        <x:v>Prohibited in preflight</x:v>
      </x:c>
    </x:row>
    <x:row r="8">
      <x:c r="A8" s="47" t="str">
        <x:v>posterior aggregate margins</x:v>
      </x:c>
      <x:c r="B8" s="48" t="n">
        <x:v>0</x:v>
      </x:c>
      <x:c r="C8" s="47" t="str">
        <x:v>Prohibited in preflight</x:v>
      </x:c>
    </x:row>
    <x:row r="9">
      <x:c r="A9" s="47" t="str">
        <x:v>donor weights and integer counts</x:v>
      </x:c>
      <x:c r="B9" s="48" t="n">
        <x:v>0</x:v>
      </x:c>
      <x:c r="C9" s="47" t="str">
        <x:v>Prohibited in preflight</x:v>
      </x:c>
    </x:row>
    <x:row r="10">
      <x:c r="A10" s="47" t="str">
        <x:v>synthetic households and persons</x:v>
      </x:c>
      <x:c r="B10" s="48" t="n">
        <x:v>0</x:v>
      </x:c>
      <x:c r="C10" s="47" t="str">
        <x:v>Prohibited in preflight</x:v>
      </x:c>
    </x:row>
    <x:row r="11">
      <x:c r="A11" s="47" t="str">
        <x:v>building assignments and operability</x:v>
      </x:c>
      <x:c r="B11" s="48" t="n">
        <x:v>0</x:v>
      </x:c>
      <x:c r="C11" s="47" t="str">
        <x:v>Prohibited in preflight</x:v>
      </x:c>
    </x:row>
    <x:row r="12">
      <x:c r="A12" s="51" t="str">
        <x:v>A2 and S3 architecture outcomes</x:v>
      </x:c>
      <x:c r="B12" s="52" t="n">
        <x:v>0</x:v>
      </x:c>
      <x:c r="C12" s="51" t="str">
        <x:v>Prohibited in preflight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8" hidden="0" customWidth="1"/>
    <x:col min="2" max="2" width="80" hidden="0" customWidth="1"/>
    <x:col min="3" max="3" width="98" hidden="0" customWidth="1"/>
    <x:col min="4" max="4" width="18" hidden="0" customWidth="1"/>
    <x:col min="5" max="5" width="72" hidden="0" customWidth="1"/>
    <x:col min="6" max="6" width="12" hidden="0" customWidth="1"/>
  </x:cols>
  <x:sheetData>
    <x:row r="1" ht="22" customHeight="1">
      <x:c r="A1" s="38" t="str">
        <x:v>Sources</x:v>
      </x:c>
      <x:c r="B1" s="39"/>
      <x:c r="C1" s="39"/>
      <x:c r="D1" s="39"/>
      <x:c r="E1" s="39"/>
      <x:c r="F1" s="39"/>
    </x:row>
    <x:row r="2" ht="22" customHeight="1">
      <x:c r="A2" s="40" t="str">
        <x:v>Repository parent artifacts and cryptographic commitments</x:v>
      </x:c>
      <x:c r="B2" s="39"/>
      <x:c r="C2" s="39"/>
      <x:c r="D2" s="39"/>
      <x:c r="E2" s="39"/>
      <x:c r="F2" s="39"/>
    </x:row>
    <x:row r="3">
      <x:c r="A3" s="39"/>
      <x:c r="B3" s="39"/>
      <x:c r="C3" s="39"/>
      <x:c r="D3" s="39"/>
      <x:c r="E3" s="39"/>
      <x:c r="F3" s="39"/>
    </x:row>
    <x:row r="4">
      <x:c r="A4" s="39"/>
      <x:c r="B4" s="39"/>
      <x:c r="C4" s="39"/>
      <x:c r="D4" s="39"/>
      <x:c r="E4" s="39"/>
      <x:c r="F4" s="39"/>
    </x:row>
    <x:row r="5">
      <x:c r="A5" s="39"/>
      <x:c r="B5" s="39"/>
      <x:c r="C5" s="39"/>
      <x:c r="D5" s="39"/>
      <x:c r="E5" s="39"/>
      <x:c r="F5" s="39"/>
    </x:row>
    <x:row r="6">
      <x:c r="A6" s="19" t="str">
        <x:v>Source ID</x:v>
      </x:c>
      <x:c r="B6" s="20" t="str">
        <x:v>Role</x:v>
      </x:c>
      <x:c r="C6" s="20" t="str">
        <x:v>Repository path</x:v>
      </x:c>
      <x:c r="D6" s="20" t="str">
        <x:v>Bytes</x:v>
      </x:c>
      <x:c r="E6" s="20" t="str">
        <x:v>SHA-256</x:v>
      </x:c>
      <x:c r="F6" s="21" t="str">
        <x:v>Length</x:v>
      </x:c>
    </x:row>
    <x:row r="7">
      <x:c r="A7" s="44" t="str">
        <x:v>P51-MOMENT-ENGINE</x:v>
      </x:c>
      <x:c r="B7" s="58" t="str">
        <x:v>covariance completion method</x:v>
      </x:c>
      <x:c r="C7" s="58" t="str">
        <x:v>models/proving/campaigns/new-york/nyc-l0-moment-reconciliation-engine.xlsx</x:v>
      </x:c>
      <x:c r="D7" s="45" t="n">
        <x:v>947899</x:v>
      </x:c>
      <x:c r="E7" s="44" t="str">
        <x:v>46a203402135428721bf6352fa5f794fd14114165f24e7bd489dc7ef4dba7320</x:v>
      </x:c>
      <x:c r="F7" s="44" t="n">
        <x:f>LEN(E7)</x:f>
        <x:v>64</x:v>
      </x:c>
    </x:row>
    <x:row r="8">
      <x:c r="A8" s="47" t="str">
        <x:v>P52-ATOMIC-BASIS</x:v>
      </x:c>
      <x:c r="B8" s="59" t="str">
        <x:v>lawful atomic operator</x:v>
      </x:c>
      <x:c r="C8" s="59" t="str">
        <x:v>models/proving/campaigns/new-york/nyc-l0-atomic-basis-registration.xlsx</x:v>
      </x:c>
      <x:c r="D8" s="48" t="n">
        <x:v>508388</x:v>
      </x:c>
      <x:c r="E8" s="47" t="str">
        <x:v>8e488633ef63b8b0dc09f4f694aa01474bf7d32beea55436dbcab12b436c22ba</x:v>
      </x:c>
      <x:c r="F8" s="47" t="n">
        <x:f>LEN(E8)</x:f>
        <x:v>64</x:v>
      </x:c>
    </x:row>
    <x:row r="9">
      <x:c r="A9" s="47" t="str">
        <x:v>P53-MOMENT-CONE</x:v>
      </x:c>
      <x:c r="B9" s="59" t="str">
        <x:v>under-five authority and support correction</x:v>
      </x:c>
      <x:c r="C9" s="59" t="str">
        <x:v>models/proving/campaigns/new-york/nyc-l0-atomic-moment-cone-audit.xlsx</x:v>
      </x:c>
      <x:c r="D9" s="48" t="n">
        <x:v>107683</x:v>
      </x:c>
      <x:c r="E9" s="47" t="str">
        <x:v>ed0a8c7dec3d08f4f508101faf97fd5baece19a33e38fc94cd5719a8cfe536f6</x:v>
      </x:c>
      <x:c r="F9" s="47" t="n">
        <x:f>LEN(E9)</x:f>
        <x:v>64</x:v>
      </x:c>
    </x:row>
    <x:row r="10">
      <x:c r="A10" s="51" t="str">
        <x:v>P54-POSTERIOR-REG</x:v>
      </x:c>
      <x:c r="B10" s="60" t="str">
        <x:v>registered cases and gates</x:v>
      </x:c>
      <x:c r="C10" s="60" t="str">
        <x:v>models/proving/campaigns/new-york/nyc-l0-atomic-posterior-preregistration.xlsx</x:v>
      </x:c>
      <x:c r="D10" s="52" t="n">
        <x:v>34193</x:v>
      </x:c>
      <x:c r="E10" s="51" t="str">
        <x:v>47ff05bb55cc89f326225ca79de304f8110f4707baaef34a8715529d8de22231</x:v>
      </x:c>
      <x:c r="F10" s="51" t="n">
        <x:f>LEN(E10)</x:f>
        <x:v>64</x:v>
      </x:c>
    </x:row>
    <x:row r="11">
      <x:c r="A11" s="39"/>
      <x:c r="B11" s="39"/>
      <x:c r="C11" s="39"/>
      <x:c r="D11" s="39"/>
      <x:c r="E11" s="39"/>
      <x:c r="F11" s="39"/>
    </x:row>
    <x:row r="12">
      <x:c r="A12" s="39"/>
      <x:c r="B12" s="39"/>
      <x:c r="C12" s="39"/>
      <x:c r="D12" s="39"/>
      <x:c r="E12" s="39"/>
      <x:c r="F12" s="39"/>
    </x:row>
    <x:row r="13">
      <x:c r="A13" s="41" t="str">
        <x:v>Dataset commitments</x:v>
      </x:c>
      <x:c r="B13" s="41" t="str">
        <x:v>Dataset commitments</x:v>
      </x:c>
      <x:c r="C13" s="41" t="str">
        <x:v>Dataset commitments</x:v>
      </x:c>
      <x:c r="D13" s="39"/>
      <x:c r="E13" s="39"/>
      <x:c r="F13" s="39"/>
    </x:row>
    <x:row r="14">
      <x:c r="A14" s="19" t="str">
        <x:v>Dataset</x:v>
      </x:c>
      <x:c r="B14" s="20" t="str">
        <x:v>SHA-256</x:v>
      </x:c>
      <x:c r="C14" s="21" t="str">
        <x:v>Length</x:v>
      </x:c>
      <x:c r="D14" s="39"/>
      <x:c r="E14" s="39"/>
      <x:c r="F14" s="39"/>
    </x:row>
    <x:row r="15">
      <x:c r="A15" s="44" t="str">
        <x:v>specification</x:v>
      </x:c>
      <x:c r="B15" s="44" t="str">
        <x:v>1a5351f086e6aa979469c080ceba597b22882bab8b5331995437f8f7df14665a</x:v>
      </x:c>
      <x:c r="C15" s="44" t="n">
        <x:f>LEN(B15)</x:f>
        <x:v>64</x:v>
      </x:c>
      <x:c r="D15" s="39"/>
      <x:c r="E15" s="39"/>
      <x:c r="F15" s="39"/>
    </x:row>
    <x:row r="16">
      <x:c r="A16" s="47" t="str">
        <x:v>decision</x:v>
      </x:c>
      <x:c r="B16" s="47" t="str">
        <x:v>df530dc7716ff9199816f12e50e44ccb6afa7776b5539f4c16a62d94b125e96d</x:v>
      </x:c>
      <x:c r="C16" s="47" t="n">
        <x:f>LEN(B16)</x:f>
        <x:v>64</x:v>
      </x:c>
      <x:c r="D16" s="39"/>
      <x:c r="E16" s="39"/>
      <x:c r="F16" s="39"/>
    </x:row>
    <x:row r="17">
      <x:c r="A17" s="47" t="str">
        <x:v>source_validation</x:v>
      </x:c>
      <x:c r="B17" s="47" t="str">
        <x:v>3023dad17d0b961b9155bedd8bfcc6905fb29d38d0380c6fa5d6c805b82e8017</x:v>
      </x:c>
      <x:c r="C17" s="47" t="n">
        <x:f>LEN(B17)</x:f>
        <x:v>64</x:v>
      </x:c>
      <x:c r="D17" s="39"/>
      <x:c r="E17" s="39"/>
      <x:c r="F17" s="39"/>
    </x:row>
    <x:row r="18">
      <x:c r="A18" s="47" t="str">
        <x:v>row_basis</x:v>
      </x:c>
      <x:c r="B18" s="47" t="str">
        <x:v>0f3161a7c201dc7f1b9993a8c30478d08828d88327b65ec63133b9df42507f60</x:v>
      </x:c>
      <x:c r="C18" s="47" t="n">
        <x:f>LEN(B18)</x:f>
        <x:v>64</x:v>
      </x:c>
      <x:c r="D18" s="39"/>
      <x:c r="E18" s="39"/>
      <x:c r="F18" s="39"/>
    </x:row>
    <x:row r="19">
      <x:c r="A19" s="47" t="str">
        <x:v>reconciliation</x:v>
      </x:c>
      <x:c r="B19" s="47" t="str">
        <x:v>4694a9632745377b1372a879c9e0e8c1b2957098de6af597e3aa3a6719e7699d</x:v>
      </x:c>
      <x:c r="C19" s="47" t="n">
        <x:f>LEN(B19)</x:f>
        <x:v>64</x:v>
      </x:c>
      <x:c r="D19" s="39"/>
      <x:c r="E19" s="39"/>
      <x:c r="F19" s="39"/>
    </x:row>
    <x:row r="20">
      <x:c r="A20" s="47" t="str">
        <x:v>matrix_diagnostics</x:v>
      </x:c>
      <x:c r="B20" s="47" t="str">
        <x:v>6331e8033f8b7a9f08905ac6e922f760d0bc8f773de0cc5816944b335761bdcd</x:v>
      </x:c>
      <x:c r="C20" s="47" t="n">
        <x:f>LEN(B20)</x:f>
        <x:v>64</x:v>
      </x:c>
      <x:c r="D20" s="39"/>
      <x:c r="E20" s="39"/>
      <x:c r="F20" s="39"/>
    </x:row>
    <x:row r="21">
      <x:c r="A21" s="47" t="str">
        <x:v>simulation</x:v>
      </x:c>
      <x:c r="B21" s="47" t="str">
        <x:v>bc07eb67541499448ed7227a9b92f0f3c92dc15509d53fe86e85de030f2c1de3</x:v>
      </x:c>
      <x:c r="C21" s="47" t="n">
        <x:f>LEN(B21)</x:f>
        <x:v>64</x:v>
      </x:c>
      <x:c r="D21" s="39"/>
      <x:c r="E21" s="39"/>
      <x:c r="F21" s="39"/>
    </x:row>
    <x:row r="22">
      <x:c r="A22" s="47" t="str">
        <x:v>simulation_summary</x:v>
      </x:c>
      <x:c r="B22" s="47" t="str">
        <x:v>47596d81e7711b8259c4f64e6af715a04a512445aac8ca0a265c31305c7a02d2</x:v>
      </x:c>
      <x:c r="C22" s="47" t="n">
        <x:f>LEN(B22)</x:f>
        <x:v>64</x:v>
      </x:c>
      <x:c r="D22" s="39"/>
      <x:c r="E22" s="39"/>
      <x:c r="F22" s="39"/>
    </x:row>
    <x:row r="23">
      <x:c r="A23" s="47" t="str">
        <x:v>propriety</x:v>
      </x:c>
      <x:c r="B23" s="47" t="str">
        <x:v>06c324b2163c99afff3773a955b873d631d74851dacb0290f31b17cd37f7a58e</x:v>
      </x:c>
      <x:c r="C23" s="47" t="n">
        <x:f>LEN(B23)</x:f>
        <x:v>64</x:v>
      </x:c>
      <x:c r="D23" s="39"/>
      <x:c r="E23" s="39"/>
      <x:c r="F23" s="39"/>
    </x:row>
    <x:row r="24">
      <x:c r="A24" s="47" t="str">
        <x:v>connectivity</x:v>
      </x:c>
      <x:c r="B24" s="47" t="str">
        <x:v>fe0d9300d6433087bb0bbc1a813f925212f8242868c04d546e4f6463520c861f</x:v>
      </x:c>
      <x:c r="C24" s="47" t="n">
        <x:f>LEN(B24)</x:f>
        <x:v>64</x:v>
      </x:c>
      <x:c r="D24" s="39"/>
      <x:c r="E24" s="39"/>
      <x:c r="F24" s="39"/>
    </x:row>
    <x:row r="25">
      <x:c r="A25" s="47" t="str">
        <x:v>adversarial</x:v>
      </x:c>
      <x:c r="B25" s="47" t="str">
        <x:v>0dd09f00a3ef443dd9a7bfff78befdbbb08f35807e492018c893aae4205d5313</x:v>
      </x:c>
      <x:c r="C25" s="47" t="n">
        <x:f>LEN(B25)</x:f>
        <x:v>64</x:v>
      </x:c>
      <x:c r="D25" s="39"/>
      <x:c r="E25" s="39"/>
      <x:c r="F25" s="39"/>
    </x:row>
    <x:row r="26">
      <x:c r="A26" s="47" t="str">
        <x:v>gates</x:v>
      </x:c>
      <x:c r="B26" s="47" t="str">
        <x:v>2a0a9ef0b8a84085b95ab6d2c3adf9689c8423ffd7e4788cc11060c87e8332e2</x:v>
      </x:c>
      <x:c r="C26" s="47" t="n">
        <x:f>LEN(B26)</x:f>
        <x:v>64</x:v>
      </x:c>
      <x:c r="D26" s="39"/>
      <x:c r="E26" s="39"/>
      <x:c r="F26" s="39"/>
    </x:row>
    <x:row r="27">
      <x:c r="A27" s="47" t="str">
        <x:v>amendment</x:v>
      </x:c>
      <x:c r="B27" s="47" t="str">
        <x:v>9ae40ffbd34f625e0badb704d1213b6cedb7dbe8525dac7890c65871cefa1dfb</x:v>
      </x:c>
      <x:c r="C27" s="47" t="n">
        <x:f>LEN(B27)</x:f>
        <x:v>64</x:v>
      </x:c>
      <x:c r="D27" s="39"/>
      <x:c r="E27" s="39"/>
      <x:c r="F27" s="39"/>
    </x:row>
    <x:row r="28">
      <x:c r="A28" s="47" t="str">
        <x:v>amendment_control</x:v>
      </x:c>
      <x:c r="B28" s="47" t="str">
        <x:v>a67299dda32556cde5104448a3fab9c19c044d7ae821f860234f67df03e062af</x:v>
      </x:c>
      <x:c r="C28" s="47" t="n">
        <x:f>LEN(B28)</x:f>
        <x:v>64</x:v>
      </x:c>
      <x:c r="D28" s="39"/>
      <x:c r="E28" s="39"/>
      <x:c r="F28" s="39"/>
    </x:row>
    <x:row r="29">
      <x:c r="A29" s="47" t="str">
        <x:v>sources</x:v>
      </x:c>
      <x:c r="B29" s="47" t="str">
        <x:v>ed0670b79446320a6db781e5d86a638696c1a23bfd48ba193f95cf8b0f05be38</x:v>
      </x:c>
      <x:c r="C29" s="47" t="n">
        <x:f>LEN(B29)</x:f>
        <x:v>64</x:v>
      </x:c>
      <x:c r="D29" s="39"/>
      <x:c r="E29" s="39"/>
      <x:c r="F29" s="39"/>
    </x:row>
    <x:row r="30">
      <x:c r="A30" s="51" t="str">
        <x:v>empty_outputs</x:v>
      </x:c>
      <x:c r="B30" s="51" t="str">
        <x:v>a95a572b2eb0e43ea5b296afb7b84653c707006bbe923112078d7b17fc6b4093</x:v>
      </x:c>
      <x:c r="C30" s="51" t="n">
        <x:f>LEN(B30)</x:f>
        <x:v>64</x:v>
      </x:c>
      <x:c r="D30" s="39"/>
      <x:c r="E30" s="39"/>
      <x:c r="F30" s="39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58" hidden="0" customWidth="1"/>
    <x:col min="2" max="2" width="22" hidden="0" customWidth="1"/>
    <x:col min="3" max="3" width="20" hidden="0" customWidth="1"/>
    <x:col min="4" max="4" width="18" hidden="0" customWidth="1"/>
  </x:cols>
  <x:sheetData>
    <x:row r="1" ht="22" customHeight="1">
      <x:c r="A1" s="38" t="str">
        <x:v>Integrity</x:v>
      </x:c>
      <x:c r="B1" s="39"/>
      <x:c r="C1" s="39"/>
      <x:c r="D1" s="39"/>
    </x:row>
    <x:row r="2" ht="22" customHeight="1">
      <x:c r="A2" s="40" t="str">
        <x:v>Terminal completeness, arithmetic, custody and stop-state checks</x:v>
      </x:c>
      <x:c r="B2" s="39"/>
      <x:c r="C2" s="39"/>
      <x:c r="D2" s="39"/>
    </x:row>
    <x:row r="3">
      <x:c r="A3" s="39"/>
      <x:c r="B3" s="39"/>
      <x:c r="C3" s="39"/>
      <x:c r="D3" s="39"/>
    </x:row>
    <x:row r="4">
      <x:c r="A4" s="39"/>
      <x:c r="B4" s="39"/>
      <x:c r="C4" s="39"/>
      <x:c r="D4" s="39"/>
    </x:row>
    <x:row r="5">
      <x:c r="A5" s="39"/>
      <x:c r="B5" s="39"/>
      <x:c r="C5" s="39"/>
      <x:c r="D5" s="39"/>
    </x:row>
    <x:row r="6">
      <x:c r="A6" s="19" t="str">
        <x:v>Check</x:v>
      </x:c>
      <x:c r="B6" s="20" t="str">
        <x:v>Observed</x:v>
      </x:c>
      <x:c r="C6" s="20" t="str">
        <x:v>Expected</x:v>
      </x:c>
      <x:c r="D6" s="21" t="str">
        <x:v>Status</x:v>
      </x:c>
    </x:row>
    <x:row r="7">
      <x:c r="A7" s="44" t="str">
        <x:v>Source validation rows</x:v>
      </x:c>
      <x:c r="B7" s="44" t="n">
        <x:f>COUNTA('03 Source Validation'!A7:A282)</x:f>
        <x:v>276</x:v>
      </x:c>
      <x:c r="C7" s="44" t="n">
        <x:v>276</x:v>
      </x:c>
      <x:c r="D7" s="44" t="str">
        <x:f>IF(B7=C7,"Met","Review")</x:f>
        <x:v>Met</x:v>
      </x:c>
    </x:row>
    <x:row r="8">
      <x:c r="A8" s="47" t="str">
        <x:v>Source validation passes</x:v>
      </x:c>
      <x:c r="B8" s="47" t="n">
        <x:f>COUNTIFS('03 Source Validation'!I7:I282,"Met")</x:f>
        <x:v>276</x:v>
      </x:c>
      <x:c r="C8" s="47" t="n">
        <x:v>276</x:v>
      </x:c>
      <x:c r="D8" s="47" t="str">
        <x:f>IF(B8=C8,"Met","Review")</x:f>
        <x:v>Met</x:v>
      </x:c>
    </x:row>
    <x:row r="9">
      <x:c r="A9" s="47" t="str">
        <x:v>Covariance completions</x:v>
      </x:c>
      <x:c r="B9" s="47" t="n">
        <x:f>COUNTIFS('05 Cov Completion'!G7:G9,"Met")</x:f>
        <x:v>3</x:v>
      </x:c>
      <x:c r="C9" s="47" t="n">
        <x:v>3</x:v>
      </x:c>
      <x:c r="D9" s="47" t="str">
        <x:f>IF(B9=C9,"Met","Review")</x:f>
        <x:v>Met</x:v>
      </x:c>
    </x:row>
    <x:row r="10">
      <x:c r="A10" s="47" t="str">
        <x:v>Positive-definite matrices</x:v>
      </x:c>
      <x:c r="B10" s="47" t="n">
        <x:f>COUNTIFS('06 Matrix PD'!J7:J42,"Met")</x:f>
        <x:v>36</x:v>
      </x:c>
      <x:c r="C10" s="47" t="n">
        <x:v>36</x:v>
      </x:c>
      <x:c r="D10" s="47" t="str">
        <x:f>IF(B10=C10,"Met","Review")</x:f>
        <x:v>Met</x:v>
      </x:c>
    </x:row>
    <x:row r="11">
      <x:c r="A11" s="47" t="str">
        <x:v>Simulation paths</x:v>
      </x:c>
      <x:c r="B11" s="47" t="n">
        <x:f>COUNTA('08 Simulation Paths'!A7:A54)</x:f>
        <x:v>48</x:v>
      </x:c>
      <x:c r="C11" s="47" t="n">
        <x:v>48</x:v>
      </x:c>
      <x:c r="D11" s="47" t="str">
        <x:f>IF(B11=C11,"Met","Review")</x:f>
        <x:v>Met</x:v>
      </x:c>
    </x:row>
    <x:row r="12">
      <x:c r="A12" s="47" t="str">
        <x:v>Registered G04 failures</x:v>
      </x:c>
      <x:c r="B12" s="47" t="n">
        <x:f>COUNTIFS('08 Simulation Paths'!M7:M54,"STOP")</x:f>
        <x:v>11</x:v>
      </x:c>
      <x:c r="C12" s="47" t="n">
        <x:v>11</x:v>
      </x:c>
      <x:c r="D12" s="47" t="str">
        <x:f>IF(B12=C12,"Met","Review")</x:f>
        <x:v>Met</x:v>
      </x:c>
    </x:row>
    <x:row r="13">
      <x:c r="A13" s="47" t="str">
        <x:v>Propriety proofs</x:v>
      </x:c>
      <x:c r="B13" s="47" t="n">
        <x:f>COUNTIFS('09 Propriety'!G7:G18,"Met")</x:f>
        <x:v>12</x:v>
      </x:c>
      <x:c r="C13" s="47" t="n">
        <x:v>12</x:v>
      </x:c>
      <x:c r="D13" s="47" t="str">
        <x:f>IF(B13=C13,"Met","Review")</x:f>
        <x:v>Met</x:v>
      </x:c>
    </x:row>
    <x:row r="14">
      <x:c r="A14" s="47" t="str">
        <x:v>Connectivity tests</x:v>
      </x:c>
      <x:c r="B14" s="47" t="n">
        <x:f>COUNTIFS('10 Connectivity'!M7:M11,"Met")</x:f>
        <x:v>5</x:v>
      </x:c>
      <x:c r="C14" s="47" t="n">
        <x:v>5</x:v>
      </x:c>
      <x:c r="D14" s="47" t="str">
        <x:f>IF(B14=C14,"Met","Review")</x:f>
        <x:v>Met</x:v>
      </x:c>
    </x:row>
    <x:row r="15">
      <x:c r="A15" s="47" t="str">
        <x:v>Injected failures detected</x:v>
      </x:c>
      <x:c r="B15" s="47" t="n">
        <x:f>COUNTIFS('11 Failure Tests'!F7:F11,"Detected")</x:f>
        <x:v>5</x:v>
      </x:c>
      <x:c r="C15" s="47" t="n">
        <x:v>5</x:v>
      </x:c>
      <x:c r="D15" s="47" t="str">
        <x:f>IF(B15=C15,"Met","Review")</x:f>
        <x:v>Met</x:v>
      </x:c>
    </x:row>
    <x:row r="16">
      <x:c r="A16" s="47" t="str">
        <x:v>Amendment items</x:v>
      </x:c>
      <x:c r="B16" s="47" t="n">
        <x:f>COUNTA('12 Amendment'!A23:A30)</x:f>
        <x:v>8</x:v>
      </x:c>
      <x:c r="C16" s="47" t="n">
        <x:v>8</x:v>
      </x:c>
      <x:c r="D16" s="47" t="str">
        <x:f>IF(B16=C16,"Met","Review")</x:f>
        <x:v>Met</x:v>
      </x:c>
    </x:row>
    <x:row r="17">
      <x:c r="A17" s="47" t="str">
        <x:v>Amended rerun flag</x:v>
      </x:c>
      <x:c r="B17" s="47" t="n">
        <x:f>'12 Amendment'!B18</x:f>
        <x:v>0</x:v>
      </x:c>
      <x:c r="C17" s="47" t="n">
        <x:v>0</x:v>
      </x:c>
      <x:c r="D17" s="47" t="str">
        <x:f>IF(B17=C17,"Met","Review")</x:f>
        <x:v>Met</x:v>
      </x:c>
    </x:row>
    <x:row r="18">
      <x:c r="A18" s="47" t="str">
        <x:v>Prohibited output rows</x:v>
      </x:c>
      <x:c r="B18" s="47" t="n">
        <x:f>SUM('13 Empty Outputs'!B7:B12)</x:f>
        <x:v>0</x:v>
      </x:c>
      <x:c r="C18" s="47" t="n">
        <x:v>0</x:v>
      </x:c>
      <x:c r="D18" s="47" t="str">
        <x:f>IF(B18=C18,"Met","Review")</x:f>
        <x:v>Met</x:v>
      </x:c>
    </x:row>
    <x:row r="19">
      <x:c r="A19" s="47" t="str">
        <x:v>Source SHA lengths</x:v>
      </x:c>
      <x:c r="B19" s="47" t="n">
        <x:f>COUNTIFS('14 Sources'!F7:F10,64)</x:f>
        <x:v>4</x:v>
      </x:c>
      <x:c r="C19" s="47" t="n">
        <x:v>4</x:v>
      </x:c>
      <x:c r="D19" s="47" t="str">
        <x:f>IF(B19=C19,"Met","Review")</x:f>
        <x:v>Met</x:v>
      </x:c>
    </x:row>
    <x:row r="20">
      <x:c r="A20" s="47" t="str">
        <x:v>Dataset SHA lengths</x:v>
      </x:c>
      <x:c r="B20" s="47" t="n">
        <x:f>COUNTIFS('14 Sources'!C15:C30,64)</x:f>
        <x:v>16</x:v>
      </x:c>
      <x:c r="C20" s="47" t="n">
        <x:v>16</x:v>
      </x:c>
      <x:c r="D20" s="47" t="str">
        <x:f>IF(B20=C20,"Met","Review")</x:f>
        <x:v>Met</x:v>
      </x:c>
    </x:row>
    <x:row r="21">
      <x:c r="A21" s="47" t="str">
        <x:v>Architecture reads</x:v>
      </x:c>
      <x:c r="B21" s="47" t="n">
        <x:f>'01 Registration'!B23</x:f>
        <x:v>0</x:v>
      </x:c>
      <x:c r="C21" s="47" t="n">
        <x:v>0</x:v>
      </x:c>
      <x:c r="D21" s="47" t="str">
        <x:f>IF(B21=C21,"Met","Review")</x:f>
        <x:v>Met</x:v>
      </x:c>
    </x:row>
    <x:row r="22">
      <x:c r="A22" s="51" t="str">
        <x:v>Transition proposals executed</x:v>
      </x:c>
      <x:c r="B22" s="51" t="n">
        <x:f>'01 Registration'!B22</x:f>
        <x:v>0</x:v>
      </x:c>
      <x:c r="C22" s="51" t="n">
        <x:v>0</x:v>
      </x:c>
      <x:c r="D22" s="51" t="str">
        <x:f>IF(B22=C22,"Met","Review")</x:f>
        <x:v>Met</x:v>
      </x:c>
    </x:row>
    <x:row r="23">
      <x:c r="A23" s="39"/>
      <x:c r="B23" s="39"/>
      <x:c r="C23" s="39"/>
      <x:c r="D23" s="39"/>
    </x:row>
    <x:row r="24">
      <x:c r="A24" s="39"/>
      <x:c r="B24" s="39"/>
      <x:c r="C24" s="39"/>
      <x:c r="D24" s="39"/>
    </x:row>
    <x:row r="25">
      <x:c r="A25" s="41" t="str">
        <x:v>Overall</x:v>
      </x:c>
      <x:c r="B25" s="41" t="str">
        <x:v>Overall</x:v>
      </x:c>
      <x:c r="C25" s="41" t="str">
        <x:v>Overall</x:v>
      </x:c>
      <x:c r="D25" s="41" t="str">
        <x:v>Overall</x:v>
      </x:c>
    </x:row>
    <x:row r="26">
      <x:c r="A26" s="79" t="str">
        <x:v>All integrity checks</x:v>
      </x:c>
      <x:c r="B26" s="79" t="str">
        <x:f>IF(COUNTIFS(D7:D22,"Met")=16,"Met","Review")</x:f>
        <x:v>Met</x:v>
      </x:c>
      <x:c r="C26" s="39"/>
      <x:c r="D26" s="39"/>
    </x:row>
  </x:sheetData>
  <x:pageMargins left="0.7" right="0.7" top="0.75" bottom="0.75" header="0.3" footer="0.3"/>
</x:worksheet>
</file>